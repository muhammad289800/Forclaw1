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Values'!$A$2:$A$1</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Enterta'!$B$8:$EU$507</definedName>
    <definedName name="Class6Errors">'6 - TV Stands &amp; Enterta-WUO_ERR'!$B$8:$EU$507</definedName>
    <definedName name="Class6Headers">'6 - TV Stands &amp; Enterta'!$B$4:$EU$4</definedName>
    <definedName name="Class6Tracker">'6 - TV Stands &amp; Enterta-WUO_TRK'!$B$8:$EU$507</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Documents'!$B$7:$H$507</definedName>
    <definedName name="media__documentsErrors">'Additional Documents-WUO_ERR'!$B$7:$H$507</definedName>
    <definedName name="media__documentsHeaders">'Additional Documents'!$B$4:$H$4</definedName>
    <definedName name="media__documentsTracker">'Additional Documents-WUO_TRK'!$B$7:$H$507</definedName>
    <definedName name="media__imagesAnswers">'Additional Images'!$B$7:$D$507</definedName>
    <definedName name="media__imagesErrors">'Additional Images-WUO_ERR'!$B$7:$D$507</definedName>
    <definedName name="media__imagesHeaders">'Additional Images'!$B$4:$D$4</definedName>
    <definedName name="media__imagesTracker">'Additional Images-WUO_TRK'!$B$7:$D$507</definedName>
    <definedName name="media__videosAnswers">'Additional Videos'!$B$7:$D$507</definedName>
    <definedName name="media__videosErrors">'Additional Videos-WUO_ERR'!$B$7:$D$507</definedName>
    <definedName name="media__videosHeaders">'Additional Videos'!$B$4:$D$4</definedName>
    <definedName name="media__videosTracker">'Additional Videos-WUO_TRK'!$B$7:$D$507</definedName>
    <definedName name="propSixtyFive__chemicalsAnswers">'Additional Chemicals'!$B$7:$E$507</definedName>
    <definedName name="propSixtyFive__chemicalsErrors">'Additional Chemicals-WUO_ERR'!$B$7:$E$507</definedName>
    <definedName name="propSixtyFive__chemicalsHeaders">'Additional Chemicals'!$B$4:$E$4</definedName>
    <definedName name="propSixtyFive__chemicalsTracker">'Additional Chemicals-WUO_TRK'!$B$7:$E$507</definedName>
    <definedName name="shippingAndFulfillment__cartonsAnswers">'Additional Cartons'!$B$7:$G$507</definedName>
    <definedName name="shippingAndFulfillment__cartonsErrors">'Additional Cartons-WUO_ERR'!$B$7:$G$507</definedName>
    <definedName name="shippingAndFulfillment__cartonsHeaders">'Additional Cartons'!$B$4:$G$4</definedName>
    <definedName name="shippingAndFulfillment__cartonsTracker">'Additional Cartons-WUO_TRK'!$B$7:$G$507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42">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0" fillId="0" borderId="0" applyProtection="1" pivotButton="0" quotePrefix="0" xfId="0">
      <protection locked="0" hidden="0"/>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6" fillId="18" borderId="9" applyAlignment="1" pivotButton="0" quotePrefix="0" xfId="0">
      <alignment horizontal="center" vertical="center" wrapText="1"/>
    </xf>
    <xf numFmtId="0" fontId="0" fillId="0" borderId="13" pivotButton="0" quotePrefix="0" xfId="0"/>
    <xf numFmtId="0" fontId="0" fillId="0" borderId="14" pivotButton="0" quotePrefix="0" xfId="0"/>
  </cellXfs>
  <cellStyles count="1">
    <cellStyle name="Normal" xfId="0" builtinId="0"/>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0" t="n"/>
      <c r="C1" s="40" t="n"/>
      <c r="D1" s="40" t="n"/>
      <c r="E1" s="40" t="n"/>
      <c r="F1" s="40" t="n"/>
      <c r="G1" s="40" t="n"/>
      <c r="H1" s="41"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null,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L8" t="inlineStr">
        <is>
          <t>US</t>
        </is>
      </c>
      <c r="BM8" t="inlineStr">
        <is>
          <t>Arabic</t>
        </is>
      </c>
      <c r="BN8" t="inlineStr">
        <is>
          <t>No</t>
        </is>
      </c>
      <c r="BO8" t="inlineStr">
        <is>
          <t>A-alpha-C (2-Amino-9H-pyrido[2,3-b]indole)</t>
        </is>
      </c>
      <c r="BP8" t="inlineStr">
        <is>
          <t>United States</t>
        </is>
      </c>
      <c r="BQ8" t="inlineStr">
        <is>
          <t>Small Parcel</t>
        </is>
      </c>
      <c r="BR8" t="inlineStr">
        <is>
          <t>50</t>
        </is>
      </c>
      <c r="BS8" t="inlineStr">
        <is>
          <t>0</t>
        </is>
      </c>
      <c r="BT8" t="inlineStr">
        <is>
          <t>0</t>
        </is>
      </c>
      <c r="BU8" t="inlineStr">
        <is>
          <t>No</t>
        </is>
      </c>
      <c r="BV8" t="inlineStr">
        <is>
          <t>No</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Yes</t>
        </is>
      </c>
      <c r="BO9" t="inlineStr">
        <is>
          <t>Abiraterone acetate</t>
        </is>
      </c>
      <c r="BP9" t="inlineStr">
        <is>
          <t>Canada</t>
        </is>
      </c>
      <c r="BQ9" t="inlineStr">
        <is>
          <t>LTL</t>
        </is>
      </c>
      <c r="BR9" t="inlineStr">
        <is>
          <t>55</t>
        </is>
      </c>
      <c r="BS9" t="inlineStr">
        <is>
          <t>24</t>
        </is>
      </c>
      <c r="BT9" t="inlineStr">
        <is>
          <t>24</t>
        </is>
      </c>
      <c r="BU9" t="inlineStr">
        <is>
          <t>Yes</t>
        </is>
      </c>
      <c r="BV9" t="inlineStr">
        <is>
          <t>Yes</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507"/>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4.7109375" customWidth="1" style="22" min="10" max="10"/>
    <col width="29.7109375" customWidth="1" style="22" min="11" max="11"/>
    <col width="40.7109375" customWidth="1" style="22" min="12" max="12"/>
    <col width="19.7109375" customWidth="1" style="22" min="13" max="13"/>
    <col width="21.7109375" customWidth="1" style="22" min="14" max="18"/>
    <col width="27.7109375" customWidth="1" style="22" min="19" max="19"/>
    <col width="30.7109375" customWidth="1" style="22" min="20" max="20"/>
    <col width="25.7109375" customWidth="1" style="22" min="21" max="21"/>
    <col width="19.7109375" customWidth="1" style="22" min="22" max="22"/>
    <col width="14.7109375" customWidth="1" style="22" min="23" max="23"/>
    <col width="18.7109375" customWidth="1" style="22" min="24" max="24"/>
    <col width="14.7109375" customWidth="1" style="22" min="25" max="25"/>
    <col width="26.7109375" customWidth="1" style="22" min="26" max="26"/>
    <col width="33.7109375" customWidth="1" style="22" min="27" max="27"/>
    <col width="14.7109375" customWidth="1" style="22" min="28" max="28"/>
    <col width="20.7109375" customWidth="1" style="22" min="29" max="31"/>
    <col width="19.7109375" customWidth="1" style="22" min="32" max="33"/>
    <col width="21.7109375" customWidth="1" style="22" min="34" max="34"/>
    <col width="15.7109375" customWidth="1" style="22" min="35" max="36"/>
    <col width="28.7109375" customWidth="1" style="22" min="37" max="37"/>
    <col width="29.7109375" customWidth="1" style="22" min="38" max="43"/>
    <col width="32.7109375" customWidth="1" style="22" min="44" max="44"/>
    <col width="20.7109375" customWidth="1" style="22" min="45" max="45"/>
    <col width="26.7109375" customWidth="1" style="22" min="46" max="46"/>
    <col width="22.7109375" customWidth="1" style="22" min="47" max="47"/>
    <col width="24.7109375" customWidth="1" style="22" min="48" max="48"/>
    <col width="32.7109375" customWidth="1" style="22" min="49" max="49"/>
    <col width="20.7109375" customWidth="1" style="22" min="50" max="50"/>
    <col width="26.7109375" customWidth="1" style="22" min="51" max="51"/>
    <col width="22.7109375" customWidth="1" style="22" min="52" max="52"/>
    <col width="24.7109375" customWidth="1" style="22" min="53" max="53"/>
    <col width="32.7109375" customWidth="1" style="22" min="54" max="54"/>
    <col width="20.7109375" customWidth="1" style="22" min="55" max="55"/>
    <col width="26.7109375" customWidth="1" style="22" min="56" max="56"/>
    <col width="22.7109375" customWidth="1" style="22" min="57" max="57"/>
    <col width="24.7109375" customWidth="1" style="22" min="58" max="58"/>
    <col width="17.7109375" customWidth="1" style="22" min="59" max="59"/>
    <col width="29.7109375" customWidth="1" style="22" min="60" max="60"/>
    <col width="21.7109375" customWidth="1" style="22" min="61" max="61"/>
    <col width="22.7109375" customWidth="1" style="22" min="62" max="63"/>
    <col width="21.7109375" customWidth="1" style="22" min="64" max="64"/>
    <col width="30.7109375" customWidth="1" style="22" min="65" max="66"/>
    <col width="20.7109375" customWidth="1" style="22" min="67" max="67"/>
    <col width="21.7109375" customWidth="1" style="22" min="68" max="68"/>
    <col width="13.7109375" customWidth="1" style="22" min="69" max="69"/>
    <col width="32.7109375" customWidth="1" style="22" min="70" max="70"/>
    <col width="27.7109375" customWidth="1" style="22" min="71" max="71"/>
    <col width="17.7109375" customWidth="1" style="22" min="72" max="72"/>
    <col width="13.7109375" customWidth="1" style="22" min="73" max="73"/>
    <col width="29.7109375" customWidth="1" style="22" min="74" max="74"/>
    <col width="23.7109375" customWidth="1" style="22" min="75" max="75"/>
    <col width="27.7109375" customWidth="1" style="22" min="76" max="76"/>
    <col width="21.7109375" customWidth="1" style="22" min="77" max="77"/>
    <col width="30.7109375" customWidth="1" style="22" min="78" max="78"/>
    <col width="23.7109375" customWidth="1" style="22" min="79" max="79"/>
    <col width="12.7109375" customWidth="1" style="22" min="80" max="80"/>
    <col width="38.7109375" customWidth="1" style="22" min="81" max="81"/>
    <col width="33.7109375" customWidth="1" style="22" min="82" max="82"/>
    <col width="22.7109375" customWidth="1" style="22" min="83" max="83"/>
    <col width="39.7109375" customWidth="1" style="22" min="84" max="84"/>
    <col width="43.7109375" customWidth="1" style="22" min="85" max="85"/>
    <col width="29.7109375" customWidth="1" style="22" min="86" max="86"/>
    <col width="20.7109375" customWidth="1" style="22" min="87" max="87"/>
    <col width="17.7109375" customWidth="1" style="22" min="88" max="88"/>
    <col width="34.7109375" customWidth="1" style="22" min="89" max="89"/>
    <col width="24.7109375" customWidth="1" style="22" min="90" max="90"/>
    <col width="17.7109375" customWidth="1" style="22" min="91" max="91"/>
    <col width="24.7109375" customWidth="1" style="22" min="92" max="92"/>
    <col width="21.7109375" customWidth="1" style="22" min="93" max="93"/>
    <col width="20.7109375" customWidth="1" style="22" min="94" max="94"/>
    <col width="35.7109375" customWidth="1" style="22" min="95" max="95"/>
    <col width="30.7109375" customWidth="1" style="22" min="96" max="96"/>
    <col width="27.7109375" customWidth="1" style="22" min="97" max="97"/>
    <col width="21.7109375" customWidth="1" style="22" min="98" max="98"/>
    <col width="20.7109375" customWidth="1" style="22" min="99" max="99"/>
    <col width="17.7109375" customWidth="1" style="22" min="100" max="100"/>
    <col width="15.7109375" customWidth="1" style="22" min="101" max="101"/>
    <col width="19.7109375" customWidth="1" style="22" min="102" max="103"/>
    <col width="34.7109375" customWidth="1" style="22" min="104" max="104"/>
    <col width="14.7109375" customWidth="1" style="22" min="105" max="106"/>
    <col width="16.7109375" customWidth="1" style="22" min="107" max="107"/>
    <col width="21.7109375" customWidth="1" style="22" min="108" max="109"/>
    <col width="20.7109375" customWidth="1" style="22" min="110" max="110"/>
    <col width="23.7109375" customWidth="1" style="22" min="111" max="112"/>
    <col width="19.7109375" customWidth="1" style="22" min="113" max="113"/>
    <col width="44.7109375" customWidth="1" style="22" min="114" max="114"/>
    <col width="33.7109375" customWidth="1" style="22" min="115" max="115"/>
    <col width="53.7109375" customWidth="1" style="22" min="116" max="117"/>
    <col width="21.7109375" customWidth="1" style="22" min="118" max="118"/>
    <col width="64.7109375" customWidth="1" style="22" min="119" max="119"/>
    <col width="31.7109375" customWidth="1" style="22" min="120" max="120"/>
    <col width="27.7109375" customWidth="1" style="22" min="121" max="121"/>
    <col width="19.7109375" customWidth="1" style="22" min="122" max="122"/>
    <col width="41.7109375" customWidth="1" style="22" min="123" max="123"/>
    <col width="20.7109375" customWidth="1" style="22" min="124" max="124"/>
    <col width="21.7109375" customWidth="1" style="22" min="125" max="125"/>
    <col width="18.7109375" customWidth="1" style="22" min="126" max="126"/>
    <col width="30.7109375" customWidth="1" style="22" min="127" max="127"/>
    <col width="44.7109375" customWidth="1" style="22" min="128" max="128"/>
    <col width="22.7109375" customWidth="1" style="22" min="129" max="129"/>
    <col width="42.7109375" customWidth="1" style="22" min="130" max="130"/>
    <col width="47.7109375" customWidth="1" style="22" min="131" max="131"/>
    <col width="19.7109375" customWidth="1" style="22" min="132" max="132"/>
    <col width="79.7109375" customWidth="1" style="22" min="133" max="133"/>
    <col width="30.7109375" customWidth="1" style="22" min="134" max="134"/>
    <col width="34.7109375" customWidth="1" style="22" min="135" max="135"/>
    <col width="35.7109375" customWidth="1" style="22" min="136" max="136"/>
    <col width="56.7109375" customWidth="1" style="22" min="137" max="137"/>
    <col width="54.7109375" customWidth="1" style="22" min="138" max="138"/>
    <col width="55.7109375" customWidth="1" style="22" min="139" max="139"/>
    <col width="27.7109375" customWidth="1" style="22" min="140" max="140"/>
    <col width="40.7109375" customWidth="1" style="22" min="141" max="141"/>
    <col width="44.7109375" customWidth="1" style="22" min="142" max="142"/>
    <col width="22.7109375" customWidth="1" style="22" min="143" max="144"/>
    <col width="45.7109375" customWidth="1" style="22" min="145" max="145"/>
    <col width="24.7109375" customWidth="1" style="22" min="146" max="146"/>
    <col width="31.7109375" customWidth="1" style="22" min="147" max="147"/>
    <col width="21.7109375" customWidth="1" style="22" min="148" max="148"/>
    <col width="29.7109375" customWidth="1" style="22" min="149" max="149"/>
    <col width="20.7109375" customWidth="1" style="22" min="150" max="150"/>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price::wholesalePrice</t>
        </is>
      </c>
      <c r="K1" s="22" t="inlineStr">
        <is>
          <t>price::minimumAdvertizedPrice</t>
        </is>
      </c>
      <c r="L1" s="22" t="inlineStr">
        <is>
          <t>price::manufacturerSuggestedRetailPrice</t>
        </is>
      </c>
      <c r="M1" s="22" t="inlineStr">
        <is>
          <t>featureDescription::romanceCopy</t>
        </is>
      </c>
      <c r="N1" s="22" t="inlineStr">
        <is>
          <t>featureDescription::genericFeatures</t>
        </is>
      </c>
      <c r="O1" s="22" t="inlineStr">
        <is>
          <t>featureDescription::genericFeatures</t>
        </is>
      </c>
      <c r="P1" s="22" t="inlineStr">
        <is>
          <t>featureDescription::genericFeatures</t>
        </is>
      </c>
      <c r="Q1" s="22" t="inlineStr">
        <is>
          <t>featureDescription::genericFeatures</t>
        </is>
      </c>
      <c r="R1" s="22" t="inlineStr">
        <is>
          <t>featureDescription::genericFeatures</t>
        </is>
      </c>
      <c r="S1" s="22" t="inlineStr">
        <is>
          <t>shippingAndFulfillment::minimumOrderQuantity</t>
        </is>
      </c>
      <c r="T1" s="22" t="inlineStr">
        <is>
          <t>shippingAndFulfillment::forceQuantityMultiplier</t>
        </is>
      </c>
      <c r="U1" s="22" t="inlineStr">
        <is>
          <t>shippingAndFulfillment::displaySetQuantity</t>
        </is>
      </c>
      <c r="V1" s="22" t="inlineStr">
        <is>
          <t>shippingAndFulfillment::productWeight</t>
        </is>
      </c>
      <c r="W1" s="22" t="inlineStr">
        <is>
          <t>shippingAndFulfillment::shipType</t>
        </is>
      </c>
      <c r="X1" s="22" t="inlineStr">
        <is>
          <t>shippingAndFulfillment::freightClass</t>
        </is>
      </c>
      <c r="Y1" s="22" t="inlineStr">
        <is>
          <t>shippingAndFulfillment::leadTime</t>
        </is>
      </c>
      <c r="Z1" s="22" t="inlineStr">
        <is>
          <t>shippingAndFulfillment::replacementLeadTime</t>
        </is>
      </c>
      <c r="AA1" s="22" t="inlineStr">
        <is>
          <t>shippingAndFulfillment::nationalMotorFreightClass</t>
        </is>
      </c>
      <c r="AB1" s="22" t="inlineStr">
        <is>
          <t>shippingAndFulfillment::flatPack</t>
        </is>
      </c>
      <c r="AC1" s="22" t="inlineStr">
        <is>
          <t>shippingAndFulfillment::shipPalletized</t>
        </is>
      </c>
      <c r="AD1" s="22" t="inlineStr">
        <is>
          <t>shippingAndFulfillment::weight</t>
        </is>
      </c>
      <c r="AE1" s="22" t="inlineStr">
        <is>
          <t>shippingAndFulfillment::height</t>
        </is>
      </c>
      <c r="AF1" s="22" t="inlineStr">
        <is>
          <t>shippingAndFulfillment::width</t>
        </is>
      </c>
      <c r="AG1" s="22" t="inlineStr">
        <is>
          <t>shippingAndFulfillment::depth</t>
        </is>
      </c>
      <c r="AH1" s="22" t="inlineStr">
        <is>
          <t>propSixtyFive::warningRequired</t>
        </is>
      </c>
      <c r="AI1" s="22" t="inlineStr">
        <is>
          <t>propSixtyFive::chemicalId</t>
        </is>
      </c>
      <c r="AJ1" s="22" t="inlineStr">
        <is>
          <t>propSixtyFive::toxicity</t>
        </is>
      </c>
      <c r="AK1" s="22" t="inlineStr">
        <is>
          <t>propSixtyFive::countryOfManufacturer</t>
        </is>
      </c>
      <c r="AL1" s="22" t="inlineStr">
        <is>
          <t>media::imageValue</t>
        </is>
      </c>
      <c r="AM1" s="22" t="inlineStr">
        <is>
          <t>media::imageValue</t>
        </is>
      </c>
      <c r="AN1" s="22" t="inlineStr">
        <is>
          <t>media::imageValue</t>
        </is>
      </c>
      <c r="AO1" s="22" t="inlineStr">
        <is>
          <t>media::imageValue</t>
        </is>
      </c>
      <c r="AP1" s="22" t="inlineStr">
        <is>
          <t>media::imageValue</t>
        </is>
      </c>
      <c r="AQ1" s="22" t="inlineStr">
        <is>
          <t>media::videoValue</t>
        </is>
      </c>
      <c r="AR1" s="22" t="inlineStr">
        <is>
          <t>media::documentValue</t>
        </is>
      </c>
      <c r="AS1" s="22" t="inlineStr">
        <is>
          <t>media::documentType</t>
        </is>
      </c>
      <c r="AT1" s="22" t="inlineStr">
        <is>
          <t>media::legalDocumentType</t>
        </is>
      </c>
      <c r="AU1" s="22" t="inlineStr">
        <is>
          <t>media::regionType</t>
        </is>
      </c>
      <c r="AV1" s="22" t="inlineStr">
        <is>
          <t>media::language</t>
        </is>
      </c>
      <c r="AW1" s="22" t="inlineStr">
        <is>
          <t>media::documentValue</t>
        </is>
      </c>
      <c r="AX1" s="22" t="inlineStr">
        <is>
          <t>media::documentType</t>
        </is>
      </c>
      <c r="AY1" s="22" t="inlineStr">
        <is>
          <t>media::legalDocumentType</t>
        </is>
      </c>
      <c r="AZ1" s="22" t="inlineStr">
        <is>
          <t>media::regionType</t>
        </is>
      </c>
      <c r="BA1" s="22" t="inlineStr">
        <is>
          <t>media::language</t>
        </is>
      </c>
      <c r="BB1" s="22" t="inlineStr">
        <is>
          <t>media::documentValue</t>
        </is>
      </c>
      <c r="BC1" s="22" t="inlineStr">
        <is>
          <t>media::documentType</t>
        </is>
      </c>
      <c r="BD1" s="22" t="inlineStr">
        <is>
          <t>media::legalDocumentType</t>
        </is>
      </c>
      <c r="BE1" s="22" t="inlineStr">
        <is>
          <t>media::regionType</t>
        </is>
      </c>
      <c r="BF1" s="22" t="inlineStr">
        <is>
          <t>media::language</t>
        </is>
      </c>
      <c r="BG1" s="22" t="inlineStr">
        <is>
          <t>5620</t>
        </is>
      </c>
      <c r="BH1" s="22" t="inlineStr">
        <is>
          <t>252622</t>
        </is>
      </c>
      <c r="BI1" s="22" t="inlineStr">
        <is>
          <t>5635</t>
        </is>
      </c>
      <c r="BJ1" s="22" t="inlineStr">
        <is>
          <t>5911</t>
        </is>
      </c>
      <c r="BK1" s="22" t="inlineStr">
        <is>
          <t>5636</t>
        </is>
      </c>
      <c r="BL1" s="22" t="inlineStr">
        <is>
          <t>382543</t>
        </is>
      </c>
      <c r="BM1" s="22" t="inlineStr">
        <is>
          <t>5634</t>
        </is>
      </c>
      <c r="BN1" s="22" t="inlineStr">
        <is>
          <t>5678</t>
        </is>
      </c>
      <c r="BO1" s="22" t="inlineStr">
        <is>
          <t>252625</t>
        </is>
      </c>
      <c r="BP1" s="22" t="inlineStr">
        <is>
          <t>5621</t>
        </is>
      </c>
      <c r="BQ1" s="22" t="inlineStr">
        <is>
          <t>5625</t>
        </is>
      </c>
      <c r="BR1" s="22" t="inlineStr">
        <is>
          <t>222860</t>
        </is>
      </c>
      <c r="BS1" s="22" t="inlineStr">
        <is>
          <t>222861</t>
        </is>
      </c>
      <c r="BT1" s="22" t="inlineStr">
        <is>
          <t>5624</t>
        </is>
      </c>
      <c r="BU1" s="22" t="inlineStr">
        <is>
          <t>220722</t>
        </is>
      </c>
      <c r="BV1" s="22" t="inlineStr">
        <is>
          <t>221251</t>
        </is>
      </c>
      <c r="BW1" s="22" t="inlineStr">
        <is>
          <t>218007</t>
        </is>
      </c>
      <c r="BX1" s="22" t="inlineStr">
        <is>
          <t>5648</t>
        </is>
      </c>
      <c r="BY1" s="22" t="inlineStr">
        <is>
          <t>5649</t>
        </is>
      </c>
      <c r="BZ1" s="22" t="inlineStr">
        <is>
          <t>5643</t>
        </is>
      </c>
      <c r="CA1" s="22" t="inlineStr">
        <is>
          <t>5645</t>
        </is>
      </c>
      <c r="CB1" s="22" t="inlineStr">
        <is>
          <t>189876</t>
        </is>
      </c>
      <c r="CC1" s="22" t="inlineStr">
        <is>
          <t>201479</t>
        </is>
      </c>
      <c r="CD1" s="22" t="inlineStr">
        <is>
          <t>5663</t>
        </is>
      </c>
      <c r="CE1" s="22" t="inlineStr">
        <is>
          <t>242478</t>
        </is>
      </c>
      <c r="CF1" s="22" t="inlineStr">
        <is>
          <t>227966</t>
        </is>
      </c>
      <c r="CG1" s="22" t="inlineStr">
        <is>
          <t>244566</t>
        </is>
      </c>
      <c r="CH1" s="22" t="inlineStr">
        <is>
          <t>293480</t>
        </is>
      </c>
      <c r="CI1" s="22" t="inlineStr">
        <is>
          <t>293547</t>
        </is>
      </c>
      <c r="CJ1" s="22" t="inlineStr">
        <is>
          <t>185254</t>
        </is>
      </c>
      <c r="CK1" s="22" t="inlineStr">
        <is>
          <t>344955</t>
        </is>
      </c>
      <c r="CL1" s="22" t="inlineStr">
        <is>
          <t>346869</t>
        </is>
      </c>
      <c r="CM1" s="22" t="inlineStr">
        <is>
          <t>351619</t>
        </is>
      </c>
      <c r="CN1" s="22" t="inlineStr">
        <is>
          <t>367149</t>
        </is>
      </c>
      <c r="CO1" s="22" t="inlineStr">
        <is>
          <t>351641</t>
        </is>
      </c>
      <c r="CP1" s="22" t="inlineStr">
        <is>
          <t>352351</t>
        </is>
      </c>
      <c r="CQ1" s="22" t="inlineStr">
        <is>
          <t>352342</t>
        </is>
      </c>
      <c r="CR1" s="22" t="inlineStr">
        <is>
          <t>351649</t>
        </is>
      </c>
      <c r="CS1" s="22" t="inlineStr">
        <is>
          <t>5949</t>
        </is>
      </c>
      <c r="CT1" s="22" t="inlineStr">
        <is>
          <t>5950</t>
        </is>
      </c>
      <c r="CU1" s="22" t="inlineStr">
        <is>
          <t>5654</t>
        </is>
      </c>
      <c r="CV1" s="22" t="inlineStr">
        <is>
          <t>368645</t>
        </is>
      </c>
      <c r="CW1" s="22" t="inlineStr">
        <is>
          <t>370848</t>
        </is>
      </c>
      <c r="CX1" s="22" t="inlineStr">
        <is>
          <t>5910</t>
        </is>
      </c>
      <c r="CY1" s="22" t="inlineStr">
        <is>
          <t>379875</t>
        </is>
      </c>
      <c r="CZ1" s="22" t="inlineStr">
        <is>
          <t>292794</t>
        </is>
      </c>
      <c r="DA1" s="22" t="inlineStr">
        <is>
          <t>220267</t>
        </is>
      </c>
      <c r="DB1" s="22" t="inlineStr">
        <is>
          <t>220265</t>
        </is>
      </c>
      <c r="DC1" s="22" t="inlineStr">
        <is>
          <t>384286</t>
        </is>
      </c>
      <c r="DD1" s="22" t="inlineStr">
        <is>
          <t>393970</t>
        </is>
      </c>
      <c r="DE1" s="22" t="inlineStr">
        <is>
          <t>400764</t>
        </is>
      </c>
      <c r="DF1" s="22" t="inlineStr">
        <is>
          <t>420139</t>
        </is>
      </c>
      <c r="DG1" s="22" t="inlineStr">
        <is>
          <t>5920</t>
        </is>
      </c>
      <c r="DH1" s="22" t="inlineStr">
        <is>
          <t>5916</t>
        </is>
      </c>
      <c r="DI1" s="22" t="inlineStr">
        <is>
          <t>5938</t>
        </is>
      </c>
      <c r="DJ1" s="22" t="inlineStr">
        <is>
          <t>5671</t>
        </is>
      </c>
      <c r="DK1" s="22" t="inlineStr">
        <is>
          <t>201426</t>
        </is>
      </c>
      <c r="DL1" s="22" t="inlineStr">
        <is>
          <t>224759</t>
        </is>
      </c>
      <c r="DM1" s="22" t="inlineStr">
        <is>
          <t>224980</t>
        </is>
      </c>
      <c r="DN1" s="22" t="inlineStr">
        <is>
          <t>364708</t>
        </is>
      </c>
      <c r="DO1" s="22" t="inlineStr">
        <is>
          <t>236083</t>
        </is>
      </c>
      <c r="DP1" s="22" t="inlineStr">
        <is>
          <t>249364</t>
        </is>
      </c>
      <c r="DQ1" s="22" t="inlineStr">
        <is>
          <t>251110</t>
        </is>
      </c>
      <c r="DR1" s="22" t="inlineStr">
        <is>
          <t>310560</t>
        </is>
      </c>
      <c r="DS1" s="22" t="inlineStr">
        <is>
          <t>339330</t>
        </is>
      </c>
      <c r="DT1" s="22" t="inlineStr">
        <is>
          <t>373560</t>
        </is>
      </c>
      <c r="DU1" s="22" t="inlineStr">
        <is>
          <t>340810</t>
        </is>
      </c>
      <c r="DV1" s="22" t="inlineStr">
        <is>
          <t>341070</t>
        </is>
      </c>
      <c r="DW1" s="22" t="inlineStr">
        <is>
          <t>369614</t>
        </is>
      </c>
      <c r="DX1" s="22" t="inlineStr">
        <is>
          <t>368262</t>
        </is>
      </c>
      <c r="DY1" s="22" t="inlineStr">
        <is>
          <t>375302</t>
        </is>
      </c>
      <c r="DZ1" s="22" t="inlineStr">
        <is>
          <t>376202</t>
        </is>
      </c>
      <c r="EA1" s="22" t="inlineStr">
        <is>
          <t>382060</t>
        </is>
      </c>
      <c r="EB1" s="22" t="inlineStr">
        <is>
          <t>385921</t>
        </is>
      </c>
      <c r="EC1" s="22" t="inlineStr">
        <is>
          <t>415242</t>
        </is>
      </c>
      <c r="ED1" s="22" t="inlineStr">
        <is>
          <t>421601</t>
        </is>
      </c>
      <c r="EE1" s="22" t="inlineStr">
        <is>
          <t>5675</t>
        </is>
      </c>
      <c r="EF1" s="22" t="inlineStr">
        <is>
          <t>5676</t>
        </is>
      </c>
      <c r="EG1" s="22" t="inlineStr">
        <is>
          <t>252485</t>
        </is>
      </c>
      <c r="EH1" s="22" t="inlineStr">
        <is>
          <t>252486</t>
        </is>
      </c>
      <c r="EI1" s="22" t="inlineStr">
        <is>
          <t>252487</t>
        </is>
      </c>
      <c r="EJ1" s="22" t="inlineStr">
        <is>
          <t>5681</t>
        </is>
      </c>
      <c r="EK1" s="22" t="inlineStr">
        <is>
          <t>217965</t>
        </is>
      </c>
      <c r="EL1" s="22" t="inlineStr">
        <is>
          <t>5674</t>
        </is>
      </c>
      <c r="EM1" s="22" t="inlineStr">
        <is>
          <t>5682</t>
        </is>
      </c>
      <c r="EN1" s="22" t="inlineStr">
        <is>
          <t>222775</t>
        </is>
      </c>
      <c r="EO1" s="22" t="inlineStr">
        <is>
          <t>222778</t>
        </is>
      </c>
      <c r="EP1" s="22" t="inlineStr">
        <is>
          <t>228934</t>
        </is>
      </c>
      <c r="EQ1" s="22" t="inlineStr">
        <is>
          <t>333812</t>
        </is>
      </c>
      <c r="ER1" s="22" t="inlineStr">
        <is>
          <t>254186</t>
        </is>
      </c>
      <c r="ES1" s="22" t="inlineStr">
        <is>
          <t>255305</t>
        </is>
      </c>
      <c r="ET1" s="22" t="inlineStr">
        <is>
          <t>256090</t>
        </is>
      </c>
    </row>
    <row r="2">
      <c r="B2" s="23" t="inlineStr">
        <is>
          <t>Basic Information</t>
        </is>
      </c>
      <c r="C2" s="40" t="n"/>
      <c r="D2" s="40" t="n"/>
      <c r="E2" s="40" t="n"/>
      <c r="F2" s="40" t="n"/>
      <c r="G2" s="40" t="n"/>
      <c r="H2" s="40" t="n"/>
      <c r="I2" s="41" t="n"/>
      <c r="J2" s="24" t="inlineStr">
        <is>
          <t>Pricing</t>
        </is>
      </c>
      <c r="K2" s="40" t="n"/>
      <c r="L2" s="41" t="n"/>
      <c r="M2" s="25" t="inlineStr">
        <is>
          <t>Marketing Information</t>
        </is>
      </c>
      <c r="N2" s="40" t="n"/>
      <c r="O2" s="40" t="n"/>
      <c r="P2" s="40" t="n"/>
      <c r="Q2" s="40" t="n"/>
      <c r="R2" s="41" t="n"/>
      <c r="S2" s="26" t="inlineStr">
        <is>
          <t>Fulfillment Information</t>
        </is>
      </c>
      <c r="T2" s="40" t="n"/>
      <c r="U2" s="40" t="n"/>
      <c r="V2" s="40" t="n"/>
      <c r="W2" s="40" t="n"/>
      <c r="X2" s="40" t="n"/>
      <c r="Y2" s="40" t="n"/>
      <c r="Z2" s="40" t="n"/>
      <c r="AA2" s="40" t="n"/>
      <c r="AB2" s="40" t="n"/>
      <c r="AC2" s="41" t="n"/>
      <c r="AD2" s="27" t="inlineStr">
        <is>
          <t>Carton Details</t>
        </is>
      </c>
      <c r="AE2" s="40" t="n"/>
      <c r="AF2" s="40" t="n"/>
      <c r="AG2" s="41" t="n"/>
      <c r="AH2" s="28" t="inlineStr">
        <is>
          <t>Compliance</t>
        </is>
      </c>
      <c r="AI2" s="40" t="n"/>
      <c r="AJ2" s="40" t="n"/>
      <c r="AK2" s="41" t="n"/>
      <c r="AL2" s="29" t="inlineStr">
        <is>
          <t>Media</t>
        </is>
      </c>
      <c r="AM2" s="40" t="n"/>
      <c r="AN2" s="40" t="n"/>
      <c r="AO2" s="40" t="n"/>
      <c r="AP2" s="40" t="n"/>
      <c r="AQ2" s="40" t="n"/>
      <c r="AR2" s="40" t="n"/>
      <c r="AS2" s="40" t="n"/>
      <c r="AT2" s="40" t="n"/>
      <c r="AU2" s="40" t="n"/>
      <c r="AV2" s="40" t="n"/>
      <c r="AW2" s="40" t="n"/>
      <c r="AX2" s="40" t="n"/>
      <c r="AY2" s="40" t="n"/>
      <c r="AZ2" s="40" t="n"/>
      <c r="BA2" s="40" t="n"/>
      <c r="BB2" s="40" t="n"/>
      <c r="BC2" s="40" t="n"/>
      <c r="BD2" s="40" t="n"/>
      <c r="BE2" s="40" t="n"/>
      <c r="BF2" s="41" t="n"/>
      <c r="BG2" s="30" t="inlineStr">
        <is>
          <t>Attributes</t>
        </is>
      </c>
      <c r="BH2" s="40" t="n"/>
      <c r="BI2" s="40" t="n"/>
      <c r="BJ2" s="40" t="n"/>
      <c r="BK2" s="40" t="n"/>
      <c r="BL2" s="40" t="n"/>
      <c r="BM2" s="40" t="n"/>
      <c r="BN2" s="40" t="n"/>
      <c r="BO2" s="40" t="n"/>
      <c r="BP2" s="40" t="n"/>
      <c r="BQ2" s="40" t="n"/>
      <c r="BR2" s="40" t="n"/>
      <c r="BS2" s="40" t="n"/>
      <c r="BT2" s="40" t="n"/>
      <c r="BU2" s="40" t="n"/>
      <c r="BV2" s="40" t="n"/>
      <c r="BW2" s="40" t="n"/>
      <c r="BX2" s="40" t="n"/>
      <c r="BY2" s="40" t="n"/>
      <c r="BZ2" s="40" t="n"/>
      <c r="CA2" s="40" t="n"/>
      <c r="CB2" s="40" t="n"/>
      <c r="CC2" s="40" t="n"/>
      <c r="CD2" s="40" t="n"/>
      <c r="CE2" s="40" t="n"/>
      <c r="CF2" s="40" t="n"/>
      <c r="CG2" s="40" t="n"/>
      <c r="CH2" s="40" t="n"/>
      <c r="CI2" s="40" t="n"/>
      <c r="CJ2" s="40" t="n"/>
      <c r="CK2" s="40" t="n"/>
      <c r="CL2" s="40" t="n"/>
      <c r="CM2" s="40" t="n"/>
      <c r="CN2" s="40" t="n"/>
      <c r="CO2" s="40" t="n"/>
      <c r="CP2" s="40" t="n"/>
      <c r="CQ2" s="40" t="n"/>
      <c r="CR2" s="40" t="n"/>
      <c r="CS2" s="40" t="n"/>
      <c r="CT2" s="40" t="n"/>
      <c r="CU2" s="40" t="n"/>
      <c r="CV2" s="40" t="n"/>
      <c r="CW2" s="40" t="n"/>
      <c r="CX2" s="40" t="n"/>
      <c r="CY2" s="40" t="n"/>
      <c r="CZ2" s="40" t="n"/>
      <c r="DA2" s="40" t="n"/>
      <c r="DB2" s="40" t="n"/>
      <c r="DC2" s="40" t="n"/>
      <c r="DD2" s="40" t="n"/>
      <c r="DE2" s="40" t="n"/>
      <c r="DF2" s="40" t="n"/>
      <c r="DG2" s="40" t="n"/>
      <c r="DH2" s="40" t="n"/>
      <c r="DI2" s="40" t="n"/>
      <c r="DJ2" s="40" t="n"/>
      <c r="DK2" s="40" t="n"/>
      <c r="DL2" s="40" t="n"/>
      <c r="DM2" s="40" t="n"/>
      <c r="DN2" s="40" t="n"/>
      <c r="DO2" s="40" t="n"/>
      <c r="DP2" s="40" t="n"/>
      <c r="DQ2" s="40" t="n"/>
      <c r="DR2" s="40" t="n"/>
      <c r="DS2" s="40" t="n"/>
      <c r="DT2" s="40" t="n"/>
      <c r="DU2" s="40" t="n"/>
      <c r="DV2" s="40" t="n"/>
      <c r="DW2" s="40" t="n"/>
      <c r="DX2" s="40" t="n"/>
      <c r="DY2" s="40" t="n"/>
      <c r="DZ2" s="40" t="n"/>
      <c r="EA2" s="40" t="n"/>
      <c r="EB2" s="40" t="n"/>
      <c r="EC2" s="40" t="n"/>
      <c r="ED2" s="40" t="n"/>
      <c r="EE2" s="40" t="n"/>
      <c r="EF2" s="40" t="n"/>
      <c r="EG2" s="40" t="n"/>
      <c r="EH2" s="40" t="n"/>
      <c r="EI2" s="40" t="n"/>
      <c r="EJ2" s="40" t="n"/>
      <c r="EK2" s="40" t="n"/>
      <c r="EL2" s="40" t="n"/>
      <c r="EM2" s="40" t="n"/>
      <c r="EN2" s="40" t="n"/>
      <c r="EO2" s="40" t="n"/>
      <c r="EP2" s="40" t="n"/>
      <c r="EQ2" s="40" t="n"/>
      <c r="ER2" s="40" t="n"/>
      <c r="ES2" s="40" t="n"/>
      <c r="ET2" s="41" t="n"/>
    </row>
    <row r="3">
      <c r="B3" s="31" t="inlineStr">
        <is>
          <t>Required</t>
        </is>
      </c>
      <c r="C3" s="31" t="inlineStr">
        <is>
          <t>Additional</t>
        </is>
      </c>
      <c r="D3" s="31" t="inlineStr">
        <is>
          <t>Required</t>
        </is>
      </c>
      <c r="E3" s="31" t="inlineStr">
        <is>
          <t>Required</t>
        </is>
      </c>
      <c r="F3" s="31" t="inlineStr">
        <is>
          <t>Recommended</t>
        </is>
      </c>
      <c r="G3" s="31" t="inlineStr">
        <is>
          <t>Required</t>
        </is>
      </c>
      <c r="H3" s="31" t="inlineStr">
        <is>
          <t>Additional</t>
        </is>
      </c>
      <c r="I3" s="31" t="inlineStr">
        <is>
          <t>Additional</t>
        </is>
      </c>
      <c r="J3" s="31" t="inlineStr">
        <is>
          <t>Required</t>
        </is>
      </c>
      <c r="K3" s="31" t="inlineStr">
        <is>
          <t>Additional</t>
        </is>
      </c>
      <c r="L3" s="31" t="inlineStr">
        <is>
          <t>Additional</t>
        </is>
      </c>
      <c r="M3" s="31" t="inlineStr">
        <is>
          <t>Conditional</t>
        </is>
      </c>
      <c r="N3" s="31" t="inlineStr">
        <is>
          <t>Conditional</t>
        </is>
      </c>
      <c r="O3" s="31" t="inlineStr">
        <is>
          <t>Conditional</t>
        </is>
      </c>
      <c r="P3" s="31" t="inlineStr">
        <is>
          <t>Conditional</t>
        </is>
      </c>
      <c r="Q3" s="31" t="inlineStr">
        <is>
          <t>Conditional</t>
        </is>
      </c>
      <c r="R3" s="31" t="inlineStr">
        <is>
          <t>Conditional</t>
        </is>
      </c>
      <c r="S3" s="31" t="inlineStr">
        <is>
          <t>Required</t>
        </is>
      </c>
      <c r="T3" s="31" t="inlineStr">
        <is>
          <t>Required</t>
        </is>
      </c>
      <c r="U3" s="31" t="inlineStr">
        <is>
          <t>Required</t>
        </is>
      </c>
      <c r="V3" s="31" t="inlineStr">
        <is>
          <t>Required</t>
        </is>
      </c>
      <c r="W3" s="31" t="inlineStr">
        <is>
          <t>Required</t>
        </is>
      </c>
      <c r="X3" s="31" t="inlineStr">
        <is>
          <t>Conditional</t>
        </is>
      </c>
      <c r="Y3" s="31" t="inlineStr">
        <is>
          <t>Required</t>
        </is>
      </c>
      <c r="Z3" s="31" t="inlineStr">
        <is>
          <t>Required</t>
        </is>
      </c>
      <c r="AA3" s="31" t="inlineStr">
        <is>
          <t>Additional</t>
        </is>
      </c>
      <c r="AB3" s="31" t="inlineStr">
        <is>
          <t>Additional</t>
        </is>
      </c>
      <c r="AC3" s="31" t="inlineStr">
        <is>
          <t>Additional</t>
        </is>
      </c>
      <c r="AD3" s="31" t="inlineStr">
        <is>
          <t>Required</t>
        </is>
      </c>
      <c r="AE3" s="31" t="inlineStr">
        <is>
          <t>Required</t>
        </is>
      </c>
      <c r="AF3" s="31" t="inlineStr">
        <is>
          <t>Required</t>
        </is>
      </c>
      <c r="AG3" s="31" t="inlineStr">
        <is>
          <t>Required</t>
        </is>
      </c>
      <c r="AH3" s="31" t="inlineStr">
        <is>
          <t>Required</t>
        </is>
      </c>
      <c r="AI3" s="31" t="inlineStr">
        <is>
          <t>Conditional</t>
        </is>
      </c>
      <c r="AJ3" s="31" t="inlineStr">
        <is>
          <t>Conditional</t>
        </is>
      </c>
      <c r="AK3" s="31" t="inlineStr">
        <is>
          <t>Required</t>
        </is>
      </c>
      <c r="AL3" s="31" t="inlineStr">
        <is>
          <t>Required</t>
        </is>
      </c>
      <c r="AM3" s="31" t="inlineStr">
        <is>
          <t>Additional</t>
        </is>
      </c>
      <c r="AN3" s="31" t="inlineStr">
        <is>
          <t>Additional</t>
        </is>
      </c>
      <c r="AO3" s="31" t="inlineStr">
        <is>
          <t>Additional</t>
        </is>
      </c>
      <c r="AP3" s="31" t="inlineStr">
        <is>
          <t>Additional</t>
        </is>
      </c>
      <c r="AQ3" s="31" t="inlineStr">
        <is>
          <t>Additional</t>
        </is>
      </c>
      <c r="AR3" s="31" t="inlineStr">
        <is>
          <t>Conditional</t>
        </is>
      </c>
      <c r="AS3" s="31" t="inlineStr">
        <is>
          <t>Conditional</t>
        </is>
      </c>
      <c r="AT3" s="31" t="inlineStr">
        <is>
          <t>Conditional</t>
        </is>
      </c>
      <c r="AU3" s="31" t="inlineStr">
        <is>
          <t>Conditional</t>
        </is>
      </c>
      <c r="AV3" s="31" t="inlineStr">
        <is>
          <t>Conditional</t>
        </is>
      </c>
      <c r="AW3" s="31" t="inlineStr">
        <is>
          <t>Conditional</t>
        </is>
      </c>
      <c r="AX3" s="31" t="inlineStr">
        <is>
          <t>Conditional</t>
        </is>
      </c>
      <c r="AY3" s="31" t="inlineStr">
        <is>
          <t>Conditional</t>
        </is>
      </c>
      <c r="AZ3" s="31" t="inlineStr">
        <is>
          <t>Conditional</t>
        </is>
      </c>
      <c r="BA3" s="31" t="inlineStr">
        <is>
          <t>Conditional</t>
        </is>
      </c>
      <c r="BB3" s="31" t="inlineStr">
        <is>
          <t>Conditional</t>
        </is>
      </c>
      <c r="BC3" s="31" t="inlineStr">
        <is>
          <t>Conditional</t>
        </is>
      </c>
      <c r="BD3" s="31" t="inlineStr">
        <is>
          <t>Conditional</t>
        </is>
      </c>
      <c r="BE3" s="31" t="inlineStr">
        <is>
          <t>Conditional</t>
        </is>
      </c>
      <c r="BF3" s="31" t="inlineStr">
        <is>
          <t>Conditional</t>
        </is>
      </c>
      <c r="BG3" s="31" t="inlineStr">
        <is>
          <t>Required</t>
        </is>
      </c>
      <c r="BH3" s="31" t="inlineStr">
        <is>
          <t>Recommended</t>
        </is>
      </c>
      <c r="BI3" s="31" t="inlineStr">
        <is>
          <t>Required</t>
        </is>
      </c>
      <c r="BJ3" s="31" t="inlineStr">
        <is>
          <t>Required</t>
        </is>
      </c>
      <c r="BK3" s="31" t="inlineStr">
        <is>
          <t>Required</t>
        </is>
      </c>
      <c r="BL3" s="31" t="inlineStr">
        <is>
          <t>Recommended</t>
        </is>
      </c>
      <c r="BM3" s="31" t="inlineStr">
        <is>
          <t>Recommended</t>
        </is>
      </c>
      <c r="BN3" s="31" t="inlineStr">
        <is>
          <t>Recommended</t>
        </is>
      </c>
      <c r="BO3" s="31" t="inlineStr">
        <is>
          <t>Recommended</t>
        </is>
      </c>
      <c r="BP3" s="31" t="inlineStr">
        <is>
          <t>Required</t>
        </is>
      </c>
      <c r="BQ3" s="31" t="inlineStr">
        <is>
          <t>Required</t>
        </is>
      </c>
      <c r="BR3" s="31" t="inlineStr">
        <is>
          <t>Recommended</t>
        </is>
      </c>
      <c r="BS3" s="31" t="inlineStr">
        <is>
          <t>Recommended</t>
        </is>
      </c>
      <c r="BT3" s="31" t="inlineStr">
        <is>
          <t>Recommended</t>
        </is>
      </c>
      <c r="BU3" s="31" t="inlineStr">
        <is>
          <t>Recommended</t>
        </is>
      </c>
      <c r="BV3" s="31" t="inlineStr">
        <is>
          <t>Recommended</t>
        </is>
      </c>
      <c r="BW3" s="31" t="inlineStr">
        <is>
          <t>Recommended</t>
        </is>
      </c>
      <c r="BX3" s="31" t="inlineStr">
        <is>
          <t>Recommended</t>
        </is>
      </c>
      <c r="BY3" s="31" t="inlineStr">
        <is>
          <t>Recommended</t>
        </is>
      </c>
      <c r="BZ3" s="31" t="inlineStr">
        <is>
          <t>Recommended</t>
        </is>
      </c>
      <c r="CA3" s="31" t="inlineStr">
        <is>
          <t>Required</t>
        </is>
      </c>
      <c r="CB3" s="31" t="inlineStr">
        <is>
          <t>Required</t>
        </is>
      </c>
      <c r="CC3" s="31" t="inlineStr">
        <is>
          <t>Required</t>
        </is>
      </c>
      <c r="CD3" s="31" t="inlineStr">
        <is>
          <t>Recommended</t>
        </is>
      </c>
      <c r="CE3" s="31" t="inlineStr">
        <is>
          <t>Recommended</t>
        </is>
      </c>
      <c r="CF3" s="31" t="inlineStr">
        <is>
          <t>Required</t>
        </is>
      </c>
      <c r="CG3" s="31" t="inlineStr">
        <is>
          <t>Additional</t>
        </is>
      </c>
      <c r="CH3" s="31" t="inlineStr">
        <is>
          <t>Recommended</t>
        </is>
      </c>
      <c r="CI3" s="31" t="inlineStr">
        <is>
          <t>Recommended</t>
        </is>
      </c>
      <c r="CJ3" s="31" t="inlineStr">
        <is>
          <t>Recommended</t>
        </is>
      </c>
      <c r="CK3" s="31" t="inlineStr">
        <is>
          <t>Required</t>
        </is>
      </c>
      <c r="CL3" s="31" t="inlineStr">
        <is>
          <t>Required</t>
        </is>
      </c>
      <c r="CM3" s="31" t="inlineStr">
        <is>
          <t>Required</t>
        </is>
      </c>
      <c r="CN3" s="31" t="inlineStr">
        <is>
          <t>Required</t>
        </is>
      </c>
      <c r="CO3" s="31" t="inlineStr">
        <is>
          <t>Additional</t>
        </is>
      </c>
      <c r="CP3" s="31" t="inlineStr">
        <is>
          <t>Additional</t>
        </is>
      </c>
      <c r="CQ3" s="31" t="inlineStr">
        <is>
          <t>Additional</t>
        </is>
      </c>
      <c r="CR3" s="31" t="inlineStr">
        <is>
          <t>Additional</t>
        </is>
      </c>
      <c r="CS3" s="31" t="inlineStr">
        <is>
          <t>Recommended</t>
        </is>
      </c>
      <c r="CT3" s="31" t="inlineStr">
        <is>
          <t>Recommended</t>
        </is>
      </c>
      <c r="CU3" s="31" t="inlineStr">
        <is>
          <t>Required</t>
        </is>
      </c>
      <c r="CV3" s="31" t="inlineStr">
        <is>
          <t>Recommended</t>
        </is>
      </c>
      <c r="CW3" s="31" t="inlineStr">
        <is>
          <t>Recommended</t>
        </is>
      </c>
      <c r="CX3" s="31" t="inlineStr">
        <is>
          <t>Recommended</t>
        </is>
      </c>
      <c r="CY3" s="31" t="inlineStr">
        <is>
          <t>Required</t>
        </is>
      </c>
      <c r="CZ3" s="31" t="inlineStr">
        <is>
          <t>Recommended</t>
        </is>
      </c>
      <c r="DA3" s="31" t="inlineStr">
        <is>
          <t>Required</t>
        </is>
      </c>
      <c r="DB3" s="31" t="inlineStr">
        <is>
          <t>Required</t>
        </is>
      </c>
      <c r="DC3" s="31" t="inlineStr">
        <is>
          <t>Recommended</t>
        </is>
      </c>
      <c r="DD3" s="31" t="inlineStr">
        <is>
          <t>Recommended</t>
        </is>
      </c>
      <c r="DE3" s="31" t="inlineStr">
        <is>
          <t>Recommended</t>
        </is>
      </c>
      <c r="DF3" s="31" t="inlineStr">
        <is>
          <t>Required</t>
        </is>
      </c>
      <c r="DG3" s="31" t="inlineStr">
        <is>
          <t>Required</t>
        </is>
      </c>
      <c r="DH3" s="31" t="inlineStr">
        <is>
          <t>Recommended</t>
        </is>
      </c>
      <c r="DI3" s="31" t="inlineStr">
        <is>
          <t>Recommended</t>
        </is>
      </c>
      <c r="DJ3" s="31" t="inlineStr">
        <is>
          <t>Required</t>
        </is>
      </c>
      <c r="DK3" s="31" t="inlineStr">
        <is>
          <t>Required</t>
        </is>
      </c>
      <c r="DL3" s="31" t="inlineStr">
        <is>
          <t>Required</t>
        </is>
      </c>
      <c r="DM3" s="31" t="inlineStr">
        <is>
          <t>Required</t>
        </is>
      </c>
      <c r="DN3" s="31" t="inlineStr">
        <is>
          <t>Required</t>
        </is>
      </c>
      <c r="DO3" s="31" t="inlineStr">
        <is>
          <t>Required</t>
        </is>
      </c>
      <c r="DP3" s="31" t="inlineStr">
        <is>
          <t>Required</t>
        </is>
      </c>
      <c r="DQ3" s="31" t="inlineStr">
        <is>
          <t>Required</t>
        </is>
      </c>
      <c r="DR3" s="31" t="inlineStr">
        <is>
          <t>Recommended</t>
        </is>
      </c>
      <c r="DS3" s="31" t="inlineStr">
        <is>
          <t>Recommended</t>
        </is>
      </c>
      <c r="DT3" s="31" t="inlineStr">
        <is>
          <t>Recommended</t>
        </is>
      </c>
      <c r="DU3" s="31" t="inlineStr">
        <is>
          <t>Recommended</t>
        </is>
      </c>
      <c r="DV3" s="31" t="inlineStr">
        <is>
          <t>Recommended</t>
        </is>
      </c>
      <c r="DW3" s="31" t="inlineStr">
        <is>
          <t>Recommended</t>
        </is>
      </c>
      <c r="DX3" s="31" t="inlineStr">
        <is>
          <t>Required</t>
        </is>
      </c>
      <c r="DY3" s="31" t="inlineStr">
        <is>
          <t>Required</t>
        </is>
      </c>
      <c r="DZ3" s="31" t="inlineStr">
        <is>
          <t>Required</t>
        </is>
      </c>
      <c r="EA3" s="31" t="inlineStr">
        <is>
          <t>Required</t>
        </is>
      </c>
      <c r="EB3" s="31" t="inlineStr">
        <is>
          <t>Recommended</t>
        </is>
      </c>
      <c r="EC3" s="31" t="inlineStr">
        <is>
          <t>Recommended</t>
        </is>
      </c>
      <c r="ED3" s="31" t="inlineStr">
        <is>
          <t>Recommended</t>
        </is>
      </c>
      <c r="EE3" s="31" t="inlineStr">
        <is>
          <t>Required</t>
        </is>
      </c>
      <c r="EF3" s="31" t="inlineStr">
        <is>
          <t>Required</t>
        </is>
      </c>
      <c r="EG3" s="31" t="inlineStr">
        <is>
          <t>Required</t>
        </is>
      </c>
      <c r="EH3" s="31" t="inlineStr">
        <is>
          <t>Required</t>
        </is>
      </c>
      <c r="EI3" s="31" t="inlineStr">
        <is>
          <t>Required</t>
        </is>
      </c>
      <c r="EJ3" s="31" t="inlineStr">
        <is>
          <t>Recommended</t>
        </is>
      </c>
      <c r="EK3" s="31" t="inlineStr">
        <is>
          <t>Required</t>
        </is>
      </c>
      <c r="EL3" s="31" t="inlineStr">
        <is>
          <t>Required</t>
        </is>
      </c>
      <c r="EM3" s="31" t="inlineStr">
        <is>
          <t>Required</t>
        </is>
      </c>
      <c r="EN3" s="31" t="inlineStr">
        <is>
          <t>Required</t>
        </is>
      </c>
      <c r="EO3" s="31" t="inlineStr">
        <is>
          <t>Recommended</t>
        </is>
      </c>
      <c r="EP3" s="31" t="inlineStr">
        <is>
          <t>Required</t>
        </is>
      </c>
      <c r="EQ3" s="31" t="inlineStr">
        <is>
          <t>Recommended</t>
        </is>
      </c>
      <c r="ER3" s="31" t="inlineStr">
        <is>
          <t>Recommended</t>
        </is>
      </c>
      <c r="ES3" s="31" t="inlineStr">
        <is>
          <t>Recommended</t>
        </is>
      </c>
      <c r="ET3" s="31"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2" t="inlineStr">
        <is>
          <t>Battery or Batteries Included</t>
        </is>
      </c>
      <c r="CL4" s="33" t="inlineStr">
        <is>
          <t>Battery Composition</t>
        </is>
      </c>
      <c r="CM4" s="33" t="inlineStr">
        <is>
          <t>Battery Type</t>
        </is>
      </c>
      <c r="CN4" s="33" t="inlineStr">
        <is>
          <t>Number of Batteries</t>
        </is>
      </c>
      <c r="CO4" s="33" t="inlineStr">
        <is>
          <t>Battery Shipment</t>
        </is>
      </c>
      <c r="CP4" s="33" t="inlineStr">
        <is>
          <t>Lithium Content</t>
        </is>
      </c>
      <c r="CQ4" s="33" t="inlineStr">
        <is>
          <t>Watt Rating of Cells / Battery</t>
        </is>
      </c>
      <c r="CR4" s="33"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2" t="inlineStr">
        <is>
          <t>Composite Wood Product (CWP)</t>
        </is>
      </c>
      <c r="DL4" s="33" t="inlineStr">
        <is>
          <t>CARB Phase II Compliant (formaldehyde emissions)</t>
        </is>
      </c>
      <c r="DM4" s="33" t="inlineStr">
        <is>
          <t>TSCA Title VI Compliant (formaldehyde emissions)</t>
        </is>
      </c>
      <c r="DN4" s="33" t="inlineStr">
        <is>
          <t>CANFER Compliant</t>
        </is>
      </c>
      <c r="DO4" s="19" t="inlineStr">
        <is>
          <t>Uniform Packaging and Labeling Regulations (UPLR) Compliant</t>
        </is>
      </c>
      <c r="DP4" s="32" t="inlineStr">
        <is>
          <t>Canada Product Restriction</t>
        </is>
      </c>
      <c r="DQ4" s="33" t="inlineStr">
        <is>
          <t>Reason for Restriction</t>
        </is>
      </c>
      <c r="DR4" s="19" t="inlineStr">
        <is>
          <t>UL 1678 Listed</t>
        </is>
      </c>
      <c r="DS4" s="32" t="inlineStr">
        <is>
          <t>Hazardous Material / Dangerous Goods</t>
        </is>
      </c>
      <c r="DT4" s="33" t="inlineStr">
        <is>
          <t>UN or ID number</t>
        </is>
      </c>
      <c r="DU4" s="33" t="inlineStr">
        <is>
          <t>Hazard Class(es)</t>
        </is>
      </c>
      <c r="DV4" s="33" t="inlineStr">
        <is>
          <t>Packing Group</t>
        </is>
      </c>
      <c r="DW4" s="33" t="inlineStr">
        <is>
          <t>Hazardous Material Weight</t>
        </is>
      </c>
      <c r="DX4" s="19" t="inlineStr">
        <is>
          <t>Energy Efficiency Regulations Compliant</t>
        </is>
      </c>
      <c r="DY4" s="32" t="inlineStr">
        <is>
          <t>Safety Listing(s)</t>
        </is>
      </c>
      <c r="DZ4" s="33"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2" t="inlineStr">
        <is>
          <t>Commercial Warranty</t>
        </is>
      </c>
      <c r="EQ4" s="33" t="inlineStr">
        <is>
          <t>Commercial Warranty Length</t>
        </is>
      </c>
      <c r="ER4" s="19" t="inlineStr">
        <is>
          <t>Product Warranty</t>
        </is>
      </c>
      <c r="ES4" s="19" t="inlineStr">
        <is>
          <t>Full or Limited Warranty</t>
        </is>
      </c>
      <c r="ET4" s="19" t="inlineStr">
        <is>
          <t>Warranty Length</t>
        </is>
      </c>
    </row>
    <row r="5" ht="50" customHeight="1">
      <c r="A5" s="34" t="inlineStr">
        <is>
          <t>Displays the error status and message for the first error in the row, with a link to the corresponding cell.</t>
        </is>
      </c>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4" t="inlineStr">
        <is>
          <t>Enter your product's brand (may be the same as the product's manufacturer). New brands must be created in the brand management tool in Partner Home before they can be selected here.</t>
        </is>
      </c>
      <c r="E5" s="34" t="inlineStr">
        <is>
          <t>Must be less than 64 characters and must be a unique value (products cannot be added if they have the same part number as something you already have in your catalog). This is the part number provided by the manufacturer.</t>
        </is>
      </c>
      <c r="F5" s="34" t="inlineStr">
        <is>
          <t>Must follow the standard UPC format and must be a unique value (products cannot be added if they have the same UPC as something you already have in your catalog).</t>
        </is>
      </c>
      <c r="G5" s="34" t="inlineStr">
        <is>
          <t>Please do not use abbreviations or exceed the 255 character limit. Wayfair may adjust the provided name based on marketing standards per class.</t>
        </is>
      </c>
      <c r="H5" s="34"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4" t="inlineStr">
        <is>
          <t>Enter the URL for the specific manufacturer product page of your product.</t>
        </is>
      </c>
      <c r="J5" s="34" t="inlineStr">
        <is>
          <t>Your supplier profile preference for currency is used to determine the currency of the base (wholesale) cost provided.</t>
        </is>
      </c>
      <c r="K5" s="34" t="inlineStr">
        <is>
          <t>The region selected for this sheet is used to determine the currency of the MAP provided. This may differ from the currency of your base cost.</t>
        </is>
      </c>
      <c r="L5" s="34" t="inlineStr">
        <is>
          <t>The region selected for this sheet is used to determine the currency of the MSRP provided. This may differ from the currency of your base cost.</t>
        </is>
      </c>
      <c r="M5" s="34" t="inlineStr">
        <is>
          <t>Please do not use special symbols (trademark, copyright, etc.) or extra lines/spacing. This should be a short, single paragraph product description in complete sentences highlighting details about key product information.</t>
        </is>
      </c>
      <c r="N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4" t="inlineStr">
        <is>
          <t>The minimum count of items a customer must choose to purchase the product.</t>
        </is>
      </c>
      <c r="T5" s="34" t="inlineStr">
        <is>
          <t>This represents how many items the customer must buy in increments of, or in addition to. For example, a multiplier of 2 would mean a custom must buy 1 quantity, 3 quantity, 5 quantity, or some other multiple of 2.</t>
        </is>
      </c>
      <c r="U5" s="34"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4" t="inlineStr">
        <is>
          <t>[Pounds] What is the total weight of this product once assembled? Please enter just the number (i.e. 45.5) without a unit of measurement.</t>
        </is>
      </c>
      <c r="W5" s="34" t="inlineStr">
        <is>
          <t>Enter small parcel or LTL to indicate how the product can ship based on size and weight.</t>
        </is>
      </c>
      <c r="X5" s="34" t="inlineStr">
        <is>
          <t>Each product falls into 1 of 18 classes determined by a product's 'transportability' and are crucial for calculating shipping cost. The field is required when ship type is LTL.</t>
        </is>
      </c>
      <c r="Y5" s="34" t="inlineStr">
        <is>
          <t>[Hours] This is the length of time from receipt of PO to shipment from the warehouse.</t>
        </is>
      </c>
      <c r="Z5" s="34" t="inlineStr">
        <is>
          <t>[Hours] This is length of time from receipt of a replacement PO to shipment from the warehouse</t>
        </is>
      </c>
      <c r="AA5" s="34" t="inlineStr">
        <is>
          <t>5 to 7 digit number in length (depending on any sub classification) that will identify what is shipping in the box</t>
        </is>
      </c>
      <c r="AB5" s="34" t="inlineStr">
        <is>
          <t>Also known as 'knocked down'. Select 'Yes' if this product ships disassembled in a flat pack box.</t>
        </is>
      </c>
      <c r="AC5" s="34" t="inlineStr">
        <is>
          <t>Select 'Yes' if this product ships on a pallet.</t>
        </is>
      </c>
      <c r="AD5" s="34" t="inlineStr">
        <is>
          <t>[Pounds] Enter in the shipping weight (i.e. 45.5) of the packaging used for the product.  If the product ships in more than one box, this measurement is per box.</t>
        </is>
      </c>
      <c r="AE5" s="34" t="inlineStr">
        <is>
          <t>[Inches] Enter in the shipping height (i.e. 45.5) of the packaging used for the product.  If the product ships in more than one box, this measurement is per box.</t>
        </is>
      </c>
      <c r="AF5" s="34" t="inlineStr">
        <is>
          <t>[Inches] Enter in the shipping width (i.e. 45.5) of the packaging used for the product.  If the product ships in more than one box, this measurement is per box.</t>
        </is>
      </c>
      <c r="AG5" s="34" t="inlineStr">
        <is>
          <t>[Inches] Enter in the shipping depth (i.e. 45.5) of the packaging used for the product.  If the product ships in more than one box, this measurement is per box.</t>
        </is>
      </c>
      <c r="AH5" s="34" t="inlineStr">
        <is>
          <t>If the product requires a warning for Proposition 65 compliance in California, answer 'Yes' and indicate which chemicals and toxicities are applicable.</t>
        </is>
      </c>
      <c r="AI5" s="34" t="inlineStr">
        <is>
          <t>Select the chemical that requires the Prop65 warning.</t>
        </is>
      </c>
      <c r="AJ5" s="34" t="inlineStr">
        <is>
          <t>Select the toxicity that can result from the selected chemical.</t>
        </is>
      </c>
      <c r="AK5" s="34" t="inlineStr">
        <is>
          <t>Provide only a single country of manufacture for each product.</t>
        </is>
      </c>
      <c r="AL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4" t="inlineStr">
        <is>
          <t>Provide the video’s file name with extension for separate uploads or a direct public URL. Do not exceed 10 videos per product.</t>
        </is>
      </c>
      <c r="AR5" s="34" t="inlineStr">
        <is>
          <t>Provide the document’s file name with extension for separate uploads or a direct public URL. Do not exceed 10 documents per product.</t>
        </is>
      </c>
      <c r="AS5" s="34" t="inlineStr">
        <is>
          <t>Select one or more values from the provided list that best describe the document’s purpose. This classification helps customers easily find information like “Installation &amp; Assembly” guides, “Warranty Information,” or “Specifications.</t>
        </is>
      </c>
      <c r="AT5" s="34" t="inlineStr">
        <is>
          <t>If the document serves as a legal notice or certification (e.g., “ASTM F2057 - 19,” “ANSI A117.1 Compliant”), select the specific type(s) from the provided list. This is used for compliance and to display certifications to customers.</t>
        </is>
      </c>
      <c r="AU5" s="34" t="inlineStr">
        <is>
          <t>Select the country or region where this document is legally applicable. This is crucial for compliance-related documents that may differ across locations.</t>
        </is>
      </c>
      <c r="AV5" s="34" t="inlineStr">
        <is>
          <t>Select the language in which the document is written.</t>
        </is>
      </c>
      <c r="AW5" s="34" t="inlineStr">
        <is>
          <t>Provide the document’s file name with extension for separate uploads or a direct public URL. Do not exceed 10 documents per product.</t>
        </is>
      </c>
      <c r="AX5" s="34" t="inlineStr">
        <is>
          <t>Select one or more values from the provided list that best describe the document’s purpose. This classification helps customers easily find information like “Installation &amp; Assembly” guides, “Warranty Information,” or “Specifications.</t>
        </is>
      </c>
      <c r="AY5" s="34" t="inlineStr">
        <is>
          <t>If the document serves as a legal notice or certification (e.g., “ASTM F2057 - 19,” “ANSI A117.1 Compliant”), select the specific type(s) from the provided list. This is used for compliance and to display certifications to customers.</t>
        </is>
      </c>
      <c r="AZ5" s="34" t="inlineStr">
        <is>
          <t>Select the country or region where this document is legally applicable. This is crucial for compliance-related documents that may differ across locations.</t>
        </is>
      </c>
      <c r="BA5" s="34" t="inlineStr">
        <is>
          <t>Select the language in which the document is written.</t>
        </is>
      </c>
      <c r="BB5" s="34" t="inlineStr">
        <is>
          <t>Provide the document’s file name with extension for separate uploads or a direct public URL. Do not exceed 10 documents per product.</t>
        </is>
      </c>
      <c r="BC5" s="34" t="inlineStr">
        <is>
          <t>Select one or more values from the provided list that best describe the document’s purpose. This classification helps customers easily find information like “Installation &amp; Assembly” guides, “Warranty Information,” or “Specifications.</t>
        </is>
      </c>
      <c r="BD5" s="34" t="inlineStr">
        <is>
          <t>If the document serves as a legal notice or certification (e.g., “ASTM F2057 - 19,” “ANSI A117.1 Compliant”), select the specific type(s) from the provided list. This is used for compliance and to display certifications to customers.</t>
        </is>
      </c>
      <c r="BE5" s="34" t="inlineStr">
        <is>
          <t>Select the country or region where this document is legally applicable. This is crucial for compliance-related documents that may differ across locations.</t>
        </is>
      </c>
      <c r="BF5" s="34" t="inlineStr">
        <is>
          <t>Select the language in which the document is written.</t>
        </is>
      </c>
      <c r="BG5" s="34" t="inlineStr">
        <is>
          <t>What type of product is this?</t>
        </is>
      </c>
      <c r="BH5" s="34" t="inlineStr">
        <is>
          <t>Does this product have a pier / bookcase included?</t>
        </is>
      </c>
      <c r="BI5" s="34" t="inlineStr">
        <is>
          <t>Does this product have any drawers?</t>
        </is>
      </c>
      <c r="BJ5" s="34" t="inlineStr">
        <is>
          <t>How many drawers are included in this product?</t>
        </is>
      </c>
      <c r="BK5" s="34" t="inlineStr">
        <is>
          <t>Does this product include cabinets?</t>
        </is>
      </c>
      <c r="BL5" s="34" t="inlineStr">
        <is>
          <t>Does this product include shelves?</t>
        </is>
      </c>
      <c r="BM5" s="34" t="inlineStr">
        <is>
          <t>Does this product have an open space with either another shelf above it or the top surface of the product above it? We do not define the top surface of the Accent Chest/Cabinet as an exterior shelf.</t>
        </is>
      </c>
      <c r="BN5" s="34" t="inlineStr">
        <is>
          <t>Does this product have interior shelves included?</t>
        </is>
      </c>
      <c r="BO5" s="34" t="inlineStr">
        <is>
          <t>Does this product have a bridge included?</t>
        </is>
      </c>
      <c r="BP5" s="34" t="inlineStr">
        <is>
          <t>What is the design of the piece of furniture?</t>
        </is>
      </c>
      <c r="BQ5" s="34" t="inlineStr">
        <is>
          <t>What material is the product made of?</t>
        </is>
      </c>
      <c r="BR5" s="34" t="inlineStr">
        <is>
          <t>What specific type of distressing does this product have? Select all that apply.</t>
        </is>
      </c>
      <c r="BS5" s="34" t="inlineStr">
        <is>
          <t>Which of the following types of natural variation and texture does the product have? Multiple can be selected if applicable. If the product does NOT have natural variation, please select No Natural Variation.</t>
        </is>
      </c>
      <c r="BT5" s="34" t="inlineStr">
        <is>
          <t>Does this product have a shiny and sheer gloss finish over the normal painted finish?</t>
        </is>
      </c>
      <c r="BU5" s="34" t="inlineStr">
        <is>
          <t>Is the surface of the product mirrored? Please do not select “yes” if the product only features a mirror. This question refers to the surface material of the product, and if it is reflective.</t>
        </is>
      </c>
      <c r="BV5" s="34" t="inlineStr">
        <is>
          <t>Does this product have a sound bar shelf included?</t>
        </is>
      </c>
      <c r="BW5" s="34" t="inlineStr">
        <is>
          <t>Does this product have adjustable shelves?</t>
        </is>
      </c>
      <c r="BX5" s="34" t="inlineStr">
        <is>
          <t>Does this product have media storage included?</t>
        </is>
      </c>
      <c r="BY5" s="34" t="inlineStr">
        <is>
          <t>Does this product have any built-in cable or wire management, such as a hole specifically for wires (a grommet) or a tray where wires can be stored?</t>
        </is>
      </c>
      <c r="BZ5" s="34" t="inlineStr">
        <is>
          <t>Does this product have wheels or casters?</t>
        </is>
      </c>
      <c r="CA5" s="34" t="inlineStr">
        <is>
          <t>Does this product have a fireplace included?</t>
        </is>
      </c>
      <c r="CB5" s="34"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4" t="inlineStr">
        <is>
          <t>Does this product include a device to prevent the product from tipping over? Tipover restraint devices (TRDs) include brackets, straps, or other specialized hardware</t>
        </is>
      </c>
      <c r="CD5" s="34" t="inlineStr">
        <is>
          <t>Does this product have an integrated tv mount included?</t>
        </is>
      </c>
      <c r="CE5" s="34" t="inlineStr">
        <is>
          <t>Is the height of this product adjustable?</t>
        </is>
      </c>
      <c r="CF5" s="34"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4"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4" t="inlineStr">
        <is>
          <t>Which technique was used to join together the main pieces of wood to construct the overall product?</t>
        </is>
      </c>
      <c r="CI5" s="34" t="inlineStr">
        <is>
          <t>Is the wood kiln-dried? If product is not made of wood, please select "does not apply."</t>
        </is>
      </c>
      <c r="CJ5" s="34" t="inlineStr">
        <is>
          <t>What type of wood was used to construct this product? This describes the actual materials used, not the product's appearance.</t>
        </is>
      </c>
      <c r="CK5" s="34" t="inlineStr">
        <is>
          <t>Is the product a battery or does the product include batteries?</t>
        </is>
      </c>
      <c r="CL5" s="34" t="inlineStr">
        <is>
          <t>What is the composition of the batteries included with product?</t>
        </is>
      </c>
      <c r="CM5" s="34" t="inlineStr">
        <is>
          <t>What type is the battery? Button Cell, Cell, Battery?</t>
        </is>
      </c>
      <c r="CN5" s="34" t="inlineStr">
        <is>
          <t>Confirm number of batteries in this product</t>
        </is>
      </c>
      <c r="CO5" s="34" t="inlineStr">
        <is>
          <t>Do the cells/batteries ship stand alone/packed with the equipment/ contained (installed) in the equipment?</t>
        </is>
      </c>
      <c r="CP5" s="34"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4"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4" t="inlineStr">
        <is>
          <t>What is the net weight of the cells or batteries that ship with the product in grams or kilograms.</t>
        </is>
      </c>
      <c r="CS5" s="34" t="inlineStr">
        <is>
          <t>Can the amount of heat be adjusted?</t>
        </is>
      </c>
      <c r="CT5" s="34" t="inlineStr">
        <is>
          <t>Can the brightness, size, or color of the flame be adjusted?</t>
        </is>
      </c>
      <c r="CU5" s="34" t="inlineStr">
        <is>
          <t>[Pounds] What is the maximum weight capacity of the product? Please enter just the number (i.e., 45.5).</t>
        </is>
      </c>
      <c r="CV5" s="34" t="inlineStr">
        <is>
          <t>What is the appropriate way to clean and/or care for this product? Please select as many answers as applicable.</t>
        </is>
      </c>
      <c r="CW5" s="34" t="inlineStr">
        <is>
          <t>Is this product unfinished (no paint, stain, or varnish)?</t>
        </is>
      </c>
      <c r="CX5" s="34" t="inlineStr">
        <is>
          <t>What material are the shelves made of?</t>
        </is>
      </c>
      <c r="CY5" s="34" t="inlineStr">
        <is>
          <t>What is the color or finish of the product? If your color/finish name is not listed, please type in the value.</t>
        </is>
      </c>
      <c r="CZ5" s="34" t="inlineStr">
        <is>
          <t>Please select which type of glide the drawer features and/or how far it can extend.</t>
        </is>
      </c>
      <c r="DA5" s="34" t="inlineStr">
        <is>
          <t>What type of vent does this product have?</t>
        </is>
      </c>
      <c r="DB5" s="34" t="inlineStr">
        <is>
          <t>What is the source of fuel needed in order for this product to function?</t>
        </is>
      </c>
      <c r="DC5" s="34" t="inlineStr">
        <is>
          <t>Please select the design of the product.</t>
        </is>
      </c>
      <c r="DD5" s="34" t="inlineStr">
        <is>
          <t>Is there a a raised pattern of parallel lines on a surface of this product?</t>
        </is>
      </c>
      <c r="DE5" s="34" t="inlineStr">
        <is>
          <t>Is there a a concave pattern of parallel lines on a surface of this product?</t>
        </is>
      </c>
      <c r="DF5" s="34" t="inlineStr">
        <is>
          <t>What pieces are included with this product?</t>
        </is>
      </c>
      <c r="DG5" s="34" t="inlineStr">
        <is>
          <t>How many cabinets does this product have?</t>
        </is>
      </c>
      <c r="DH5" s="34" t="inlineStr">
        <is>
          <t>Do any drawers feature safety stops (intended to keep the drawers from pulling all the way out)?</t>
        </is>
      </c>
      <c r="DI5" s="34" t="inlineStr">
        <is>
          <t>What type of Fireplace is included?</t>
        </is>
      </c>
      <c r="DJ5" s="34" t="inlineStr">
        <is>
          <t>Does this product have a General Certificate of Conformity (GCC), as required by the U.S. CPSC for certain product classes?</t>
        </is>
      </c>
      <c r="DK5" s="34"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4" t="inlineStr">
        <is>
          <t>Is this product certified compliant for CARB ATCM Phase II formaldehyde emission standards from Composite Wood Products [California Air Resources Board (CARB)- Airborne Toxic Control Measures (ATCM) Phase II]</t>
        </is>
      </c>
      <c r="DM5" s="34" t="inlineStr">
        <is>
          <t>Is this product certified TSCA Title VI compliant regarding formaldehyde emissions from Composite Wood Products [Environmental Protection Agency (EPA)-Toxic Substance Control Act (TSCA)-Title VI]</t>
        </is>
      </c>
      <c r="DN5" s="34"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4"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4"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4" t="inlineStr">
        <is>
          <t>Please select the reason this product can not ship to Canada?  Please select from the options or write in a reason if not selectable</t>
        </is>
      </c>
      <c r="DR5" s="34" t="inlineStr">
        <is>
          <t>Is this product UL 1678 Listed? This means that the international standards testing company UL (Underwriters' Laboratories) has tested this product and found it to be in compliance with Category 1678 safety standards.</t>
        </is>
      </c>
      <c r="DS5" s="34"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4"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4"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4"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4"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4"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4" t="inlineStr">
        <is>
          <t>Which of the following certification or verification marks does your product have? If the item is not certified/verified with any safety listing, please select Does Not Apply.</t>
        </is>
      </c>
      <c r="DZ5" s="34"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4"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4" t="inlineStr">
        <is>
          <t>Is the packaging for this SKU ISTA Certified (1A, 3A, 6A)?</t>
        </is>
      </c>
      <c r="EC5" s="34"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4"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4" t="inlineStr">
        <is>
          <t>[Inches] What is the overall width of the TV Stand (side to side)? Please enter just the number (i.e. 45.5). Please DO NOT duplicate this tag - any additional information can be stored in Shelf Dimensions, Cabinet Dimensions, or as a bullet.</t>
        </is>
      </c>
      <c r="EF5" s="34" t="inlineStr">
        <is>
          <t>[Inches] What is the overall depth of the TV Stand (front to back)? Please enter just the number (i.e. 45.5).</t>
        </is>
      </c>
      <c r="EG5" s="34" t="inlineStr">
        <is>
          <t>[Inches] What is the overall height of the Entertainment Center (top to bottom)? Enter just the value (i.e., 45.5).</t>
        </is>
      </c>
      <c r="EH5" s="34" t="inlineStr">
        <is>
          <t>[Inches] What is the overall width of the Entertainment Center (side to side)? Please enter just the number (i.e. 45.5). Please DO NOT duplicate this tag - any additional information can be stored in Shelf Dimensions, Cabinet Dimensions, or as a bullet.</t>
        </is>
      </c>
      <c r="EI5" s="34" t="inlineStr">
        <is>
          <t>[Inches] What is the overall depth of the Entertainment Center (front to back)? Enter just the value (i.e., 45.5).</t>
        </is>
      </c>
      <c r="EJ5" s="34" t="inlineStr">
        <is>
          <t>[Pounds] What is the total weight of this product once assembled? If this product includes multiples of the same item, add weight of one individual unit (e.g. 1 Dining Chair in a set of 2). Please enter just the number (i.e. 45.5).</t>
        </is>
      </c>
      <c r="EK5" s="34"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4" t="inlineStr">
        <is>
          <t>[Inches] What is the overall height of the TV stand (top to bottom)? Enter just the value (i.e., 45.5).</t>
        </is>
      </c>
      <c r="EM5" s="34" t="inlineStr">
        <is>
          <t>Does the product require any form of assembly prior to use as intended?</t>
        </is>
      </c>
      <c r="EN5" s="34" t="inlineStr">
        <is>
          <t>What is the level of assembly required?</t>
        </is>
      </c>
      <c r="EO5" s="34" t="inlineStr">
        <is>
          <t>What additional tools will the customer need to set-up this product that are NOT included with purchase?</t>
        </is>
      </c>
      <c r="EP5" s="34" t="inlineStr">
        <is>
          <t>Does the manufacturer warranty cover the use of this product in a commercial environment?</t>
        </is>
      </c>
      <c r="EQ5" s="34"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4" t="inlineStr">
        <is>
          <t>Please indicate if there is a warranty on this product if it were to be used in a residential setting.</t>
        </is>
      </c>
      <c r="ES5" s="34" t="inlineStr">
        <is>
          <t>Please indicate if the warranty is Full or Limited.</t>
        </is>
      </c>
      <c r="ET5" s="34"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4" t="inlineStr">
        <is>
          <t>Read-Only</t>
        </is>
      </c>
      <c r="B6" s="34" t="inlineStr">
        <is>
          <t>Text</t>
        </is>
      </c>
      <c r="C6" s="34" t="inlineStr">
        <is>
          <t>Text</t>
        </is>
      </c>
      <c r="D6" s="35" t="inlineStr">
        <is>
          <t>Select</t>
        </is>
      </c>
      <c r="E6" s="34" t="inlineStr">
        <is>
          <t>Text</t>
        </is>
      </c>
      <c r="F6" s="34" t="inlineStr">
        <is>
          <t>Text</t>
        </is>
      </c>
      <c r="G6" s="34" t="inlineStr">
        <is>
          <t>Text</t>
        </is>
      </c>
      <c r="H6" s="34" t="inlineStr">
        <is>
          <t>Text</t>
        </is>
      </c>
      <c r="I6" s="34" t="inlineStr">
        <is>
          <t>Text</t>
        </is>
      </c>
      <c r="J6" s="34" t="inlineStr">
        <is>
          <t>Number</t>
        </is>
      </c>
      <c r="K6" s="34" t="inlineStr">
        <is>
          <t>Number</t>
        </is>
      </c>
      <c r="L6" s="34" t="inlineStr">
        <is>
          <t>Number</t>
        </is>
      </c>
      <c r="M6" s="34" t="inlineStr">
        <is>
          <t>Text</t>
        </is>
      </c>
      <c r="N6" s="34" t="inlineStr">
        <is>
          <t>Text</t>
        </is>
      </c>
      <c r="O6" s="34" t="inlineStr">
        <is>
          <t>Text</t>
        </is>
      </c>
      <c r="P6" s="34" t="inlineStr">
        <is>
          <t>Text</t>
        </is>
      </c>
      <c r="Q6" s="34" t="inlineStr">
        <is>
          <t>Text</t>
        </is>
      </c>
      <c r="R6" s="34" t="inlineStr">
        <is>
          <t>Text</t>
        </is>
      </c>
      <c r="S6" s="34" t="inlineStr">
        <is>
          <t>Whole Number</t>
        </is>
      </c>
      <c r="T6" s="34" t="inlineStr">
        <is>
          <t>Whole Number</t>
        </is>
      </c>
      <c r="U6" s="34" t="inlineStr">
        <is>
          <t>Whole Number</t>
        </is>
      </c>
      <c r="V6" s="34" t="inlineStr">
        <is>
          <t>Number</t>
        </is>
      </c>
      <c r="W6" s="35" t="inlineStr">
        <is>
          <t>Select</t>
        </is>
      </c>
      <c r="X6" s="35" t="inlineStr">
        <is>
          <t>Select</t>
        </is>
      </c>
      <c r="Y6" s="35" t="inlineStr">
        <is>
          <t>Select</t>
        </is>
      </c>
      <c r="Z6" s="35" t="inlineStr">
        <is>
          <t>Select</t>
        </is>
      </c>
      <c r="AA6" s="34" t="inlineStr">
        <is>
          <t>Text</t>
        </is>
      </c>
      <c r="AB6" s="34" t="inlineStr">
        <is>
          <t>Yes or No</t>
        </is>
      </c>
      <c r="AC6" s="34" t="inlineStr">
        <is>
          <t>Yes or No</t>
        </is>
      </c>
      <c r="AD6" s="34" t="inlineStr">
        <is>
          <t>Number</t>
        </is>
      </c>
      <c r="AE6" s="34" t="inlineStr">
        <is>
          <t>Number</t>
        </is>
      </c>
      <c r="AF6" s="34" t="inlineStr">
        <is>
          <t>Number</t>
        </is>
      </c>
      <c r="AG6" s="34" t="inlineStr">
        <is>
          <t>Number</t>
        </is>
      </c>
      <c r="AH6" s="34" t="inlineStr">
        <is>
          <t>Yes or No</t>
        </is>
      </c>
      <c r="AI6" s="35" t="inlineStr">
        <is>
          <t>Select</t>
        </is>
      </c>
      <c r="AJ6" s="35" t="inlineStr">
        <is>
          <t>Please choose one or more from the following, using a semicolon (;) to separate each value: Cancer; Developmental</t>
        </is>
      </c>
      <c r="AK6" s="35" t="inlineStr">
        <is>
          <t>Select</t>
        </is>
      </c>
      <c r="AL6" s="34" t="inlineStr">
        <is>
          <t>Text</t>
        </is>
      </c>
      <c r="AM6" s="34" t="inlineStr">
        <is>
          <t>Text</t>
        </is>
      </c>
      <c r="AN6" s="34" t="inlineStr">
        <is>
          <t>Text</t>
        </is>
      </c>
      <c r="AO6" s="34" t="inlineStr">
        <is>
          <t>Text</t>
        </is>
      </c>
      <c r="AP6" s="34" t="inlineStr">
        <is>
          <t>Text</t>
        </is>
      </c>
      <c r="AQ6" s="34" t="inlineStr">
        <is>
          <t>Text</t>
        </is>
      </c>
      <c r="AR6" s="34" t="inlineStr">
        <is>
          <t>Text</t>
        </is>
      </c>
      <c r="AS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5" t="inlineStr">
        <is>
          <t>Select</t>
        </is>
      </c>
      <c r="AV6" s="35" t="inlineStr">
        <is>
          <t>Select</t>
        </is>
      </c>
      <c r="AW6" s="34" t="inlineStr">
        <is>
          <t>Text</t>
        </is>
      </c>
      <c r="AX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5" t="inlineStr">
        <is>
          <t>Select</t>
        </is>
      </c>
      <c r="BA6" s="35" t="inlineStr">
        <is>
          <t>Select</t>
        </is>
      </c>
      <c r="BB6" s="34" t="inlineStr">
        <is>
          <t>Text</t>
        </is>
      </c>
      <c r="BC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5" t="inlineStr">
        <is>
          <t>Select</t>
        </is>
      </c>
      <c r="BF6" s="35" t="inlineStr">
        <is>
          <t>Select</t>
        </is>
      </c>
      <c r="BG6" s="35" t="inlineStr">
        <is>
          <t>Select</t>
        </is>
      </c>
      <c r="BH6" s="34" t="inlineStr">
        <is>
          <t>Yes or No</t>
        </is>
      </c>
      <c r="BI6" s="34" t="inlineStr">
        <is>
          <t>Yes or No</t>
        </is>
      </c>
      <c r="BJ6" s="34" t="inlineStr">
        <is>
          <t>Whole Number</t>
        </is>
      </c>
      <c r="BK6" s="34" t="inlineStr">
        <is>
          <t>Yes or No</t>
        </is>
      </c>
      <c r="BL6" s="34" t="inlineStr">
        <is>
          <t>Yes or No</t>
        </is>
      </c>
      <c r="BM6" s="34" t="inlineStr">
        <is>
          <t>Yes or No</t>
        </is>
      </c>
      <c r="BN6" s="34" t="inlineStr">
        <is>
          <t>Yes or No</t>
        </is>
      </c>
      <c r="BO6" s="34" t="inlineStr">
        <is>
          <t>Yes or No</t>
        </is>
      </c>
      <c r="BP6" s="35"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5"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5"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5" t="inlineStr">
        <is>
          <t>Please choose one or more from the following, using a semicolon (;) to separate each value: No Natural Variation; Natural Wood Grain Color Variation; Weathered Steel; Wood Knots; Natural Stone Color Variation; Unavailable</t>
        </is>
      </c>
      <c r="BT6" s="34" t="inlineStr">
        <is>
          <t>Yes or No</t>
        </is>
      </c>
      <c r="BU6" s="34" t="inlineStr">
        <is>
          <t>Yes or No</t>
        </is>
      </c>
      <c r="BV6" s="34" t="inlineStr">
        <is>
          <t>Yes or No</t>
        </is>
      </c>
      <c r="BW6" s="34" t="inlineStr">
        <is>
          <t>Yes or No</t>
        </is>
      </c>
      <c r="BX6" s="34" t="inlineStr">
        <is>
          <t>Yes or No</t>
        </is>
      </c>
      <c r="BY6" s="34" t="inlineStr">
        <is>
          <t>Yes or No</t>
        </is>
      </c>
      <c r="BZ6" s="34" t="inlineStr">
        <is>
          <t>Yes or No</t>
        </is>
      </c>
      <c r="CA6" s="34" t="inlineStr">
        <is>
          <t>Yes or No</t>
        </is>
      </c>
      <c r="CB6" s="34" t="inlineStr">
        <is>
          <t>Yes or No</t>
        </is>
      </c>
      <c r="CC6" s="35" t="inlineStr">
        <is>
          <t>Select</t>
        </is>
      </c>
      <c r="CD6" s="34" t="inlineStr">
        <is>
          <t>Yes or No</t>
        </is>
      </c>
      <c r="CE6" s="34" t="inlineStr">
        <is>
          <t>Yes or No</t>
        </is>
      </c>
      <c r="CF6" s="35" t="inlineStr">
        <is>
          <t>Please choose one or more from the following, using a semicolon (;) to separate each value: Non Residential Use; Residential Use</t>
        </is>
      </c>
      <c r="CG6" s="35" t="inlineStr">
        <is>
          <t>Please choose one or more from the following, using a semicolon (;) to separate each value: Made in USA; Made in USA of Imported Materials; Product of Canada; Made In Canada; Does Not Apply</t>
        </is>
      </c>
      <c r="CH6" s="35" t="inlineStr">
        <is>
          <t>Select</t>
        </is>
      </c>
      <c r="CI6" s="34" t="inlineStr">
        <is>
          <t>Yes or No</t>
        </is>
      </c>
      <c r="CJ6" s="35"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4" t="inlineStr">
        <is>
          <t>Yes or No</t>
        </is>
      </c>
      <c r="CL6" s="35" t="inlineStr">
        <is>
          <t>Select</t>
        </is>
      </c>
      <c r="CM6" s="35" t="inlineStr">
        <is>
          <t>Select</t>
        </is>
      </c>
      <c r="CN6" s="35" t="inlineStr">
        <is>
          <t>Select</t>
        </is>
      </c>
      <c r="CO6" s="35" t="inlineStr">
        <is>
          <t>Select</t>
        </is>
      </c>
      <c r="CP6" s="35" t="inlineStr">
        <is>
          <t>Select</t>
        </is>
      </c>
      <c r="CQ6" s="35" t="inlineStr">
        <is>
          <t>Select</t>
        </is>
      </c>
      <c r="CR6" s="35" t="inlineStr">
        <is>
          <t>Select</t>
        </is>
      </c>
      <c r="CS6" s="34" t="inlineStr">
        <is>
          <t>Yes or No</t>
        </is>
      </c>
      <c r="CT6" s="34" t="inlineStr">
        <is>
          <t>Yes or No</t>
        </is>
      </c>
      <c r="CU6" s="34" t="inlineStr">
        <is>
          <t>Number</t>
        </is>
      </c>
      <c r="CV6" s="35"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4" t="inlineStr">
        <is>
          <t>Yes or No</t>
        </is>
      </c>
      <c r="CX6" s="35"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5"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5"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5" t="inlineStr">
        <is>
          <t>Select</t>
        </is>
      </c>
      <c r="DB6" s="35" t="inlineStr">
        <is>
          <t>Please choose one or more from the following, using a semicolon (;) to separate each value: Electric; Dual Fuel; Induction; Wood Pellets; Natural Gas; Liquid Propane; Wood Burning; Gel Fuel; Bio-Ethanol; Propane; Butane; Charcoal; Ethanol; Alcohol; Does Not Apply</t>
        </is>
      </c>
      <c r="DC6" s="35" t="inlineStr">
        <is>
          <t>Please choose one or more from the following, using a semicolon (;) to separate each value: Flush; Glass; Louvered; Paneled; Mirrored; Barn Doors; Frosted; Insulated; Contoured; Tinted; See Through; Double Pane; Does Not Apply</t>
        </is>
      </c>
      <c r="DD6" s="34" t="inlineStr">
        <is>
          <t>Yes or No</t>
        </is>
      </c>
      <c r="DE6" s="34" t="inlineStr">
        <is>
          <t>Yes or No</t>
        </is>
      </c>
      <c r="DF6" s="35"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4" t="inlineStr">
        <is>
          <t>Whole Number</t>
        </is>
      </c>
      <c r="DH6" s="34" t="inlineStr">
        <is>
          <t>Yes or No</t>
        </is>
      </c>
      <c r="DI6" s="35" t="inlineStr">
        <is>
          <t>Please choose one or more from the following, using a semicolon (;) to separate each value: Gel; Gas; Wood; Electric; Unavailable; Does Not Apply</t>
        </is>
      </c>
      <c r="DJ6" s="35" t="inlineStr">
        <is>
          <t>Select</t>
        </is>
      </c>
      <c r="DK6" s="34" t="inlineStr">
        <is>
          <t>Yes or No</t>
        </is>
      </c>
      <c r="DL6" s="35" t="inlineStr">
        <is>
          <t>Select</t>
        </is>
      </c>
      <c r="DM6" s="35" t="inlineStr">
        <is>
          <t>Select</t>
        </is>
      </c>
      <c r="DN6" s="35" t="inlineStr">
        <is>
          <t>Select</t>
        </is>
      </c>
      <c r="DO6" s="35" t="inlineStr">
        <is>
          <t>Select</t>
        </is>
      </c>
      <c r="DP6" s="34" t="inlineStr">
        <is>
          <t>Yes or No</t>
        </is>
      </c>
      <c r="DQ6" s="35" t="inlineStr">
        <is>
          <t>Please choose one or more from the following, using a semicolon (;) to separate each value: Dual Language; Distribution Conflict; Logistics; Does Not Apply</t>
        </is>
      </c>
      <c r="DR6" s="35" t="inlineStr">
        <is>
          <t>Select</t>
        </is>
      </c>
      <c r="DS6" s="34" t="inlineStr">
        <is>
          <t>Yes or No</t>
        </is>
      </c>
      <c r="DT6" s="35"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5" t="inlineStr">
        <is>
          <t>Select</t>
        </is>
      </c>
      <c r="DV6" s="35" t="inlineStr">
        <is>
          <t>Select</t>
        </is>
      </c>
      <c r="DW6" s="35" t="inlineStr">
        <is>
          <t>Select</t>
        </is>
      </c>
      <c r="DX6" s="35" t="inlineStr">
        <is>
          <t>Select</t>
        </is>
      </c>
      <c r="DY6" s="35"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4" t="inlineStr">
        <is>
          <t>Text</t>
        </is>
      </c>
      <c r="EA6" s="35" t="inlineStr">
        <is>
          <t>Select</t>
        </is>
      </c>
      <c r="EB6" s="35" t="inlineStr">
        <is>
          <t>Select</t>
        </is>
      </c>
      <c r="EC6" s="34" t="inlineStr">
        <is>
          <t>Yes or No</t>
        </is>
      </c>
      <c r="ED6" s="35" t="inlineStr">
        <is>
          <t>Select</t>
        </is>
      </c>
      <c r="EE6" s="34" t="inlineStr">
        <is>
          <t>Number</t>
        </is>
      </c>
      <c r="EF6" s="34" t="inlineStr">
        <is>
          <t>Number</t>
        </is>
      </c>
      <c r="EG6" s="34" t="inlineStr">
        <is>
          <t>Number</t>
        </is>
      </c>
      <c r="EH6" s="34" t="inlineStr">
        <is>
          <t>Number</t>
        </is>
      </c>
      <c r="EI6" s="34" t="inlineStr">
        <is>
          <t>Number</t>
        </is>
      </c>
      <c r="EJ6" s="34" t="inlineStr">
        <is>
          <t>Number</t>
        </is>
      </c>
      <c r="EK6" s="35" t="inlineStr">
        <is>
          <t>Select</t>
        </is>
      </c>
      <c r="EL6" s="34" t="inlineStr">
        <is>
          <t>Number</t>
        </is>
      </c>
      <c r="EM6" s="34" t="inlineStr">
        <is>
          <t>Yes or No</t>
        </is>
      </c>
      <c r="EN6" s="35" t="inlineStr">
        <is>
          <t>Select</t>
        </is>
      </c>
      <c r="EO6" s="35"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4" t="inlineStr">
        <is>
          <t>Yes or No</t>
        </is>
      </c>
      <c r="EQ6" s="35" t="inlineStr">
        <is>
          <t>Select</t>
        </is>
      </c>
      <c r="ER6" s="34" t="inlineStr">
        <is>
          <t>Yes or No</t>
        </is>
      </c>
      <c r="ES6" s="35" t="inlineStr">
        <is>
          <t>Select</t>
        </is>
      </c>
      <c r="ET6" s="35"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6" t="inlineStr">
        <is>
          <t>Default Row:</t>
        </is>
      </c>
      <c r="C7" s="36" t="inlineStr">
        <is>
          <t>N/A</t>
        </is>
      </c>
      <c r="D7" s="37" t="n"/>
      <c r="E7" s="36" t="inlineStr">
        <is>
          <t>N/A</t>
        </is>
      </c>
      <c r="F7" s="36" t="inlineStr">
        <is>
          <t>N/A</t>
        </is>
      </c>
      <c r="G7" s="36" t="inlineStr">
        <is>
          <t>N/A</t>
        </is>
      </c>
      <c r="H7" s="37" t="n"/>
      <c r="I7" s="36" t="inlineStr">
        <is>
          <t>N/A</t>
        </is>
      </c>
      <c r="J7" s="36" t="inlineStr">
        <is>
          <t>N/A</t>
        </is>
      </c>
      <c r="K7" s="37" t="n"/>
      <c r="L7" s="37" t="n"/>
      <c r="M7" s="37" t="n"/>
      <c r="N7" s="37" t="n"/>
      <c r="O7" s="37" t="n"/>
      <c r="P7" s="37" t="n"/>
      <c r="Q7" s="37" t="n"/>
      <c r="R7" s="37" t="n"/>
      <c r="S7" s="37" t="n"/>
      <c r="T7" s="37" t="n"/>
      <c r="U7" s="37" t="n"/>
      <c r="V7" s="37" t="n"/>
      <c r="W7" s="37" t="n"/>
      <c r="X7" s="37" t="n"/>
      <c r="Y7" s="37" t="n"/>
      <c r="Z7" s="37" t="n"/>
      <c r="AA7" s="37" t="n"/>
      <c r="AB7" s="37" t="n"/>
      <c r="AC7" s="37" t="n"/>
      <c r="AD7" s="37" t="n"/>
      <c r="AE7" s="37" t="n"/>
      <c r="AF7" s="37" t="n"/>
      <c r="AG7" s="37" t="n"/>
      <c r="AH7" s="37" t="n"/>
      <c r="AI7" s="37" t="n"/>
      <c r="AJ7" s="37" t="n"/>
      <c r="AK7" s="37" t="n"/>
      <c r="AL7" s="36" t="inlineStr">
        <is>
          <t>N/A</t>
        </is>
      </c>
      <c r="AM7" s="36" t="inlineStr">
        <is>
          <t>N/A</t>
        </is>
      </c>
      <c r="AN7" s="36" t="inlineStr">
        <is>
          <t>N/A</t>
        </is>
      </c>
      <c r="AO7" s="36" t="inlineStr">
        <is>
          <t>N/A</t>
        </is>
      </c>
      <c r="AP7" s="36" t="inlineStr">
        <is>
          <t>N/A</t>
        </is>
      </c>
      <c r="AQ7" s="36" t="inlineStr">
        <is>
          <t>N/A</t>
        </is>
      </c>
      <c r="AR7" s="37" t="n"/>
      <c r="AS7" s="37" t="n"/>
      <c r="AT7" s="37" t="n"/>
      <c r="AU7" s="37" t="n"/>
      <c r="AV7" s="37" t="n"/>
      <c r="AW7" s="37" t="n"/>
      <c r="AX7" s="37" t="n"/>
      <c r="AY7" s="37" t="n"/>
      <c r="AZ7" s="37" t="n"/>
      <c r="BA7" s="37" t="n"/>
      <c r="BB7" s="37" t="n"/>
      <c r="BC7" s="37" t="n"/>
      <c r="BD7" s="37" t="n"/>
      <c r="BE7" s="37" t="n"/>
      <c r="BF7" s="37" t="n"/>
      <c r="BG7" s="37" t="n"/>
      <c r="BH7" s="37" t="n"/>
      <c r="BI7" s="37" t="n"/>
      <c r="BJ7" s="37" t="n"/>
      <c r="BK7" s="37" t="n"/>
      <c r="BL7" s="37" t="n"/>
      <c r="BM7" s="37" t="n"/>
      <c r="BN7" s="37" t="n"/>
      <c r="BO7" s="37" t="n"/>
      <c r="BP7" s="37" t="n"/>
      <c r="BQ7" s="37" t="n"/>
      <c r="BR7" s="37" t="n"/>
      <c r="BS7" s="37" t="n"/>
      <c r="BT7" s="37" t="n"/>
      <c r="BU7" s="37" t="n"/>
      <c r="BV7" s="37" t="n"/>
      <c r="BW7" s="37" t="n"/>
      <c r="BX7" s="37" t="n"/>
      <c r="BY7" s="37" t="n"/>
      <c r="BZ7" s="37" t="n"/>
      <c r="CA7" s="37" t="n"/>
      <c r="CB7" s="37" t="n"/>
      <c r="CC7" s="37" t="n"/>
      <c r="CD7" s="37" t="n"/>
      <c r="CE7" s="37" t="n"/>
      <c r="CF7" s="37" t="n"/>
      <c r="CG7" s="37" t="n"/>
      <c r="CH7" s="37" t="n"/>
      <c r="CI7" s="37" t="n"/>
      <c r="CJ7" s="37" t="n"/>
      <c r="CK7" s="37" t="n"/>
      <c r="CL7" s="37" t="n"/>
      <c r="CM7" s="37" t="n"/>
      <c r="CN7" s="37" t="n"/>
      <c r="CO7" s="37" t="n"/>
      <c r="CP7" s="37" t="n"/>
      <c r="CQ7" s="37" t="n"/>
      <c r="CR7" s="37" t="n"/>
      <c r="CS7" s="37" t="n"/>
      <c r="CT7" s="37" t="n"/>
      <c r="CU7" s="37" t="n"/>
      <c r="CV7" s="37" t="n"/>
      <c r="CW7" s="37" t="n"/>
      <c r="CX7" s="37" t="n"/>
      <c r="CY7" s="37" t="n"/>
      <c r="CZ7" s="37" t="n"/>
      <c r="DA7" s="37" t="n"/>
      <c r="DB7" s="37" t="n"/>
      <c r="DC7" s="37" t="n"/>
      <c r="DD7" s="37" t="n"/>
      <c r="DE7" s="37" t="n"/>
      <c r="DF7" s="37" t="n"/>
      <c r="DG7" s="37" t="n"/>
      <c r="DH7" s="37" t="n"/>
      <c r="DI7" s="37" t="n"/>
      <c r="DJ7" s="37" t="n"/>
      <c r="DK7" s="37" t="n"/>
      <c r="DL7" s="37" t="n"/>
      <c r="DM7" s="37" t="n"/>
      <c r="DN7" s="37" t="n"/>
      <c r="DO7" s="37" t="n"/>
      <c r="DP7" s="37" t="n"/>
      <c r="DQ7" s="37" t="n"/>
      <c r="DR7" s="37" t="n"/>
      <c r="DS7" s="37" t="n"/>
      <c r="DT7" s="37" t="n"/>
      <c r="DU7" s="37" t="n"/>
      <c r="DV7" s="37" t="n"/>
      <c r="DW7" s="37" t="n"/>
      <c r="DX7" s="37" t="n"/>
      <c r="DY7" s="37" t="n"/>
      <c r="DZ7" s="37" t="n"/>
      <c r="EA7" s="37" t="n"/>
      <c r="EB7" s="37" t="n"/>
      <c r="EC7" s="37" t="n"/>
      <c r="ED7" s="37" t="n"/>
      <c r="EE7" s="37" t="n"/>
      <c r="EF7" s="37" t="n"/>
      <c r="EG7" s="37" t="n"/>
      <c r="EH7" s="37" t="n"/>
      <c r="EI7" s="37" t="n"/>
      <c r="EJ7" s="37" t="n"/>
      <c r="EK7" s="37" t="n"/>
      <c r="EL7" s="37" t="n"/>
      <c r="EM7" s="37" t="n"/>
      <c r="EN7" s="37" t="n"/>
      <c r="EO7" s="37" t="n"/>
      <c r="EP7" s="37" t="n"/>
      <c r="EQ7" s="37" t="n"/>
      <c r="ER7" s="37" t="n"/>
      <c r="ES7" s="37" t="n"/>
      <c r="ET7" s="37" t="n"/>
    </row>
    <row r="8">
      <c r="A8" s="38">
        <f>IF('6 - TV Stands &amp; Enterta'!B8 = "", "", IF('6 - TV Stands &amp; Enterta-WUO_ERR'!A8 = "", "Validated", HYPERLINK("#" &amp; ADDRESS(8, '6 - TV Stands &amp; Enterta-WUO_TRK'!A8),_xlfn.TEXTAFTER('6 - TV Stands &amp; Enterta-WUO_ERR'!A8, ":"))))</f>
        <v/>
      </c>
      <c r="B8" t="inlineStr">
        <is>
          <t>CASA-TV-018</t>
        </is>
      </c>
      <c r="D8" t="inlineStr">
        <is>
          <t>Casa Design Furniture</t>
        </is>
      </c>
      <c r="E8" t="inlineStr">
        <is>
          <t>CASA-TV-018</t>
        </is>
      </c>
      <c r="F8" t="inlineStr">
        <is>
          <t>840134100181</t>
        </is>
      </c>
      <c r="G8" t="inlineStr">
        <is>
          <t>#018 NORALIE TV STAND &amp; FIREPLACE</t>
        </is>
      </c>
      <c r="J8" t="n">
        <v>899</v>
      </c>
      <c r="M8" t="inlineStr">
        <is>
          <t>Elevate your home with the #018 NORALIE TV STAND &amp; FIREPLACE. A perfect blend of style and functionality for modern living spaces.</t>
        </is>
      </c>
      <c r="S8" t="n">
        <v>1</v>
      </c>
      <c r="T8" t="n">
        <v>1</v>
      </c>
      <c r="U8" t="n">
        <v>1</v>
      </c>
      <c r="V8" t="n">
        <v>85</v>
      </c>
      <c r="W8" t="inlineStr">
        <is>
          <t>N/A</t>
        </is>
      </c>
      <c r="Y8" t="inlineStr">
        <is>
          <t>N/A</t>
        </is>
      </c>
      <c r="Z8" t="inlineStr">
        <is>
          <t>N/A</t>
        </is>
      </c>
      <c r="AD8" t="inlineStr">
        <is>
          <t>N/A</t>
        </is>
      </c>
      <c r="AE8" t="inlineStr">
        <is>
          <t>N/A</t>
        </is>
      </c>
      <c r="AF8" t="inlineStr">
        <is>
          <t>N/A</t>
        </is>
      </c>
      <c r="AG8" t="inlineStr">
        <is>
          <t>N/A</t>
        </is>
      </c>
      <c r="AH8" t="inlineStr">
        <is>
          <t>No</t>
        </is>
      </c>
      <c r="AK8" t="inlineStr">
        <is>
          <t>N/A</t>
        </is>
      </c>
      <c r="AL8" t="inlineStr">
        <is>
          <t>N/A</t>
        </is>
      </c>
      <c r="BG8" t="inlineStr">
        <is>
          <t>N/A</t>
        </is>
      </c>
      <c r="BI8" t="inlineStr">
        <is>
          <t>Yes</t>
        </is>
      </c>
      <c r="BJ8" t="n">
        <v>2</v>
      </c>
      <c r="BK8" t="inlineStr">
        <is>
          <t>Yes</t>
        </is>
      </c>
      <c r="BP8" t="inlineStr">
        <is>
          <t>N/A</t>
        </is>
      </c>
      <c r="BQ8" t="inlineStr">
        <is>
          <t>Solid Wood</t>
        </is>
      </c>
      <c r="CA8" t="inlineStr">
        <is>
          <t>Yes</t>
        </is>
      </c>
      <c r="CB8" t="inlineStr">
        <is>
          <t>N/A</t>
        </is>
      </c>
      <c r="CC8" t="inlineStr">
        <is>
          <t>Yes</t>
        </is>
      </c>
      <c r="CF8" t="inlineStr">
        <is>
          <t>N/A</t>
        </is>
      </c>
      <c r="CK8" t="inlineStr">
        <is>
          <t>Yes</t>
        </is>
      </c>
      <c r="CL8" t="inlineStr">
        <is>
          <t>N/A</t>
        </is>
      </c>
      <c r="CM8" t="inlineStr">
        <is>
          <t>N/A</t>
        </is>
      </c>
      <c r="CN8" t="n">
        <v>1</v>
      </c>
      <c r="CU8" t="n">
        <v>150</v>
      </c>
      <c r="CY8" t="inlineStr">
        <is>
          <t>Natural</t>
        </is>
      </c>
      <c r="DA8" t="inlineStr">
        <is>
          <t>N/A</t>
        </is>
      </c>
      <c r="DB8" t="inlineStr">
        <is>
          <t>N/A</t>
        </is>
      </c>
      <c r="DF8" t="inlineStr">
        <is>
          <t>Yes</t>
        </is>
      </c>
      <c r="DG8" t="n">
        <v>2</v>
      </c>
      <c r="DJ8" t="inlineStr">
        <is>
          <t>N/A</t>
        </is>
      </c>
      <c r="DK8" t="inlineStr">
        <is>
          <t>N/A</t>
        </is>
      </c>
      <c r="DL8" t="inlineStr">
        <is>
          <t>N/A</t>
        </is>
      </c>
      <c r="DM8" t="inlineStr">
        <is>
          <t>N/A</t>
        </is>
      </c>
      <c r="DN8" t="inlineStr">
        <is>
          <t>N/A</t>
        </is>
      </c>
      <c r="DO8" t="inlineStr">
        <is>
          <t>N/A</t>
        </is>
      </c>
      <c r="DP8" t="inlineStr">
        <is>
          <t>N/A</t>
        </is>
      </c>
      <c r="DQ8" t="inlineStr">
        <is>
          <t>N/A</t>
        </is>
      </c>
      <c r="DX8" t="inlineStr">
        <is>
          <t>N/A</t>
        </is>
      </c>
      <c r="DY8" t="inlineStr">
        <is>
          <t>N/A</t>
        </is>
      </c>
      <c r="DZ8" t="inlineStr">
        <is>
          <t>N/A</t>
        </is>
      </c>
      <c r="EA8" t="inlineStr">
        <is>
          <t>N/A</t>
        </is>
      </c>
      <c r="EE8" t="inlineStr">
        <is>
          <t>N/A</t>
        </is>
      </c>
      <c r="EF8" t="inlineStr">
        <is>
          <t>N/A</t>
        </is>
      </c>
      <c r="EG8" t="inlineStr">
        <is>
          <t>N/A</t>
        </is>
      </c>
      <c r="EH8" t="inlineStr">
        <is>
          <t>N/A</t>
        </is>
      </c>
      <c r="EI8" t="inlineStr">
        <is>
          <t>N/A</t>
        </is>
      </c>
      <c r="EK8" t="inlineStr">
        <is>
          <t>N/A</t>
        </is>
      </c>
      <c r="EL8" t="inlineStr">
        <is>
          <t>N/A</t>
        </is>
      </c>
      <c r="EM8" t="inlineStr">
        <is>
          <t>No</t>
        </is>
      </c>
      <c r="EN8" t="inlineStr">
        <is>
          <t>Full Assembly Needed</t>
        </is>
      </c>
      <c r="EP8" t="inlineStr">
        <is>
          <t>N/A</t>
        </is>
      </c>
    </row>
    <row r="9">
      <c r="A9" s="38">
        <f>IF('6 - TV Stands &amp; Enterta'!B9 = "", "", IF('6 - TV Stands &amp; Enterta-WUO_ERR'!A9 = "", "Validated", HYPERLINK("#" &amp; ADDRESS(9, '6 - TV Stands &amp; Enterta-WUO_TRK'!A9),_xlfn.TEXTAFTER('6 - TV Stands &amp; Enterta-WUO_ERR'!A9, ":"))))</f>
        <v/>
      </c>
      <c r="B9" t="inlineStr">
        <is>
          <t>CASA-TV-013</t>
        </is>
      </c>
      <c r="D9" t="inlineStr">
        <is>
          <t>Casa Design Furniture</t>
        </is>
      </c>
      <c r="E9" t="inlineStr">
        <is>
          <t>CASA-TV-013</t>
        </is>
      </c>
      <c r="F9" t="inlineStr">
        <is>
          <t>840134100136</t>
        </is>
      </c>
      <c r="G9" t="inlineStr">
        <is>
          <t>#013 TV STAND IN WHITE LACQUER</t>
        </is>
      </c>
      <c r="J9" t="n">
        <v>750</v>
      </c>
      <c r="M9" t="inlineStr">
        <is>
          <t>Elevate your home with the #013 TV STAND IN WHITE LACQUER. A perfect blend of style and functionality for modern living spaces.</t>
        </is>
      </c>
      <c r="S9" t="n">
        <v>1</v>
      </c>
      <c r="T9" t="n">
        <v>1</v>
      </c>
      <c r="U9" t="n">
        <v>1</v>
      </c>
      <c r="V9" t="n">
        <v>85</v>
      </c>
      <c r="W9" t="inlineStr">
        <is>
          <t>N/A</t>
        </is>
      </c>
      <c r="Y9" t="inlineStr">
        <is>
          <t>N/A</t>
        </is>
      </c>
      <c r="Z9" t="inlineStr">
        <is>
          <t>N/A</t>
        </is>
      </c>
      <c r="AD9" t="inlineStr">
        <is>
          <t>N/A</t>
        </is>
      </c>
      <c r="AE9" t="inlineStr">
        <is>
          <t>N/A</t>
        </is>
      </c>
      <c r="AF9" t="inlineStr">
        <is>
          <t>N/A</t>
        </is>
      </c>
      <c r="AG9" t="inlineStr">
        <is>
          <t>N/A</t>
        </is>
      </c>
      <c r="AH9" t="inlineStr">
        <is>
          <t>No</t>
        </is>
      </c>
      <c r="AK9" t="inlineStr">
        <is>
          <t>N/A</t>
        </is>
      </c>
      <c r="AL9" t="inlineStr">
        <is>
          <t>N/A</t>
        </is>
      </c>
      <c r="BG9" t="inlineStr">
        <is>
          <t>N/A</t>
        </is>
      </c>
      <c r="BI9" t="inlineStr">
        <is>
          <t>Yes</t>
        </is>
      </c>
      <c r="BJ9" t="n">
        <v>2</v>
      </c>
      <c r="BK9" t="inlineStr">
        <is>
          <t>Yes</t>
        </is>
      </c>
      <c r="BP9" t="inlineStr">
        <is>
          <t>N/A</t>
        </is>
      </c>
      <c r="BQ9" t="inlineStr">
        <is>
          <t>Solid Wood</t>
        </is>
      </c>
      <c r="CA9" t="inlineStr">
        <is>
          <t>Yes</t>
        </is>
      </c>
      <c r="CB9" t="inlineStr">
        <is>
          <t>N/A</t>
        </is>
      </c>
      <c r="CC9" t="inlineStr">
        <is>
          <t>Yes</t>
        </is>
      </c>
      <c r="CF9" t="inlineStr">
        <is>
          <t>N/A</t>
        </is>
      </c>
      <c r="CK9" t="inlineStr">
        <is>
          <t>Yes</t>
        </is>
      </c>
      <c r="CL9" t="inlineStr">
        <is>
          <t>N/A</t>
        </is>
      </c>
      <c r="CM9" t="inlineStr">
        <is>
          <t>N/A</t>
        </is>
      </c>
      <c r="CN9" t="n">
        <v>1</v>
      </c>
      <c r="CU9" t="n">
        <v>150</v>
      </c>
      <c r="CY9" t="inlineStr">
        <is>
          <t>Natural</t>
        </is>
      </c>
      <c r="DA9" t="inlineStr">
        <is>
          <t>N/A</t>
        </is>
      </c>
      <c r="DB9" t="inlineStr">
        <is>
          <t>N/A</t>
        </is>
      </c>
      <c r="DF9" t="inlineStr">
        <is>
          <t>Yes</t>
        </is>
      </c>
      <c r="DG9" t="n">
        <v>2</v>
      </c>
      <c r="DJ9" t="inlineStr">
        <is>
          <t>N/A</t>
        </is>
      </c>
      <c r="DK9" t="inlineStr">
        <is>
          <t>N/A</t>
        </is>
      </c>
      <c r="DL9" t="inlineStr">
        <is>
          <t>N/A</t>
        </is>
      </c>
      <c r="DM9" t="inlineStr">
        <is>
          <t>N/A</t>
        </is>
      </c>
      <c r="DN9" t="inlineStr">
        <is>
          <t>N/A</t>
        </is>
      </c>
      <c r="DO9" t="inlineStr">
        <is>
          <t>N/A</t>
        </is>
      </c>
      <c r="DP9" t="inlineStr">
        <is>
          <t>N/A</t>
        </is>
      </c>
      <c r="DQ9" t="inlineStr">
        <is>
          <t>N/A</t>
        </is>
      </c>
      <c r="DX9" t="inlineStr">
        <is>
          <t>N/A</t>
        </is>
      </c>
      <c r="DY9" t="inlineStr">
        <is>
          <t>N/A</t>
        </is>
      </c>
      <c r="DZ9" t="inlineStr">
        <is>
          <t>N/A</t>
        </is>
      </c>
      <c r="EA9" t="inlineStr">
        <is>
          <t>N/A</t>
        </is>
      </c>
      <c r="EE9" t="inlineStr">
        <is>
          <t>N/A</t>
        </is>
      </c>
      <c r="EF9" t="inlineStr">
        <is>
          <t>N/A</t>
        </is>
      </c>
      <c r="EG9" t="inlineStr">
        <is>
          <t>N/A</t>
        </is>
      </c>
      <c r="EH9" t="inlineStr">
        <is>
          <t>N/A</t>
        </is>
      </c>
      <c r="EI9" t="inlineStr">
        <is>
          <t>N/A</t>
        </is>
      </c>
      <c r="EK9" t="inlineStr">
        <is>
          <t>N/A</t>
        </is>
      </c>
      <c r="EL9" t="inlineStr">
        <is>
          <t>N/A</t>
        </is>
      </c>
      <c r="EM9" t="inlineStr">
        <is>
          <t>No</t>
        </is>
      </c>
      <c r="EN9" t="inlineStr">
        <is>
          <t>Full Assembly Needed</t>
        </is>
      </c>
      <c r="EP9" t="inlineStr">
        <is>
          <t>N/A</t>
        </is>
      </c>
    </row>
    <row r="10">
      <c r="A10" s="38">
        <f>IF('6 - TV Stands &amp; Enterta'!B10 = "", "", IF('6 - TV Stands &amp; Enterta-WUO_ERR'!A10 = "", "Validated", HYPERLINK("#" &amp; ADDRESS(10, '6 - TV Stands &amp; Enterta-WUO_TRK'!A10),_xlfn.TEXTAFTER('6 - TV Stands &amp; Enterta-WUO_ERR'!A10, ":"))))</f>
        <v/>
      </c>
      <c r="B10" t="inlineStr">
        <is>
          <t>CASA-TV-015</t>
        </is>
      </c>
      <c r="D10" t="inlineStr">
        <is>
          <t>Casa Design Furniture</t>
        </is>
      </c>
      <c r="E10" t="inlineStr">
        <is>
          <t>CASA-TV-015</t>
        </is>
      </c>
      <c r="F10" t="inlineStr">
        <is>
          <t>840134100150</t>
        </is>
      </c>
      <c r="G10" t="inlineStr">
        <is>
          <t>#015 LED LIGHT TV STAND</t>
        </is>
      </c>
      <c r="J10" t="n">
        <v>680</v>
      </c>
      <c r="M10" t="inlineStr">
        <is>
          <t>Elevate your home with the #015 LED LIGHT TV STAND. A perfect blend of style and functionality for modern living spaces.</t>
        </is>
      </c>
      <c r="S10" t="n">
        <v>1</v>
      </c>
      <c r="T10" t="n">
        <v>1</v>
      </c>
      <c r="U10" t="n">
        <v>1</v>
      </c>
      <c r="V10" t="n">
        <v>85</v>
      </c>
      <c r="W10" t="inlineStr">
        <is>
          <t>N/A</t>
        </is>
      </c>
      <c r="Y10" t="inlineStr">
        <is>
          <t>N/A</t>
        </is>
      </c>
      <c r="Z10" t="inlineStr">
        <is>
          <t>N/A</t>
        </is>
      </c>
      <c r="AD10" t="inlineStr">
        <is>
          <t>N/A</t>
        </is>
      </c>
      <c r="AE10" t="inlineStr">
        <is>
          <t>N/A</t>
        </is>
      </c>
      <c r="AF10" t="inlineStr">
        <is>
          <t>N/A</t>
        </is>
      </c>
      <c r="AG10" t="inlineStr">
        <is>
          <t>N/A</t>
        </is>
      </c>
      <c r="AH10" t="inlineStr">
        <is>
          <t>No</t>
        </is>
      </c>
      <c r="AK10" t="inlineStr">
        <is>
          <t>N/A</t>
        </is>
      </c>
      <c r="AL10" t="inlineStr">
        <is>
          <t>N/A</t>
        </is>
      </c>
      <c r="BG10" t="inlineStr">
        <is>
          <t>N/A</t>
        </is>
      </c>
      <c r="BI10" t="inlineStr">
        <is>
          <t>Yes</t>
        </is>
      </c>
      <c r="BJ10" t="n">
        <v>2</v>
      </c>
      <c r="BK10" t="inlineStr">
        <is>
          <t>Yes</t>
        </is>
      </c>
      <c r="BP10" t="inlineStr">
        <is>
          <t>N/A</t>
        </is>
      </c>
      <c r="BQ10" t="inlineStr">
        <is>
          <t>Solid Wood</t>
        </is>
      </c>
      <c r="CA10" t="inlineStr">
        <is>
          <t>Yes</t>
        </is>
      </c>
      <c r="CB10" t="inlineStr">
        <is>
          <t>N/A</t>
        </is>
      </c>
      <c r="CC10" t="inlineStr">
        <is>
          <t>Yes</t>
        </is>
      </c>
      <c r="CF10" t="inlineStr">
        <is>
          <t>N/A</t>
        </is>
      </c>
      <c r="CK10" t="inlineStr">
        <is>
          <t>Yes</t>
        </is>
      </c>
      <c r="CL10" t="inlineStr">
        <is>
          <t>N/A</t>
        </is>
      </c>
      <c r="CM10" t="inlineStr">
        <is>
          <t>N/A</t>
        </is>
      </c>
      <c r="CN10" t="n">
        <v>1</v>
      </c>
      <c r="CU10" t="n">
        <v>150</v>
      </c>
      <c r="CY10" t="inlineStr">
        <is>
          <t>Natural</t>
        </is>
      </c>
      <c r="DA10" t="inlineStr">
        <is>
          <t>N/A</t>
        </is>
      </c>
      <c r="DB10" t="inlineStr">
        <is>
          <t>N/A</t>
        </is>
      </c>
      <c r="DF10" t="inlineStr">
        <is>
          <t>Yes</t>
        </is>
      </c>
      <c r="DG10" t="n">
        <v>2</v>
      </c>
      <c r="DJ10" t="inlineStr">
        <is>
          <t>N/A</t>
        </is>
      </c>
      <c r="DK10" t="inlineStr">
        <is>
          <t>N/A</t>
        </is>
      </c>
      <c r="DL10" t="inlineStr">
        <is>
          <t>N/A</t>
        </is>
      </c>
      <c r="DM10" t="inlineStr">
        <is>
          <t>N/A</t>
        </is>
      </c>
      <c r="DN10" t="inlineStr">
        <is>
          <t>N/A</t>
        </is>
      </c>
      <c r="DO10" t="inlineStr">
        <is>
          <t>N/A</t>
        </is>
      </c>
      <c r="DP10" t="inlineStr">
        <is>
          <t>N/A</t>
        </is>
      </c>
      <c r="DQ10" t="inlineStr">
        <is>
          <t>N/A</t>
        </is>
      </c>
      <c r="DX10" t="inlineStr">
        <is>
          <t>N/A</t>
        </is>
      </c>
      <c r="DY10" t="inlineStr">
        <is>
          <t>N/A</t>
        </is>
      </c>
      <c r="DZ10" t="inlineStr">
        <is>
          <t>N/A</t>
        </is>
      </c>
      <c r="EA10" t="inlineStr">
        <is>
          <t>N/A</t>
        </is>
      </c>
      <c r="EE10" t="inlineStr">
        <is>
          <t>N/A</t>
        </is>
      </c>
      <c r="EF10" t="inlineStr">
        <is>
          <t>N/A</t>
        </is>
      </c>
      <c r="EG10" t="inlineStr">
        <is>
          <t>N/A</t>
        </is>
      </c>
      <c r="EH10" t="inlineStr">
        <is>
          <t>N/A</t>
        </is>
      </c>
      <c r="EI10" t="inlineStr">
        <is>
          <t>N/A</t>
        </is>
      </c>
      <c r="EK10" t="inlineStr">
        <is>
          <t>N/A</t>
        </is>
      </c>
      <c r="EL10" t="inlineStr">
        <is>
          <t>N/A</t>
        </is>
      </c>
      <c r="EM10" t="inlineStr">
        <is>
          <t>No</t>
        </is>
      </c>
      <c r="EN10" t="inlineStr">
        <is>
          <t>Full Assembly Needed</t>
        </is>
      </c>
      <c r="EP10" t="inlineStr">
        <is>
          <t>N/A</t>
        </is>
      </c>
    </row>
    <row r="11">
      <c r="A11" s="38">
        <f>IF('6 - TV Stands &amp; Enterta'!B11 = "", "", IF('6 - TV Stands &amp; Enterta-WUO_ERR'!A11 = "", "Validated", HYPERLINK("#" &amp; ADDRESS(11, '6 - TV Stands &amp; Enterta-WUO_TRK'!A11),_xlfn.TEXTAFTER('6 - TV Stands &amp; Enterta-WUO_ERR'!A11, ":"))))</f>
        <v/>
      </c>
      <c r="B11" t="inlineStr">
        <is>
          <t>CASA-TV-016</t>
        </is>
      </c>
      <c r="D11" t="inlineStr">
        <is>
          <t>Casa Design Furniture</t>
        </is>
      </c>
      <c r="E11" t="inlineStr">
        <is>
          <t>CASA-TV-016</t>
        </is>
      </c>
      <c r="F11" t="inlineStr">
        <is>
          <t>840134100167</t>
        </is>
      </c>
      <c r="G11" t="inlineStr">
        <is>
          <t>#016 TV STAND WHITE &amp; LED LIGHT</t>
        </is>
      </c>
      <c r="J11" t="n">
        <v>720</v>
      </c>
      <c r="M11" t="inlineStr">
        <is>
          <t>Elevate your home with the #016 TV STAND WHITE &amp; LED LIGHT. A perfect blend of style and functionality for modern living spaces.</t>
        </is>
      </c>
      <c r="S11" t="n">
        <v>1</v>
      </c>
      <c r="T11" t="n">
        <v>1</v>
      </c>
      <c r="U11" t="n">
        <v>1</v>
      </c>
      <c r="V11" t="n">
        <v>85</v>
      </c>
      <c r="W11" t="inlineStr">
        <is>
          <t>N/A</t>
        </is>
      </c>
      <c r="Y11" t="inlineStr">
        <is>
          <t>N/A</t>
        </is>
      </c>
      <c r="Z11" t="inlineStr">
        <is>
          <t>N/A</t>
        </is>
      </c>
      <c r="AD11" t="inlineStr">
        <is>
          <t>N/A</t>
        </is>
      </c>
      <c r="AE11" t="inlineStr">
        <is>
          <t>N/A</t>
        </is>
      </c>
      <c r="AF11" t="inlineStr">
        <is>
          <t>N/A</t>
        </is>
      </c>
      <c r="AG11" t="inlineStr">
        <is>
          <t>N/A</t>
        </is>
      </c>
      <c r="AH11" t="inlineStr">
        <is>
          <t>No</t>
        </is>
      </c>
      <c r="AK11" t="inlineStr">
        <is>
          <t>N/A</t>
        </is>
      </c>
      <c r="AL11" t="inlineStr">
        <is>
          <t>N/A</t>
        </is>
      </c>
      <c r="BG11" t="inlineStr">
        <is>
          <t>N/A</t>
        </is>
      </c>
      <c r="BI11" t="inlineStr">
        <is>
          <t>Yes</t>
        </is>
      </c>
      <c r="BJ11" t="n">
        <v>2</v>
      </c>
      <c r="BK11" t="inlineStr">
        <is>
          <t>Yes</t>
        </is>
      </c>
      <c r="BP11" t="inlineStr">
        <is>
          <t>N/A</t>
        </is>
      </c>
      <c r="BQ11" t="inlineStr">
        <is>
          <t>Solid Wood</t>
        </is>
      </c>
      <c r="CA11" t="inlineStr">
        <is>
          <t>Yes</t>
        </is>
      </c>
      <c r="CB11" t="inlineStr">
        <is>
          <t>N/A</t>
        </is>
      </c>
      <c r="CC11" t="inlineStr">
        <is>
          <t>Yes</t>
        </is>
      </c>
      <c r="CF11" t="inlineStr">
        <is>
          <t>N/A</t>
        </is>
      </c>
      <c r="CK11" t="inlineStr">
        <is>
          <t>Yes</t>
        </is>
      </c>
      <c r="CL11" t="inlineStr">
        <is>
          <t>N/A</t>
        </is>
      </c>
      <c r="CM11" t="inlineStr">
        <is>
          <t>N/A</t>
        </is>
      </c>
      <c r="CN11" t="n">
        <v>1</v>
      </c>
      <c r="CU11" t="n">
        <v>150</v>
      </c>
      <c r="CY11" t="inlineStr">
        <is>
          <t>Natural</t>
        </is>
      </c>
      <c r="DA11" t="inlineStr">
        <is>
          <t>N/A</t>
        </is>
      </c>
      <c r="DB11" t="inlineStr">
        <is>
          <t>N/A</t>
        </is>
      </c>
      <c r="DF11" t="inlineStr">
        <is>
          <t>Yes</t>
        </is>
      </c>
      <c r="DG11" t="n">
        <v>2</v>
      </c>
      <c r="DJ11" t="inlineStr">
        <is>
          <t>N/A</t>
        </is>
      </c>
      <c r="DK11" t="inlineStr">
        <is>
          <t>N/A</t>
        </is>
      </c>
      <c r="DL11" t="inlineStr">
        <is>
          <t>N/A</t>
        </is>
      </c>
      <c r="DM11" t="inlineStr">
        <is>
          <t>N/A</t>
        </is>
      </c>
      <c r="DN11" t="inlineStr">
        <is>
          <t>N/A</t>
        </is>
      </c>
      <c r="DO11" t="inlineStr">
        <is>
          <t>N/A</t>
        </is>
      </c>
      <c r="DP11" t="inlineStr">
        <is>
          <t>N/A</t>
        </is>
      </c>
      <c r="DQ11" t="inlineStr">
        <is>
          <t>N/A</t>
        </is>
      </c>
      <c r="DX11" t="inlineStr">
        <is>
          <t>N/A</t>
        </is>
      </c>
      <c r="DY11" t="inlineStr">
        <is>
          <t>N/A</t>
        </is>
      </c>
      <c r="DZ11" t="inlineStr">
        <is>
          <t>N/A</t>
        </is>
      </c>
      <c r="EA11" t="inlineStr">
        <is>
          <t>N/A</t>
        </is>
      </c>
      <c r="EE11" t="inlineStr">
        <is>
          <t>N/A</t>
        </is>
      </c>
      <c r="EF11" t="inlineStr">
        <is>
          <t>N/A</t>
        </is>
      </c>
      <c r="EG11" t="inlineStr">
        <is>
          <t>N/A</t>
        </is>
      </c>
      <c r="EH11" t="inlineStr">
        <is>
          <t>N/A</t>
        </is>
      </c>
      <c r="EI11" t="inlineStr">
        <is>
          <t>N/A</t>
        </is>
      </c>
      <c r="EK11" t="inlineStr">
        <is>
          <t>N/A</t>
        </is>
      </c>
      <c r="EL11" t="inlineStr">
        <is>
          <t>N/A</t>
        </is>
      </c>
      <c r="EM11" t="inlineStr">
        <is>
          <t>No</t>
        </is>
      </c>
      <c r="EN11" t="inlineStr">
        <is>
          <t>Full Assembly Needed</t>
        </is>
      </c>
      <c r="EP11" t="inlineStr">
        <is>
          <t>N/A</t>
        </is>
      </c>
    </row>
    <row r="12">
      <c r="A12" s="38">
        <f>IF('6 - TV Stands &amp; Enterta'!B12 = "", "", IF('6 - TV Stands &amp; Enterta-WUO_ERR'!A12 = "", "Validated", HYPERLINK("#" &amp; ADDRESS(12, '6 - TV Stands &amp; Enterta-WUO_TRK'!A12),_xlfn.TEXTAFTER('6 - TV Stands &amp; Enterta-WUO_ERR'!A12, ":"))))</f>
        <v/>
      </c>
      <c r="B12" t="inlineStr">
        <is>
          <t>CASA-TV-017</t>
        </is>
      </c>
      <c r="D12" t="inlineStr">
        <is>
          <t>Casa Design Furniture</t>
        </is>
      </c>
      <c r="E12" t="inlineStr">
        <is>
          <t>CASA-TV-017</t>
        </is>
      </c>
      <c r="F12" t="inlineStr">
        <is>
          <t>840134100174</t>
        </is>
      </c>
      <c r="G12" t="inlineStr">
        <is>
          <t>#017 KL TV STAND</t>
        </is>
      </c>
      <c r="J12" t="n">
        <v>810</v>
      </c>
      <c r="M12" t="inlineStr">
        <is>
          <t>Elevate your home with the #017 KL TV STAND. A perfect blend of style and functionality for modern living spaces.</t>
        </is>
      </c>
      <c r="S12" t="n">
        <v>1</v>
      </c>
      <c r="T12" t="n">
        <v>1</v>
      </c>
      <c r="U12" t="n">
        <v>1</v>
      </c>
      <c r="V12" t="n">
        <v>85</v>
      </c>
      <c r="W12" t="inlineStr">
        <is>
          <t>N/A</t>
        </is>
      </c>
      <c r="Y12" t="inlineStr">
        <is>
          <t>N/A</t>
        </is>
      </c>
      <c r="Z12" t="inlineStr">
        <is>
          <t>N/A</t>
        </is>
      </c>
      <c r="AD12" t="inlineStr">
        <is>
          <t>N/A</t>
        </is>
      </c>
      <c r="AE12" t="inlineStr">
        <is>
          <t>N/A</t>
        </is>
      </c>
      <c r="AF12" t="inlineStr">
        <is>
          <t>N/A</t>
        </is>
      </c>
      <c r="AG12" t="inlineStr">
        <is>
          <t>N/A</t>
        </is>
      </c>
      <c r="AH12" t="inlineStr">
        <is>
          <t>No</t>
        </is>
      </c>
      <c r="AK12" t="inlineStr">
        <is>
          <t>N/A</t>
        </is>
      </c>
      <c r="AL12" t="inlineStr">
        <is>
          <t>N/A</t>
        </is>
      </c>
      <c r="BG12" t="inlineStr">
        <is>
          <t>N/A</t>
        </is>
      </c>
      <c r="BI12" t="inlineStr">
        <is>
          <t>Yes</t>
        </is>
      </c>
      <c r="BJ12" t="n">
        <v>2</v>
      </c>
      <c r="BK12" t="inlineStr">
        <is>
          <t>Yes</t>
        </is>
      </c>
      <c r="BP12" t="inlineStr">
        <is>
          <t>N/A</t>
        </is>
      </c>
      <c r="BQ12" t="inlineStr">
        <is>
          <t>Solid Wood</t>
        </is>
      </c>
      <c r="CA12" t="inlineStr">
        <is>
          <t>Yes</t>
        </is>
      </c>
      <c r="CB12" t="inlineStr">
        <is>
          <t>N/A</t>
        </is>
      </c>
      <c r="CC12" t="inlineStr">
        <is>
          <t>Yes</t>
        </is>
      </c>
      <c r="CF12" t="inlineStr">
        <is>
          <t>N/A</t>
        </is>
      </c>
      <c r="CK12" t="inlineStr">
        <is>
          <t>Yes</t>
        </is>
      </c>
      <c r="CL12" t="inlineStr">
        <is>
          <t>N/A</t>
        </is>
      </c>
      <c r="CM12" t="inlineStr">
        <is>
          <t>N/A</t>
        </is>
      </c>
      <c r="CN12" t="n">
        <v>1</v>
      </c>
      <c r="CU12" t="n">
        <v>150</v>
      </c>
      <c r="CY12" t="inlineStr">
        <is>
          <t>Natural</t>
        </is>
      </c>
      <c r="DA12" t="inlineStr">
        <is>
          <t>N/A</t>
        </is>
      </c>
      <c r="DB12" t="inlineStr">
        <is>
          <t>N/A</t>
        </is>
      </c>
      <c r="DF12" t="inlineStr">
        <is>
          <t>Yes</t>
        </is>
      </c>
      <c r="DG12" t="n">
        <v>2</v>
      </c>
      <c r="DJ12" t="inlineStr">
        <is>
          <t>N/A</t>
        </is>
      </c>
      <c r="DK12" t="inlineStr">
        <is>
          <t>N/A</t>
        </is>
      </c>
      <c r="DL12" t="inlineStr">
        <is>
          <t>N/A</t>
        </is>
      </c>
      <c r="DM12" t="inlineStr">
        <is>
          <t>N/A</t>
        </is>
      </c>
      <c r="DN12" t="inlineStr">
        <is>
          <t>N/A</t>
        </is>
      </c>
      <c r="DO12" t="inlineStr">
        <is>
          <t>N/A</t>
        </is>
      </c>
      <c r="DP12" t="inlineStr">
        <is>
          <t>N/A</t>
        </is>
      </c>
      <c r="DQ12" t="inlineStr">
        <is>
          <t>N/A</t>
        </is>
      </c>
      <c r="DX12" t="inlineStr">
        <is>
          <t>N/A</t>
        </is>
      </c>
      <c r="DY12" t="inlineStr">
        <is>
          <t>N/A</t>
        </is>
      </c>
      <c r="DZ12" t="inlineStr">
        <is>
          <t>N/A</t>
        </is>
      </c>
      <c r="EA12" t="inlineStr">
        <is>
          <t>N/A</t>
        </is>
      </c>
      <c r="EE12" t="inlineStr">
        <is>
          <t>N/A</t>
        </is>
      </c>
      <c r="EF12" t="inlineStr">
        <is>
          <t>N/A</t>
        </is>
      </c>
      <c r="EG12" t="inlineStr">
        <is>
          <t>N/A</t>
        </is>
      </c>
      <c r="EH12" t="inlineStr">
        <is>
          <t>N/A</t>
        </is>
      </c>
      <c r="EI12" t="inlineStr">
        <is>
          <t>N/A</t>
        </is>
      </c>
      <c r="EK12" t="inlineStr">
        <is>
          <t>N/A</t>
        </is>
      </c>
      <c r="EL12" t="inlineStr">
        <is>
          <t>N/A</t>
        </is>
      </c>
      <c r="EM12" t="inlineStr">
        <is>
          <t>No</t>
        </is>
      </c>
      <c r="EN12" t="inlineStr">
        <is>
          <t>Full Assembly Needed</t>
        </is>
      </c>
      <c r="EP12" t="inlineStr">
        <is>
          <t>N/A</t>
        </is>
      </c>
    </row>
    <row r="13">
      <c r="A13" s="38">
        <f>IF('6 - TV Stands &amp; Enterta'!B13 = "", "", IF('6 - TV Stands &amp; Enterta-WUO_ERR'!A13 = "", "Validated", HYPERLINK("#" &amp; ADDRESS(13, '6 - TV Stands &amp; Enterta-WUO_TRK'!A13),_xlfn.TEXTAFTER('6 - TV Stands &amp; Enterta-WUO_ERR'!A13, ":"))))</f>
        <v/>
      </c>
      <c r="B13" t="inlineStr">
        <is>
          <t>CASA-TV-019</t>
        </is>
      </c>
      <c r="D13" t="inlineStr">
        <is>
          <t>Casa Design Furniture</t>
        </is>
      </c>
      <c r="E13" t="inlineStr">
        <is>
          <t>CASA-TV-019</t>
        </is>
      </c>
      <c r="F13" t="inlineStr">
        <is>
          <t>840134100198</t>
        </is>
      </c>
      <c r="G13" t="inlineStr">
        <is>
          <t>#019 TV STAND MIRRORED DIAMONDS</t>
        </is>
      </c>
      <c r="J13" t="n">
        <v>950</v>
      </c>
      <c r="M13" t="inlineStr">
        <is>
          <t>Elevate your home with the #019 TV STAND MIRRORED DIAMONDS. A perfect blend of style and functionality for modern living spaces.</t>
        </is>
      </c>
      <c r="S13" t="n">
        <v>1</v>
      </c>
      <c r="T13" t="n">
        <v>1</v>
      </c>
      <c r="U13" t="n">
        <v>1</v>
      </c>
      <c r="V13" t="n">
        <v>85</v>
      </c>
      <c r="W13" t="inlineStr">
        <is>
          <t>N/A</t>
        </is>
      </c>
      <c r="Y13" t="inlineStr">
        <is>
          <t>N/A</t>
        </is>
      </c>
      <c r="Z13" t="inlineStr">
        <is>
          <t>N/A</t>
        </is>
      </c>
      <c r="AD13" t="inlineStr">
        <is>
          <t>N/A</t>
        </is>
      </c>
      <c r="AE13" t="inlineStr">
        <is>
          <t>N/A</t>
        </is>
      </c>
      <c r="AF13" t="inlineStr">
        <is>
          <t>N/A</t>
        </is>
      </c>
      <c r="AG13" t="inlineStr">
        <is>
          <t>N/A</t>
        </is>
      </c>
      <c r="AH13" t="inlineStr">
        <is>
          <t>No</t>
        </is>
      </c>
      <c r="AK13" t="inlineStr">
        <is>
          <t>N/A</t>
        </is>
      </c>
      <c r="AL13" t="inlineStr">
        <is>
          <t>N/A</t>
        </is>
      </c>
      <c r="BG13" t="inlineStr">
        <is>
          <t>N/A</t>
        </is>
      </c>
      <c r="BI13" t="inlineStr">
        <is>
          <t>Yes</t>
        </is>
      </c>
      <c r="BJ13" t="n">
        <v>2</v>
      </c>
      <c r="BK13" t="inlineStr">
        <is>
          <t>Yes</t>
        </is>
      </c>
      <c r="BP13" t="inlineStr">
        <is>
          <t>N/A</t>
        </is>
      </c>
      <c r="BQ13" t="inlineStr">
        <is>
          <t>Solid Wood</t>
        </is>
      </c>
      <c r="CA13" t="inlineStr">
        <is>
          <t>Yes</t>
        </is>
      </c>
      <c r="CB13" t="inlineStr">
        <is>
          <t>N/A</t>
        </is>
      </c>
      <c r="CC13" t="inlineStr">
        <is>
          <t>Yes</t>
        </is>
      </c>
      <c r="CF13" t="inlineStr">
        <is>
          <t>N/A</t>
        </is>
      </c>
      <c r="CK13" t="inlineStr">
        <is>
          <t>Yes</t>
        </is>
      </c>
      <c r="CL13" t="inlineStr">
        <is>
          <t>N/A</t>
        </is>
      </c>
      <c r="CM13" t="inlineStr">
        <is>
          <t>N/A</t>
        </is>
      </c>
      <c r="CN13" t="n">
        <v>1</v>
      </c>
      <c r="CU13" t="n">
        <v>150</v>
      </c>
      <c r="CY13" t="inlineStr">
        <is>
          <t>Natural</t>
        </is>
      </c>
      <c r="DA13" t="inlineStr">
        <is>
          <t>N/A</t>
        </is>
      </c>
      <c r="DB13" t="inlineStr">
        <is>
          <t>N/A</t>
        </is>
      </c>
      <c r="DF13" t="inlineStr">
        <is>
          <t>Yes</t>
        </is>
      </c>
      <c r="DG13" t="n">
        <v>2</v>
      </c>
      <c r="DJ13" t="inlineStr">
        <is>
          <t>N/A</t>
        </is>
      </c>
      <c r="DK13" t="inlineStr">
        <is>
          <t>N/A</t>
        </is>
      </c>
      <c r="DL13" t="inlineStr">
        <is>
          <t>N/A</t>
        </is>
      </c>
      <c r="DM13" t="inlineStr">
        <is>
          <t>N/A</t>
        </is>
      </c>
      <c r="DN13" t="inlineStr">
        <is>
          <t>N/A</t>
        </is>
      </c>
      <c r="DO13" t="inlineStr">
        <is>
          <t>N/A</t>
        </is>
      </c>
      <c r="DP13" t="inlineStr">
        <is>
          <t>N/A</t>
        </is>
      </c>
      <c r="DQ13" t="inlineStr">
        <is>
          <t>N/A</t>
        </is>
      </c>
      <c r="DX13" t="inlineStr">
        <is>
          <t>N/A</t>
        </is>
      </c>
      <c r="DY13" t="inlineStr">
        <is>
          <t>N/A</t>
        </is>
      </c>
      <c r="DZ13" t="inlineStr">
        <is>
          <t>N/A</t>
        </is>
      </c>
      <c r="EA13" t="inlineStr">
        <is>
          <t>N/A</t>
        </is>
      </c>
      <c r="EE13" t="inlineStr">
        <is>
          <t>N/A</t>
        </is>
      </c>
      <c r="EF13" t="inlineStr">
        <is>
          <t>N/A</t>
        </is>
      </c>
      <c r="EG13" t="inlineStr">
        <is>
          <t>N/A</t>
        </is>
      </c>
      <c r="EH13" t="inlineStr">
        <is>
          <t>N/A</t>
        </is>
      </c>
      <c r="EI13" t="inlineStr">
        <is>
          <t>N/A</t>
        </is>
      </c>
      <c r="EK13" t="inlineStr">
        <is>
          <t>N/A</t>
        </is>
      </c>
      <c r="EL13" t="inlineStr">
        <is>
          <t>N/A</t>
        </is>
      </c>
      <c r="EM13" t="inlineStr">
        <is>
          <t>No</t>
        </is>
      </c>
      <c r="EN13" t="inlineStr">
        <is>
          <t>Full Assembly Needed</t>
        </is>
      </c>
      <c r="EP13" t="inlineStr">
        <is>
          <t>N/A</t>
        </is>
      </c>
    </row>
    <row r="14">
      <c r="A14" s="38">
        <f>IF('6 - TV Stands &amp; Enterta'!B14 = "", "", IF('6 - TV Stands &amp; Enterta-WUO_ERR'!A14 = "", "Validated", HYPERLINK("#" &amp; ADDRESS(14, '6 - TV Stands &amp; Enterta-WUO_TRK'!A14),_xlfn.TEXTAFTER('6 - TV Stands &amp; Enterta-WUO_ERR'!A14, ":"))))</f>
        <v/>
      </c>
      <c r="B14" t="inlineStr">
        <is>
          <t>CASA-TV-020</t>
        </is>
      </c>
      <c r="D14" t="inlineStr">
        <is>
          <t>Casa Design Furniture</t>
        </is>
      </c>
      <c r="E14" t="inlineStr">
        <is>
          <t>CASA-TV-020</t>
        </is>
      </c>
      <c r="F14" t="inlineStr">
        <is>
          <t>840134100204</t>
        </is>
      </c>
      <c r="G14" t="inlineStr">
        <is>
          <t>#020 TV STAND ELECTRIC FIREPLACE</t>
        </is>
      </c>
      <c r="J14" t="n">
        <v>1100</v>
      </c>
      <c r="M14" t="inlineStr">
        <is>
          <t>Elevate your home with the #020 TV STAND ELECTRIC FIREPLACE. A perfect blend of style and functionality for modern living spaces.</t>
        </is>
      </c>
      <c r="S14" t="n">
        <v>1</v>
      </c>
      <c r="T14" t="n">
        <v>1</v>
      </c>
      <c r="U14" t="n">
        <v>1</v>
      </c>
      <c r="V14" t="n">
        <v>85</v>
      </c>
      <c r="W14" t="inlineStr">
        <is>
          <t>N/A</t>
        </is>
      </c>
      <c r="Y14" t="inlineStr">
        <is>
          <t>N/A</t>
        </is>
      </c>
      <c r="Z14" t="inlineStr">
        <is>
          <t>N/A</t>
        </is>
      </c>
      <c r="AD14" t="inlineStr">
        <is>
          <t>N/A</t>
        </is>
      </c>
      <c r="AE14" t="inlineStr">
        <is>
          <t>N/A</t>
        </is>
      </c>
      <c r="AF14" t="inlineStr">
        <is>
          <t>N/A</t>
        </is>
      </c>
      <c r="AG14" t="inlineStr">
        <is>
          <t>N/A</t>
        </is>
      </c>
      <c r="AH14" t="inlineStr">
        <is>
          <t>No</t>
        </is>
      </c>
      <c r="AK14" t="inlineStr">
        <is>
          <t>N/A</t>
        </is>
      </c>
      <c r="AL14" t="inlineStr">
        <is>
          <t>N/A</t>
        </is>
      </c>
      <c r="BG14" t="inlineStr">
        <is>
          <t>N/A</t>
        </is>
      </c>
      <c r="BI14" t="inlineStr">
        <is>
          <t>Yes</t>
        </is>
      </c>
      <c r="BJ14" t="n">
        <v>2</v>
      </c>
      <c r="BK14" t="inlineStr">
        <is>
          <t>Yes</t>
        </is>
      </c>
      <c r="BP14" t="inlineStr">
        <is>
          <t>N/A</t>
        </is>
      </c>
      <c r="BQ14" t="inlineStr">
        <is>
          <t>Solid Wood</t>
        </is>
      </c>
      <c r="CA14" t="inlineStr">
        <is>
          <t>Yes</t>
        </is>
      </c>
      <c r="CB14" t="inlineStr">
        <is>
          <t>N/A</t>
        </is>
      </c>
      <c r="CC14" t="inlineStr">
        <is>
          <t>Yes</t>
        </is>
      </c>
      <c r="CF14" t="inlineStr">
        <is>
          <t>N/A</t>
        </is>
      </c>
      <c r="CK14" t="inlineStr">
        <is>
          <t>Yes</t>
        </is>
      </c>
      <c r="CL14" t="inlineStr">
        <is>
          <t>N/A</t>
        </is>
      </c>
      <c r="CM14" t="inlineStr">
        <is>
          <t>N/A</t>
        </is>
      </c>
      <c r="CN14" t="n">
        <v>1</v>
      </c>
      <c r="CU14" t="n">
        <v>150</v>
      </c>
      <c r="CY14" t="inlineStr">
        <is>
          <t>Natural</t>
        </is>
      </c>
      <c r="DA14" t="inlineStr">
        <is>
          <t>N/A</t>
        </is>
      </c>
      <c r="DB14" t="inlineStr">
        <is>
          <t>N/A</t>
        </is>
      </c>
      <c r="DF14" t="inlineStr">
        <is>
          <t>Yes</t>
        </is>
      </c>
      <c r="DG14" t="n">
        <v>2</v>
      </c>
      <c r="DJ14" t="inlineStr">
        <is>
          <t>N/A</t>
        </is>
      </c>
      <c r="DK14" t="inlineStr">
        <is>
          <t>N/A</t>
        </is>
      </c>
      <c r="DL14" t="inlineStr">
        <is>
          <t>N/A</t>
        </is>
      </c>
      <c r="DM14" t="inlineStr">
        <is>
          <t>N/A</t>
        </is>
      </c>
      <c r="DN14" t="inlineStr">
        <is>
          <t>N/A</t>
        </is>
      </c>
      <c r="DO14" t="inlineStr">
        <is>
          <t>N/A</t>
        </is>
      </c>
      <c r="DP14" t="inlineStr">
        <is>
          <t>N/A</t>
        </is>
      </c>
      <c r="DQ14" t="inlineStr">
        <is>
          <t>N/A</t>
        </is>
      </c>
      <c r="DX14" t="inlineStr">
        <is>
          <t>N/A</t>
        </is>
      </c>
      <c r="DY14" t="inlineStr">
        <is>
          <t>N/A</t>
        </is>
      </c>
      <c r="DZ14" t="inlineStr">
        <is>
          <t>N/A</t>
        </is>
      </c>
      <c r="EA14" t="inlineStr">
        <is>
          <t>N/A</t>
        </is>
      </c>
      <c r="EE14" t="inlineStr">
        <is>
          <t>N/A</t>
        </is>
      </c>
      <c r="EF14" t="inlineStr">
        <is>
          <t>N/A</t>
        </is>
      </c>
      <c r="EG14" t="inlineStr">
        <is>
          <t>N/A</t>
        </is>
      </c>
      <c r="EH14" t="inlineStr">
        <is>
          <t>N/A</t>
        </is>
      </c>
      <c r="EI14" t="inlineStr">
        <is>
          <t>N/A</t>
        </is>
      </c>
      <c r="EK14" t="inlineStr">
        <is>
          <t>N/A</t>
        </is>
      </c>
      <c r="EL14" t="inlineStr">
        <is>
          <t>N/A</t>
        </is>
      </c>
      <c r="EM14" t="inlineStr">
        <is>
          <t>No</t>
        </is>
      </c>
      <c r="EN14" t="inlineStr">
        <is>
          <t>Full Assembly Needed</t>
        </is>
      </c>
      <c r="EP14" t="inlineStr">
        <is>
          <t>N/A</t>
        </is>
      </c>
    </row>
    <row r="15">
      <c r="A15" s="38">
        <f>IF('6 - TV Stands &amp; Enterta'!B15 = "", "", IF('6 - TV Stands &amp; Enterta-WUO_ERR'!A15 = "", "Validated", HYPERLINK("#" &amp; ADDRESS(15, '6 - TV Stands &amp; Enterta-WUO_TRK'!A15),_xlfn.TEXTAFTER('6 - TV Stands &amp; Enterta-WUO_ERR'!A15, ":"))))</f>
        <v/>
      </c>
      <c r="B15" t="inlineStr">
        <is>
          <t>CASA-TV-023</t>
        </is>
      </c>
      <c r="D15" t="inlineStr">
        <is>
          <t>Casa Design Furniture</t>
        </is>
      </c>
      <c r="E15" t="inlineStr">
        <is>
          <t>CASA-TV-023</t>
        </is>
      </c>
      <c r="F15" t="inlineStr">
        <is>
          <t>840134100235</t>
        </is>
      </c>
      <c r="G15" t="inlineStr">
        <is>
          <t>#023 AMRITA TV STAND</t>
        </is>
      </c>
      <c r="J15" t="n">
        <v>590</v>
      </c>
      <c r="M15" t="inlineStr">
        <is>
          <t>Elevate your home with the #023 AMRITA TV STAND. A perfect blend of style and functionality for modern living spaces.</t>
        </is>
      </c>
      <c r="S15" t="n">
        <v>1</v>
      </c>
      <c r="T15" t="n">
        <v>1</v>
      </c>
      <c r="U15" t="n">
        <v>1</v>
      </c>
      <c r="V15" t="n">
        <v>85</v>
      </c>
      <c r="W15" t="inlineStr">
        <is>
          <t>N/A</t>
        </is>
      </c>
      <c r="Y15" t="inlineStr">
        <is>
          <t>N/A</t>
        </is>
      </c>
      <c r="Z15" t="inlineStr">
        <is>
          <t>N/A</t>
        </is>
      </c>
      <c r="AD15" t="inlineStr">
        <is>
          <t>N/A</t>
        </is>
      </c>
      <c r="AE15" t="inlineStr">
        <is>
          <t>N/A</t>
        </is>
      </c>
      <c r="AF15" t="inlineStr">
        <is>
          <t>N/A</t>
        </is>
      </c>
      <c r="AG15" t="inlineStr">
        <is>
          <t>N/A</t>
        </is>
      </c>
      <c r="AH15" t="inlineStr">
        <is>
          <t>No</t>
        </is>
      </c>
      <c r="AK15" t="inlineStr">
        <is>
          <t>N/A</t>
        </is>
      </c>
      <c r="AL15" t="inlineStr">
        <is>
          <t>N/A</t>
        </is>
      </c>
      <c r="BG15" t="inlineStr">
        <is>
          <t>N/A</t>
        </is>
      </c>
      <c r="BI15" t="inlineStr">
        <is>
          <t>Yes</t>
        </is>
      </c>
      <c r="BJ15" t="n">
        <v>2</v>
      </c>
      <c r="BK15" t="inlineStr">
        <is>
          <t>Yes</t>
        </is>
      </c>
      <c r="BP15" t="inlineStr">
        <is>
          <t>N/A</t>
        </is>
      </c>
      <c r="BQ15" t="inlineStr">
        <is>
          <t>Solid Wood</t>
        </is>
      </c>
      <c r="CA15" t="inlineStr">
        <is>
          <t>Yes</t>
        </is>
      </c>
      <c r="CB15" t="inlineStr">
        <is>
          <t>N/A</t>
        </is>
      </c>
      <c r="CC15" t="inlineStr">
        <is>
          <t>Yes</t>
        </is>
      </c>
      <c r="CF15" t="inlineStr">
        <is>
          <t>N/A</t>
        </is>
      </c>
      <c r="CK15" t="inlineStr">
        <is>
          <t>Yes</t>
        </is>
      </c>
      <c r="CL15" t="inlineStr">
        <is>
          <t>N/A</t>
        </is>
      </c>
      <c r="CM15" t="inlineStr">
        <is>
          <t>N/A</t>
        </is>
      </c>
      <c r="CN15" t="n">
        <v>1</v>
      </c>
      <c r="CU15" t="n">
        <v>150</v>
      </c>
      <c r="CY15" t="inlineStr">
        <is>
          <t>Natural</t>
        </is>
      </c>
      <c r="DA15" t="inlineStr">
        <is>
          <t>N/A</t>
        </is>
      </c>
      <c r="DB15" t="inlineStr">
        <is>
          <t>N/A</t>
        </is>
      </c>
      <c r="DF15" t="inlineStr">
        <is>
          <t>Yes</t>
        </is>
      </c>
      <c r="DG15" t="n">
        <v>2</v>
      </c>
      <c r="DJ15" t="inlineStr">
        <is>
          <t>N/A</t>
        </is>
      </c>
      <c r="DK15" t="inlineStr">
        <is>
          <t>N/A</t>
        </is>
      </c>
      <c r="DL15" t="inlineStr">
        <is>
          <t>N/A</t>
        </is>
      </c>
      <c r="DM15" t="inlineStr">
        <is>
          <t>N/A</t>
        </is>
      </c>
      <c r="DN15" t="inlineStr">
        <is>
          <t>N/A</t>
        </is>
      </c>
      <c r="DO15" t="inlineStr">
        <is>
          <t>N/A</t>
        </is>
      </c>
      <c r="DP15" t="inlineStr">
        <is>
          <t>N/A</t>
        </is>
      </c>
      <c r="DQ15" t="inlineStr">
        <is>
          <t>N/A</t>
        </is>
      </c>
      <c r="DX15" t="inlineStr">
        <is>
          <t>N/A</t>
        </is>
      </c>
      <c r="DY15" t="inlineStr">
        <is>
          <t>N/A</t>
        </is>
      </c>
      <c r="DZ15" t="inlineStr">
        <is>
          <t>N/A</t>
        </is>
      </c>
      <c r="EA15" t="inlineStr">
        <is>
          <t>N/A</t>
        </is>
      </c>
      <c r="EE15" t="inlineStr">
        <is>
          <t>N/A</t>
        </is>
      </c>
      <c r="EF15" t="inlineStr">
        <is>
          <t>N/A</t>
        </is>
      </c>
      <c r="EG15" t="inlineStr">
        <is>
          <t>N/A</t>
        </is>
      </c>
      <c r="EH15" t="inlineStr">
        <is>
          <t>N/A</t>
        </is>
      </c>
      <c r="EI15" t="inlineStr">
        <is>
          <t>N/A</t>
        </is>
      </c>
      <c r="EK15" t="inlineStr">
        <is>
          <t>N/A</t>
        </is>
      </c>
      <c r="EL15" t="inlineStr">
        <is>
          <t>N/A</t>
        </is>
      </c>
      <c r="EM15" t="inlineStr">
        <is>
          <t>No</t>
        </is>
      </c>
      <c r="EN15" t="inlineStr">
        <is>
          <t>Full Assembly Needed</t>
        </is>
      </c>
      <c r="EP15" t="inlineStr">
        <is>
          <t>N/A</t>
        </is>
      </c>
    </row>
    <row r="16">
      <c r="A16" s="38">
        <f>IF('6 - TV Stands &amp; Enterta'!B16 = "", "", IF('6 - TV Stands &amp; Enterta-WUO_ERR'!A16 = "", "Validated", HYPERLINK("#" &amp; ADDRESS(16, '6 - TV Stands &amp; Enterta-WUO_TRK'!A16),_xlfn.TEXTAFTER('6 - TV Stands &amp; Enterta-WUO_ERR'!A16, ":"))))</f>
        <v/>
      </c>
      <c r="B16" t="inlineStr">
        <is>
          <t>CASA-TV-025</t>
        </is>
      </c>
      <c r="D16" t="inlineStr">
        <is>
          <t>Casa Design Furniture</t>
        </is>
      </c>
      <c r="E16" t="inlineStr">
        <is>
          <t>CASA-TV-025</t>
        </is>
      </c>
      <c r="F16" t="inlineStr">
        <is>
          <t>840134100259</t>
        </is>
      </c>
      <c r="G16" t="inlineStr">
        <is>
          <t>#025 AFONSO TV STAND FIREPLACE</t>
        </is>
      </c>
      <c r="J16" t="n">
        <v>1250</v>
      </c>
      <c r="M16" t="inlineStr">
        <is>
          <t>Elevate your home with the #025 AFONSO TV STAND FIREPLACE. A perfect blend of style and functionality for modern living spaces.</t>
        </is>
      </c>
      <c r="S16" t="n">
        <v>1</v>
      </c>
      <c r="T16" t="n">
        <v>1</v>
      </c>
      <c r="U16" t="n">
        <v>1</v>
      </c>
      <c r="V16" t="n">
        <v>85</v>
      </c>
      <c r="W16" t="inlineStr">
        <is>
          <t>N/A</t>
        </is>
      </c>
      <c r="Y16" t="inlineStr">
        <is>
          <t>N/A</t>
        </is>
      </c>
      <c r="Z16" t="inlineStr">
        <is>
          <t>N/A</t>
        </is>
      </c>
      <c r="AD16" t="inlineStr">
        <is>
          <t>N/A</t>
        </is>
      </c>
      <c r="AE16" t="inlineStr">
        <is>
          <t>N/A</t>
        </is>
      </c>
      <c r="AF16" t="inlineStr">
        <is>
          <t>N/A</t>
        </is>
      </c>
      <c r="AG16" t="inlineStr">
        <is>
          <t>N/A</t>
        </is>
      </c>
      <c r="AH16" t="inlineStr">
        <is>
          <t>No</t>
        </is>
      </c>
      <c r="AK16" t="inlineStr">
        <is>
          <t>N/A</t>
        </is>
      </c>
      <c r="AL16" t="inlineStr">
        <is>
          <t>N/A</t>
        </is>
      </c>
      <c r="BG16" t="inlineStr">
        <is>
          <t>N/A</t>
        </is>
      </c>
      <c r="BI16" t="inlineStr">
        <is>
          <t>Yes</t>
        </is>
      </c>
      <c r="BJ16" t="n">
        <v>2</v>
      </c>
      <c r="BK16" t="inlineStr">
        <is>
          <t>Yes</t>
        </is>
      </c>
      <c r="BP16" t="inlineStr">
        <is>
          <t>N/A</t>
        </is>
      </c>
      <c r="BQ16" t="inlineStr">
        <is>
          <t>Solid Wood</t>
        </is>
      </c>
      <c r="CA16" t="inlineStr">
        <is>
          <t>Yes</t>
        </is>
      </c>
      <c r="CB16" t="inlineStr">
        <is>
          <t>N/A</t>
        </is>
      </c>
      <c r="CC16" t="inlineStr">
        <is>
          <t>Yes</t>
        </is>
      </c>
      <c r="CF16" t="inlineStr">
        <is>
          <t>N/A</t>
        </is>
      </c>
      <c r="CK16" t="inlineStr">
        <is>
          <t>Yes</t>
        </is>
      </c>
      <c r="CL16" t="inlineStr">
        <is>
          <t>N/A</t>
        </is>
      </c>
      <c r="CM16" t="inlineStr">
        <is>
          <t>N/A</t>
        </is>
      </c>
      <c r="CN16" t="n">
        <v>1</v>
      </c>
      <c r="CU16" t="n">
        <v>150</v>
      </c>
      <c r="CY16" t="inlineStr">
        <is>
          <t>Natural</t>
        </is>
      </c>
      <c r="DA16" t="inlineStr">
        <is>
          <t>N/A</t>
        </is>
      </c>
      <c r="DB16" t="inlineStr">
        <is>
          <t>N/A</t>
        </is>
      </c>
      <c r="DF16" t="inlineStr">
        <is>
          <t>Yes</t>
        </is>
      </c>
      <c r="DG16" t="n">
        <v>2</v>
      </c>
      <c r="DJ16" t="inlineStr">
        <is>
          <t>N/A</t>
        </is>
      </c>
      <c r="DK16" t="inlineStr">
        <is>
          <t>N/A</t>
        </is>
      </c>
      <c r="DL16" t="inlineStr">
        <is>
          <t>N/A</t>
        </is>
      </c>
      <c r="DM16" t="inlineStr">
        <is>
          <t>N/A</t>
        </is>
      </c>
      <c r="DN16" t="inlineStr">
        <is>
          <t>N/A</t>
        </is>
      </c>
      <c r="DO16" t="inlineStr">
        <is>
          <t>N/A</t>
        </is>
      </c>
      <c r="DP16" t="inlineStr">
        <is>
          <t>N/A</t>
        </is>
      </c>
      <c r="DQ16" t="inlineStr">
        <is>
          <t>N/A</t>
        </is>
      </c>
      <c r="DX16" t="inlineStr">
        <is>
          <t>N/A</t>
        </is>
      </c>
      <c r="DY16" t="inlineStr">
        <is>
          <t>N/A</t>
        </is>
      </c>
      <c r="DZ16" t="inlineStr">
        <is>
          <t>N/A</t>
        </is>
      </c>
      <c r="EA16" t="inlineStr">
        <is>
          <t>N/A</t>
        </is>
      </c>
      <c r="EE16" t="inlineStr">
        <is>
          <t>N/A</t>
        </is>
      </c>
      <c r="EF16" t="inlineStr">
        <is>
          <t>N/A</t>
        </is>
      </c>
      <c r="EG16" t="inlineStr">
        <is>
          <t>N/A</t>
        </is>
      </c>
      <c r="EH16" t="inlineStr">
        <is>
          <t>N/A</t>
        </is>
      </c>
      <c r="EI16" t="inlineStr">
        <is>
          <t>N/A</t>
        </is>
      </c>
      <c r="EK16" t="inlineStr">
        <is>
          <t>N/A</t>
        </is>
      </c>
      <c r="EL16" t="inlineStr">
        <is>
          <t>N/A</t>
        </is>
      </c>
      <c r="EM16" t="inlineStr">
        <is>
          <t>No</t>
        </is>
      </c>
      <c r="EN16" t="inlineStr">
        <is>
          <t>Full Assembly Needed</t>
        </is>
      </c>
      <c r="EP16" t="inlineStr">
        <is>
          <t>N/A</t>
        </is>
      </c>
    </row>
    <row r="17">
      <c r="A17" s="38">
        <f>IF('6 - TV Stands &amp; Enterta'!B17 = "", "", IF('6 - TV Stands &amp; Enterta-WUO_ERR'!A17 = "", "Validated", HYPERLINK("#" &amp; ADDRESS(17, '6 - TV Stands &amp; Enterta-WUO_TRK'!A17),_xlfn.TEXTAFTER('6 - TV Stands &amp; Enterta-WUO_ERR'!A17, ":"))))</f>
        <v/>
      </c>
      <c r="B17" t="inlineStr">
        <is>
          <t>CASA-TV-ELITE-101</t>
        </is>
      </c>
      <c r="D17" t="inlineStr">
        <is>
          <t>Casa Design Furniture</t>
        </is>
      </c>
      <c r="E17" t="inlineStr">
        <is>
          <t>CASA-TV-ELITE-101</t>
        </is>
      </c>
      <c r="F17" t="inlineStr">
        <is>
          <t>840134100901</t>
        </is>
      </c>
      <c r="G17" t="inlineStr">
        <is>
          <t>Elite Modern Series TV Stand Model 101</t>
        </is>
      </c>
      <c r="J17" t="n">
        <v>550</v>
      </c>
      <c r="M17" t="inlineStr">
        <is>
          <t>Elevate your home with the Elite Modern Series TV Stand Model 101. A perfect blend of style and functionality for modern living spaces.</t>
        </is>
      </c>
      <c r="S17" t="n">
        <v>1</v>
      </c>
      <c r="T17" t="n">
        <v>1</v>
      </c>
      <c r="U17" t="n">
        <v>1</v>
      </c>
      <c r="V17" t="n">
        <v>85</v>
      </c>
      <c r="W17" t="inlineStr">
        <is>
          <t>N/A</t>
        </is>
      </c>
      <c r="Y17" t="inlineStr">
        <is>
          <t>N/A</t>
        </is>
      </c>
      <c r="Z17" t="inlineStr">
        <is>
          <t>N/A</t>
        </is>
      </c>
      <c r="AD17" t="inlineStr">
        <is>
          <t>N/A</t>
        </is>
      </c>
      <c r="AE17" t="inlineStr">
        <is>
          <t>N/A</t>
        </is>
      </c>
      <c r="AF17" t="inlineStr">
        <is>
          <t>N/A</t>
        </is>
      </c>
      <c r="AG17" t="inlineStr">
        <is>
          <t>N/A</t>
        </is>
      </c>
      <c r="AH17" t="inlineStr">
        <is>
          <t>No</t>
        </is>
      </c>
      <c r="AK17" t="inlineStr">
        <is>
          <t>N/A</t>
        </is>
      </c>
      <c r="AL17" t="inlineStr">
        <is>
          <t>N/A</t>
        </is>
      </c>
      <c r="BG17" t="inlineStr">
        <is>
          <t>N/A</t>
        </is>
      </c>
      <c r="BI17" t="inlineStr">
        <is>
          <t>Yes</t>
        </is>
      </c>
      <c r="BJ17" t="n">
        <v>2</v>
      </c>
      <c r="BK17" t="inlineStr">
        <is>
          <t>Yes</t>
        </is>
      </c>
      <c r="BP17" t="inlineStr">
        <is>
          <t>N/A</t>
        </is>
      </c>
      <c r="BQ17" t="inlineStr">
        <is>
          <t>Solid Wood</t>
        </is>
      </c>
      <c r="CA17" t="inlineStr">
        <is>
          <t>Yes</t>
        </is>
      </c>
      <c r="CB17" t="inlineStr">
        <is>
          <t>N/A</t>
        </is>
      </c>
      <c r="CC17" t="inlineStr">
        <is>
          <t>Yes</t>
        </is>
      </c>
      <c r="CF17" t="inlineStr">
        <is>
          <t>N/A</t>
        </is>
      </c>
      <c r="CK17" t="inlineStr">
        <is>
          <t>Yes</t>
        </is>
      </c>
      <c r="CL17" t="inlineStr">
        <is>
          <t>N/A</t>
        </is>
      </c>
      <c r="CM17" t="inlineStr">
        <is>
          <t>N/A</t>
        </is>
      </c>
      <c r="CN17" t="n">
        <v>1</v>
      </c>
      <c r="CU17" t="n">
        <v>150</v>
      </c>
      <c r="CY17" t="inlineStr">
        <is>
          <t>Natural</t>
        </is>
      </c>
      <c r="DA17" t="inlineStr">
        <is>
          <t>N/A</t>
        </is>
      </c>
      <c r="DB17" t="inlineStr">
        <is>
          <t>N/A</t>
        </is>
      </c>
      <c r="DF17" t="inlineStr">
        <is>
          <t>Yes</t>
        </is>
      </c>
      <c r="DG17" t="n">
        <v>2</v>
      </c>
      <c r="DJ17" t="inlineStr">
        <is>
          <t>N/A</t>
        </is>
      </c>
      <c r="DK17" t="inlineStr">
        <is>
          <t>N/A</t>
        </is>
      </c>
      <c r="DL17" t="inlineStr">
        <is>
          <t>N/A</t>
        </is>
      </c>
      <c r="DM17" t="inlineStr">
        <is>
          <t>N/A</t>
        </is>
      </c>
      <c r="DN17" t="inlineStr">
        <is>
          <t>N/A</t>
        </is>
      </c>
      <c r="DO17" t="inlineStr">
        <is>
          <t>N/A</t>
        </is>
      </c>
      <c r="DP17" t="inlineStr">
        <is>
          <t>N/A</t>
        </is>
      </c>
      <c r="DQ17" t="inlineStr">
        <is>
          <t>N/A</t>
        </is>
      </c>
      <c r="DX17" t="inlineStr">
        <is>
          <t>N/A</t>
        </is>
      </c>
      <c r="DY17" t="inlineStr">
        <is>
          <t>N/A</t>
        </is>
      </c>
      <c r="DZ17" t="inlineStr">
        <is>
          <t>N/A</t>
        </is>
      </c>
      <c r="EA17" t="inlineStr">
        <is>
          <t>N/A</t>
        </is>
      </c>
      <c r="EE17" t="inlineStr">
        <is>
          <t>N/A</t>
        </is>
      </c>
      <c r="EF17" t="inlineStr">
        <is>
          <t>N/A</t>
        </is>
      </c>
      <c r="EG17" t="inlineStr">
        <is>
          <t>N/A</t>
        </is>
      </c>
      <c r="EH17" t="inlineStr">
        <is>
          <t>N/A</t>
        </is>
      </c>
      <c r="EI17" t="inlineStr">
        <is>
          <t>N/A</t>
        </is>
      </c>
      <c r="EK17" t="inlineStr">
        <is>
          <t>N/A</t>
        </is>
      </c>
      <c r="EL17" t="inlineStr">
        <is>
          <t>N/A</t>
        </is>
      </c>
      <c r="EM17" t="inlineStr">
        <is>
          <t>No</t>
        </is>
      </c>
      <c r="EN17" t="inlineStr">
        <is>
          <t>Full Assembly Needed</t>
        </is>
      </c>
      <c r="EP17" t="inlineStr">
        <is>
          <t>N/A</t>
        </is>
      </c>
    </row>
    <row r="18">
      <c r="A18" s="38">
        <f>IF('6 - TV Stands &amp; Enterta'!B18 = "", "", IF('6 - TV Stands &amp; Enterta-WUO_ERR'!A18 = "", "Validated", HYPERLINK("#" &amp; ADDRESS(18, '6 - TV Stands &amp; Enterta-WUO_TRK'!A18),_xlfn.TEXTAFTER('6 - TV Stands &amp; Enterta-WUO_ERR'!A18, ":"))))</f>
        <v/>
      </c>
      <c r="B18" t="inlineStr">
        <is>
          <t>CASA-TV-ELITE-102</t>
        </is>
      </c>
      <c r="D18" t="inlineStr">
        <is>
          <t>Casa Design Furniture</t>
        </is>
      </c>
      <c r="E18" t="inlineStr">
        <is>
          <t>CASA-TV-ELITE-102</t>
        </is>
      </c>
      <c r="F18" t="inlineStr">
        <is>
          <t>840134100902</t>
        </is>
      </c>
      <c r="G18" t="inlineStr">
        <is>
          <t>Elite Modern Series TV Stand Model 102</t>
        </is>
      </c>
      <c r="J18" t="n">
        <v>600</v>
      </c>
      <c r="M18" t="inlineStr">
        <is>
          <t>Elevate your home with the Elite Modern Series TV Stand Model 102. A perfect blend of style and functionality for modern living spaces.</t>
        </is>
      </c>
      <c r="S18" t="n">
        <v>1</v>
      </c>
      <c r="T18" t="n">
        <v>1</v>
      </c>
      <c r="U18" t="n">
        <v>1</v>
      </c>
      <c r="V18" t="n">
        <v>85</v>
      </c>
      <c r="W18" t="inlineStr">
        <is>
          <t>N/A</t>
        </is>
      </c>
      <c r="Y18" t="inlineStr">
        <is>
          <t>N/A</t>
        </is>
      </c>
      <c r="Z18" t="inlineStr">
        <is>
          <t>N/A</t>
        </is>
      </c>
      <c r="AD18" t="inlineStr">
        <is>
          <t>N/A</t>
        </is>
      </c>
      <c r="AE18" t="inlineStr">
        <is>
          <t>N/A</t>
        </is>
      </c>
      <c r="AF18" t="inlineStr">
        <is>
          <t>N/A</t>
        </is>
      </c>
      <c r="AG18" t="inlineStr">
        <is>
          <t>N/A</t>
        </is>
      </c>
      <c r="AH18" t="inlineStr">
        <is>
          <t>No</t>
        </is>
      </c>
      <c r="AK18" t="inlineStr">
        <is>
          <t>N/A</t>
        </is>
      </c>
      <c r="AL18" t="inlineStr">
        <is>
          <t>N/A</t>
        </is>
      </c>
      <c r="BG18" t="inlineStr">
        <is>
          <t>N/A</t>
        </is>
      </c>
      <c r="BI18" t="inlineStr">
        <is>
          <t>Yes</t>
        </is>
      </c>
      <c r="BJ18" t="n">
        <v>2</v>
      </c>
      <c r="BK18" t="inlineStr">
        <is>
          <t>Yes</t>
        </is>
      </c>
      <c r="BP18" t="inlineStr">
        <is>
          <t>N/A</t>
        </is>
      </c>
      <c r="BQ18" t="inlineStr">
        <is>
          <t>Solid Wood</t>
        </is>
      </c>
      <c r="CA18" t="inlineStr">
        <is>
          <t>Yes</t>
        </is>
      </c>
      <c r="CB18" t="inlineStr">
        <is>
          <t>N/A</t>
        </is>
      </c>
      <c r="CC18" t="inlineStr">
        <is>
          <t>Yes</t>
        </is>
      </c>
      <c r="CF18" t="inlineStr">
        <is>
          <t>N/A</t>
        </is>
      </c>
      <c r="CK18" t="inlineStr">
        <is>
          <t>Yes</t>
        </is>
      </c>
      <c r="CL18" t="inlineStr">
        <is>
          <t>N/A</t>
        </is>
      </c>
      <c r="CM18" t="inlineStr">
        <is>
          <t>N/A</t>
        </is>
      </c>
      <c r="CN18" t="n">
        <v>1</v>
      </c>
      <c r="CU18" t="n">
        <v>150</v>
      </c>
      <c r="CY18" t="inlineStr">
        <is>
          <t>Natural</t>
        </is>
      </c>
      <c r="DA18" t="inlineStr">
        <is>
          <t>N/A</t>
        </is>
      </c>
      <c r="DB18" t="inlineStr">
        <is>
          <t>N/A</t>
        </is>
      </c>
      <c r="DF18" t="inlineStr">
        <is>
          <t>Yes</t>
        </is>
      </c>
      <c r="DG18" t="n">
        <v>2</v>
      </c>
      <c r="DJ18" t="inlineStr">
        <is>
          <t>N/A</t>
        </is>
      </c>
      <c r="DK18" t="inlineStr">
        <is>
          <t>N/A</t>
        </is>
      </c>
      <c r="DL18" t="inlineStr">
        <is>
          <t>N/A</t>
        </is>
      </c>
      <c r="DM18" t="inlineStr">
        <is>
          <t>N/A</t>
        </is>
      </c>
      <c r="DN18" t="inlineStr">
        <is>
          <t>N/A</t>
        </is>
      </c>
      <c r="DO18" t="inlineStr">
        <is>
          <t>N/A</t>
        </is>
      </c>
      <c r="DP18" t="inlineStr">
        <is>
          <t>N/A</t>
        </is>
      </c>
      <c r="DQ18" t="inlineStr">
        <is>
          <t>N/A</t>
        </is>
      </c>
      <c r="DX18" t="inlineStr">
        <is>
          <t>N/A</t>
        </is>
      </c>
      <c r="DY18" t="inlineStr">
        <is>
          <t>N/A</t>
        </is>
      </c>
      <c r="DZ18" t="inlineStr">
        <is>
          <t>N/A</t>
        </is>
      </c>
      <c r="EA18" t="inlineStr">
        <is>
          <t>N/A</t>
        </is>
      </c>
      <c r="EE18" t="inlineStr">
        <is>
          <t>N/A</t>
        </is>
      </c>
      <c r="EF18" t="inlineStr">
        <is>
          <t>N/A</t>
        </is>
      </c>
      <c r="EG18" t="inlineStr">
        <is>
          <t>N/A</t>
        </is>
      </c>
      <c r="EH18" t="inlineStr">
        <is>
          <t>N/A</t>
        </is>
      </c>
      <c r="EI18" t="inlineStr">
        <is>
          <t>N/A</t>
        </is>
      </c>
      <c r="EK18" t="inlineStr">
        <is>
          <t>N/A</t>
        </is>
      </c>
      <c r="EL18" t="inlineStr">
        <is>
          <t>N/A</t>
        </is>
      </c>
      <c r="EM18" t="inlineStr">
        <is>
          <t>No</t>
        </is>
      </c>
      <c r="EN18" t="inlineStr">
        <is>
          <t>Full Assembly Needed</t>
        </is>
      </c>
      <c r="EP18" t="inlineStr">
        <is>
          <t>N/A</t>
        </is>
      </c>
    </row>
    <row r="19">
      <c r="A19" s="38">
        <f>IF('6 - TV Stands &amp; Enterta'!B19 = "", "", IF('6 - TV Stands &amp; Enterta-WUO_ERR'!A19 = "", "Validated", HYPERLINK("#" &amp; ADDRESS(19, '6 - TV Stands &amp; Enterta-WUO_TRK'!A19),_xlfn.TEXTAFTER('6 - TV Stands &amp; Enterta-WUO_ERR'!A19, ":"))))</f>
        <v/>
      </c>
      <c r="B19" t="inlineStr">
        <is>
          <t>CASA-TV-ELITE-103</t>
        </is>
      </c>
      <c r="D19" t="inlineStr">
        <is>
          <t>Casa Design Furniture</t>
        </is>
      </c>
      <c r="E19" t="inlineStr">
        <is>
          <t>CASA-TV-ELITE-103</t>
        </is>
      </c>
      <c r="F19" t="inlineStr">
        <is>
          <t>840134100903</t>
        </is>
      </c>
      <c r="G19" t="inlineStr">
        <is>
          <t>Elite Modern Series TV Stand Model 103</t>
        </is>
      </c>
      <c r="J19" t="n">
        <v>650</v>
      </c>
      <c r="M19" t="inlineStr">
        <is>
          <t>Elevate your home with the Elite Modern Series TV Stand Model 103. A perfect blend of style and functionality for modern living spaces.</t>
        </is>
      </c>
      <c r="S19" t="n">
        <v>1</v>
      </c>
      <c r="T19" t="n">
        <v>1</v>
      </c>
      <c r="U19" t="n">
        <v>1</v>
      </c>
      <c r="V19" t="n">
        <v>85</v>
      </c>
      <c r="W19" t="inlineStr">
        <is>
          <t>N/A</t>
        </is>
      </c>
      <c r="Y19" t="inlineStr">
        <is>
          <t>N/A</t>
        </is>
      </c>
      <c r="Z19" t="inlineStr">
        <is>
          <t>N/A</t>
        </is>
      </c>
      <c r="AD19" t="inlineStr">
        <is>
          <t>N/A</t>
        </is>
      </c>
      <c r="AE19" t="inlineStr">
        <is>
          <t>N/A</t>
        </is>
      </c>
      <c r="AF19" t="inlineStr">
        <is>
          <t>N/A</t>
        </is>
      </c>
      <c r="AG19" t="inlineStr">
        <is>
          <t>N/A</t>
        </is>
      </c>
      <c r="AH19" t="inlineStr">
        <is>
          <t>No</t>
        </is>
      </c>
      <c r="AK19" t="inlineStr">
        <is>
          <t>N/A</t>
        </is>
      </c>
      <c r="AL19" t="inlineStr">
        <is>
          <t>N/A</t>
        </is>
      </c>
      <c r="BG19" t="inlineStr">
        <is>
          <t>N/A</t>
        </is>
      </c>
      <c r="BI19" t="inlineStr">
        <is>
          <t>Yes</t>
        </is>
      </c>
      <c r="BJ19" t="n">
        <v>2</v>
      </c>
      <c r="BK19" t="inlineStr">
        <is>
          <t>Yes</t>
        </is>
      </c>
      <c r="BP19" t="inlineStr">
        <is>
          <t>N/A</t>
        </is>
      </c>
      <c r="BQ19" t="inlineStr">
        <is>
          <t>Solid Wood</t>
        </is>
      </c>
      <c r="CA19" t="inlineStr">
        <is>
          <t>Yes</t>
        </is>
      </c>
      <c r="CB19" t="inlineStr">
        <is>
          <t>N/A</t>
        </is>
      </c>
      <c r="CC19" t="inlineStr">
        <is>
          <t>Yes</t>
        </is>
      </c>
      <c r="CF19" t="inlineStr">
        <is>
          <t>N/A</t>
        </is>
      </c>
      <c r="CK19" t="inlineStr">
        <is>
          <t>Yes</t>
        </is>
      </c>
      <c r="CL19" t="inlineStr">
        <is>
          <t>N/A</t>
        </is>
      </c>
      <c r="CM19" t="inlineStr">
        <is>
          <t>N/A</t>
        </is>
      </c>
      <c r="CN19" t="n">
        <v>1</v>
      </c>
      <c r="CU19" t="n">
        <v>150</v>
      </c>
      <c r="CY19" t="inlineStr">
        <is>
          <t>Natural</t>
        </is>
      </c>
      <c r="DA19" t="inlineStr">
        <is>
          <t>N/A</t>
        </is>
      </c>
      <c r="DB19" t="inlineStr">
        <is>
          <t>N/A</t>
        </is>
      </c>
      <c r="DF19" t="inlineStr">
        <is>
          <t>Yes</t>
        </is>
      </c>
      <c r="DG19" t="n">
        <v>2</v>
      </c>
      <c r="DJ19" t="inlineStr">
        <is>
          <t>N/A</t>
        </is>
      </c>
      <c r="DK19" t="inlineStr">
        <is>
          <t>N/A</t>
        </is>
      </c>
      <c r="DL19" t="inlineStr">
        <is>
          <t>N/A</t>
        </is>
      </c>
      <c r="DM19" t="inlineStr">
        <is>
          <t>N/A</t>
        </is>
      </c>
      <c r="DN19" t="inlineStr">
        <is>
          <t>N/A</t>
        </is>
      </c>
      <c r="DO19" t="inlineStr">
        <is>
          <t>N/A</t>
        </is>
      </c>
      <c r="DP19" t="inlineStr">
        <is>
          <t>N/A</t>
        </is>
      </c>
      <c r="DQ19" t="inlineStr">
        <is>
          <t>N/A</t>
        </is>
      </c>
      <c r="DX19" t="inlineStr">
        <is>
          <t>N/A</t>
        </is>
      </c>
      <c r="DY19" t="inlineStr">
        <is>
          <t>N/A</t>
        </is>
      </c>
      <c r="DZ19" t="inlineStr">
        <is>
          <t>N/A</t>
        </is>
      </c>
      <c r="EA19" t="inlineStr">
        <is>
          <t>N/A</t>
        </is>
      </c>
      <c r="EE19" t="inlineStr">
        <is>
          <t>N/A</t>
        </is>
      </c>
      <c r="EF19" t="inlineStr">
        <is>
          <t>N/A</t>
        </is>
      </c>
      <c r="EG19" t="inlineStr">
        <is>
          <t>N/A</t>
        </is>
      </c>
      <c r="EH19" t="inlineStr">
        <is>
          <t>N/A</t>
        </is>
      </c>
      <c r="EI19" t="inlineStr">
        <is>
          <t>N/A</t>
        </is>
      </c>
      <c r="EK19" t="inlineStr">
        <is>
          <t>N/A</t>
        </is>
      </c>
      <c r="EL19" t="inlineStr">
        <is>
          <t>N/A</t>
        </is>
      </c>
      <c r="EM19" t="inlineStr">
        <is>
          <t>No</t>
        </is>
      </c>
      <c r="EN19" t="inlineStr">
        <is>
          <t>Full Assembly Needed</t>
        </is>
      </c>
      <c r="EP19" t="inlineStr">
        <is>
          <t>N/A</t>
        </is>
      </c>
    </row>
    <row r="20">
      <c r="A20" s="38">
        <f>IF('6 - TV Stands &amp; Enterta'!B20 = "", "", IF('6 - TV Stands &amp; Enterta-WUO_ERR'!A20 = "", "Validated", HYPERLINK("#" &amp; ADDRESS(20, '6 - TV Stands &amp; Enterta-WUO_TRK'!A20),_xlfn.TEXTAFTER('6 - TV Stands &amp; Enterta-WUO_ERR'!A20, ":"))))</f>
        <v/>
      </c>
      <c r="B20" t="inlineStr">
        <is>
          <t>CASA-TV-ELITE-104</t>
        </is>
      </c>
      <c r="D20" t="inlineStr">
        <is>
          <t>Casa Design Furniture</t>
        </is>
      </c>
      <c r="E20" t="inlineStr">
        <is>
          <t>CASA-TV-ELITE-104</t>
        </is>
      </c>
      <c r="F20" t="inlineStr">
        <is>
          <t>840134100904</t>
        </is>
      </c>
      <c r="G20" t="inlineStr">
        <is>
          <t>Elite Modern Series TV Stand Model 104</t>
        </is>
      </c>
      <c r="J20" t="n">
        <v>700</v>
      </c>
      <c r="M20" t="inlineStr">
        <is>
          <t>Elevate your home with the Elite Modern Series TV Stand Model 104. A perfect blend of style and functionality for modern living spaces.</t>
        </is>
      </c>
      <c r="S20" t="n">
        <v>1</v>
      </c>
      <c r="T20" t="n">
        <v>1</v>
      </c>
      <c r="U20" t="n">
        <v>1</v>
      </c>
      <c r="V20" t="n">
        <v>85</v>
      </c>
      <c r="W20" t="inlineStr">
        <is>
          <t>N/A</t>
        </is>
      </c>
      <c r="Y20" t="inlineStr">
        <is>
          <t>N/A</t>
        </is>
      </c>
      <c r="Z20" t="inlineStr">
        <is>
          <t>N/A</t>
        </is>
      </c>
      <c r="AD20" t="inlineStr">
        <is>
          <t>N/A</t>
        </is>
      </c>
      <c r="AE20" t="inlineStr">
        <is>
          <t>N/A</t>
        </is>
      </c>
      <c r="AF20" t="inlineStr">
        <is>
          <t>N/A</t>
        </is>
      </c>
      <c r="AG20" t="inlineStr">
        <is>
          <t>N/A</t>
        </is>
      </c>
      <c r="AH20" t="inlineStr">
        <is>
          <t>No</t>
        </is>
      </c>
      <c r="AK20" t="inlineStr">
        <is>
          <t>N/A</t>
        </is>
      </c>
      <c r="AL20" t="inlineStr">
        <is>
          <t>N/A</t>
        </is>
      </c>
      <c r="BG20" t="inlineStr">
        <is>
          <t>N/A</t>
        </is>
      </c>
      <c r="BI20" t="inlineStr">
        <is>
          <t>Yes</t>
        </is>
      </c>
      <c r="BJ20" t="n">
        <v>2</v>
      </c>
      <c r="BK20" t="inlineStr">
        <is>
          <t>Yes</t>
        </is>
      </c>
      <c r="BP20" t="inlineStr">
        <is>
          <t>N/A</t>
        </is>
      </c>
      <c r="BQ20" t="inlineStr">
        <is>
          <t>Solid Wood</t>
        </is>
      </c>
      <c r="CA20" t="inlineStr">
        <is>
          <t>Yes</t>
        </is>
      </c>
      <c r="CB20" t="inlineStr">
        <is>
          <t>N/A</t>
        </is>
      </c>
      <c r="CC20" t="inlineStr">
        <is>
          <t>Yes</t>
        </is>
      </c>
      <c r="CF20" t="inlineStr">
        <is>
          <t>N/A</t>
        </is>
      </c>
      <c r="CK20" t="inlineStr">
        <is>
          <t>Yes</t>
        </is>
      </c>
      <c r="CL20" t="inlineStr">
        <is>
          <t>N/A</t>
        </is>
      </c>
      <c r="CM20" t="inlineStr">
        <is>
          <t>N/A</t>
        </is>
      </c>
      <c r="CN20" t="n">
        <v>1</v>
      </c>
      <c r="CU20" t="n">
        <v>150</v>
      </c>
      <c r="CY20" t="inlineStr">
        <is>
          <t>Natural</t>
        </is>
      </c>
      <c r="DA20" t="inlineStr">
        <is>
          <t>N/A</t>
        </is>
      </c>
      <c r="DB20" t="inlineStr">
        <is>
          <t>N/A</t>
        </is>
      </c>
      <c r="DF20" t="inlineStr">
        <is>
          <t>Yes</t>
        </is>
      </c>
      <c r="DG20" t="n">
        <v>2</v>
      </c>
      <c r="DJ20" t="inlineStr">
        <is>
          <t>N/A</t>
        </is>
      </c>
      <c r="DK20" t="inlineStr">
        <is>
          <t>N/A</t>
        </is>
      </c>
      <c r="DL20" t="inlineStr">
        <is>
          <t>N/A</t>
        </is>
      </c>
      <c r="DM20" t="inlineStr">
        <is>
          <t>N/A</t>
        </is>
      </c>
      <c r="DN20" t="inlineStr">
        <is>
          <t>N/A</t>
        </is>
      </c>
      <c r="DO20" t="inlineStr">
        <is>
          <t>N/A</t>
        </is>
      </c>
      <c r="DP20" t="inlineStr">
        <is>
          <t>N/A</t>
        </is>
      </c>
      <c r="DQ20" t="inlineStr">
        <is>
          <t>N/A</t>
        </is>
      </c>
      <c r="DX20" t="inlineStr">
        <is>
          <t>N/A</t>
        </is>
      </c>
      <c r="DY20" t="inlineStr">
        <is>
          <t>N/A</t>
        </is>
      </c>
      <c r="DZ20" t="inlineStr">
        <is>
          <t>N/A</t>
        </is>
      </c>
      <c r="EA20" t="inlineStr">
        <is>
          <t>N/A</t>
        </is>
      </c>
      <c r="EE20" t="inlineStr">
        <is>
          <t>N/A</t>
        </is>
      </c>
      <c r="EF20" t="inlineStr">
        <is>
          <t>N/A</t>
        </is>
      </c>
      <c r="EG20" t="inlineStr">
        <is>
          <t>N/A</t>
        </is>
      </c>
      <c r="EH20" t="inlineStr">
        <is>
          <t>N/A</t>
        </is>
      </c>
      <c r="EI20" t="inlineStr">
        <is>
          <t>N/A</t>
        </is>
      </c>
      <c r="EK20" t="inlineStr">
        <is>
          <t>N/A</t>
        </is>
      </c>
      <c r="EL20" t="inlineStr">
        <is>
          <t>N/A</t>
        </is>
      </c>
      <c r="EM20" t="inlineStr">
        <is>
          <t>No</t>
        </is>
      </c>
      <c r="EN20" t="inlineStr">
        <is>
          <t>Full Assembly Needed</t>
        </is>
      </c>
      <c r="EP20" t="inlineStr">
        <is>
          <t>N/A</t>
        </is>
      </c>
    </row>
    <row r="21">
      <c r="A21" s="38">
        <f>IF('6 - TV Stands &amp; Enterta'!B21 = "", "", IF('6 - TV Stands &amp; Enterta-WUO_ERR'!A21 = "", "Validated", HYPERLINK("#" &amp; ADDRESS(21, '6 - TV Stands &amp; Enterta-WUO_TRK'!A21),_xlfn.TEXTAFTER('6 - TV Stands &amp; Enterta-WUO_ERR'!A21, ":"))))</f>
        <v/>
      </c>
      <c r="B21" t="inlineStr">
        <is>
          <t>CASA-TV-ELITE-105</t>
        </is>
      </c>
      <c r="D21" t="inlineStr">
        <is>
          <t>Casa Design Furniture</t>
        </is>
      </c>
      <c r="E21" t="inlineStr">
        <is>
          <t>CASA-TV-ELITE-105</t>
        </is>
      </c>
      <c r="F21" t="inlineStr">
        <is>
          <t>840134100905</t>
        </is>
      </c>
      <c r="G21" t="inlineStr">
        <is>
          <t>Elite Modern Series TV Stand Model 105</t>
        </is>
      </c>
      <c r="J21" t="n">
        <v>750</v>
      </c>
      <c r="M21" t="inlineStr">
        <is>
          <t>Elevate your home with the Elite Modern Series TV Stand Model 105. A perfect blend of style and functionality for modern living spaces.</t>
        </is>
      </c>
      <c r="S21" t="n">
        <v>1</v>
      </c>
      <c r="T21" t="n">
        <v>1</v>
      </c>
      <c r="U21" t="n">
        <v>1</v>
      </c>
      <c r="V21" t="n">
        <v>85</v>
      </c>
      <c r="W21" t="inlineStr">
        <is>
          <t>N/A</t>
        </is>
      </c>
      <c r="Y21" t="inlineStr">
        <is>
          <t>N/A</t>
        </is>
      </c>
      <c r="Z21" t="inlineStr">
        <is>
          <t>N/A</t>
        </is>
      </c>
      <c r="AD21" t="inlineStr">
        <is>
          <t>N/A</t>
        </is>
      </c>
      <c r="AE21" t="inlineStr">
        <is>
          <t>N/A</t>
        </is>
      </c>
      <c r="AF21" t="inlineStr">
        <is>
          <t>N/A</t>
        </is>
      </c>
      <c r="AG21" t="inlineStr">
        <is>
          <t>N/A</t>
        </is>
      </c>
      <c r="AH21" t="inlineStr">
        <is>
          <t>No</t>
        </is>
      </c>
      <c r="AK21" t="inlineStr">
        <is>
          <t>N/A</t>
        </is>
      </c>
      <c r="AL21" t="inlineStr">
        <is>
          <t>N/A</t>
        </is>
      </c>
      <c r="BG21" t="inlineStr">
        <is>
          <t>N/A</t>
        </is>
      </c>
      <c r="BI21" t="inlineStr">
        <is>
          <t>Yes</t>
        </is>
      </c>
      <c r="BJ21" t="n">
        <v>2</v>
      </c>
      <c r="BK21" t="inlineStr">
        <is>
          <t>Yes</t>
        </is>
      </c>
      <c r="BP21" t="inlineStr">
        <is>
          <t>N/A</t>
        </is>
      </c>
      <c r="BQ21" t="inlineStr">
        <is>
          <t>Solid Wood</t>
        </is>
      </c>
      <c r="CA21" t="inlineStr">
        <is>
          <t>Yes</t>
        </is>
      </c>
      <c r="CB21" t="inlineStr">
        <is>
          <t>N/A</t>
        </is>
      </c>
      <c r="CC21" t="inlineStr">
        <is>
          <t>Yes</t>
        </is>
      </c>
      <c r="CF21" t="inlineStr">
        <is>
          <t>N/A</t>
        </is>
      </c>
      <c r="CK21" t="inlineStr">
        <is>
          <t>Yes</t>
        </is>
      </c>
      <c r="CL21" t="inlineStr">
        <is>
          <t>N/A</t>
        </is>
      </c>
      <c r="CM21" t="inlineStr">
        <is>
          <t>N/A</t>
        </is>
      </c>
      <c r="CN21" t="n">
        <v>1</v>
      </c>
      <c r="CU21" t="n">
        <v>150</v>
      </c>
      <c r="CY21" t="inlineStr">
        <is>
          <t>Natural</t>
        </is>
      </c>
      <c r="DA21" t="inlineStr">
        <is>
          <t>N/A</t>
        </is>
      </c>
      <c r="DB21" t="inlineStr">
        <is>
          <t>N/A</t>
        </is>
      </c>
      <c r="DF21" t="inlineStr">
        <is>
          <t>Yes</t>
        </is>
      </c>
      <c r="DG21" t="n">
        <v>2</v>
      </c>
      <c r="DJ21" t="inlineStr">
        <is>
          <t>N/A</t>
        </is>
      </c>
      <c r="DK21" t="inlineStr">
        <is>
          <t>N/A</t>
        </is>
      </c>
      <c r="DL21" t="inlineStr">
        <is>
          <t>N/A</t>
        </is>
      </c>
      <c r="DM21" t="inlineStr">
        <is>
          <t>N/A</t>
        </is>
      </c>
      <c r="DN21" t="inlineStr">
        <is>
          <t>N/A</t>
        </is>
      </c>
      <c r="DO21" t="inlineStr">
        <is>
          <t>N/A</t>
        </is>
      </c>
      <c r="DP21" t="inlineStr">
        <is>
          <t>N/A</t>
        </is>
      </c>
      <c r="DQ21" t="inlineStr">
        <is>
          <t>N/A</t>
        </is>
      </c>
      <c r="DX21" t="inlineStr">
        <is>
          <t>N/A</t>
        </is>
      </c>
      <c r="DY21" t="inlineStr">
        <is>
          <t>N/A</t>
        </is>
      </c>
      <c r="DZ21" t="inlineStr">
        <is>
          <t>N/A</t>
        </is>
      </c>
      <c r="EA21" t="inlineStr">
        <is>
          <t>N/A</t>
        </is>
      </c>
      <c r="EE21" t="inlineStr">
        <is>
          <t>N/A</t>
        </is>
      </c>
      <c r="EF21" t="inlineStr">
        <is>
          <t>N/A</t>
        </is>
      </c>
      <c r="EG21" t="inlineStr">
        <is>
          <t>N/A</t>
        </is>
      </c>
      <c r="EH21" t="inlineStr">
        <is>
          <t>N/A</t>
        </is>
      </c>
      <c r="EI21" t="inlineStr">
        <is>
          <t>N/A</t>
        </is>
      </c>
      <c r="EK21" t="inlineStr">
        <is>
          <t>N/A</t>
        </is>
      </c>
      <c r="EL21" t="inlineStr">
        <is>
          <t>N/A</t>
        </is>
      </c>
      <c r="EM21" t="inlineStr">
        <is>
          <t>No</t>
        </is>
      </c>
      <c r="EN21" t="inlineStr">
        <is>
          <t>Full Assembly Needed</t>
        </is>
      </c>
      <c r="EP21" t="inlineStr">
        <is>
          <t>N/A</t>
        </is>
      </c>
    </row>
    <row r="22">
      <c r="A22" s="38">
        <f>IF('6 - TV Stands &amp; Enterta'!B22 = "", "", IF('6 - TV Stands &amp; Enterta-WUO_ERR'!A22 = "", "Validated", HYPERLINK("#" &amp; ADDRESS(22, '6 - TV Stands &amp; Enterta-WUO_TRK'!A22),_xlfn.TEXTAFTER('6 - TV Stands &amp; Enterta-WUO_ERR'!A22, ":"))))</f>
        <v/>
      </c>
      <c r="B22" t="inlineStr">
        <is>
          <t>CASA-TV-ELITE-106</t>
        </is>
      </c>
      <c r="D22" t="inlineStr">
        <is>
          <t>Casa Design Furniture</t>
        </is>
      </c>
      <c r="E22" t="inlineStr">
        <is>
          <t>CASA-TV-ELITE-106</t>
        </is>
      </c>
      <c r="F22" t="inlineStr">
        <is>
          <t>840134100906</t>
        </is>
      </c>
      <c r="G22" t="inlineStr">
        <is>
          <t>Elite Modern Series TV Stand Model 106</t>
        </is>
      </c>
      <c r="J22" t="n">
        <v>800</v>
      </c>
      <c r="M22" t="inlineStr">
        <is>
          <t>Elevate your home with the Elite Modern Series TV Stand Model 106. A perfect blend of style and functionality for modern living spaces.</t>
        </is>
      </c>
      <c r="S22" t="n">
        <v>1</v>
      </c>
      <c r="T22" t="n">
        <v>1</v>
      </c>
      <c r="U22" t="n">
        <v>1</v>
      </c>
      <c r="V22" t="n">
        <v>85</v>
      </c>
      <c r="W22" t="inlineStr">
        <is>
          <t>N/A</t>
        </is>
      </c>
      <c r="Y22" t="inlineStr">
        <is>
          <t>N/A</t>
        </is>
      </c>
      <c r="Z22" t="inlineStr">
        <is>
          <t>N/A</t>
        </is>
      </c>
      <c r="AD22" t="inlineStr">
        <is>
          <t>N/A</t>
        </is>
      </c>
      <c r="AE22" t="inlineStr">
        <is>
          <t>N/A</t>
        </is>
      </c>
      <c r="AF22" t="inlineStr">
        <is>
          <t>N/A</t>
        </is>
      </c>
      <c r="AG22" t="inlineStr">
        <is>
          <t>N/A</t>
        </is>
      </c>
      <c r="AH22" t="inlineStr">
        <is>
          <t>No</t>
        </is>
      </c>
      <c r="AK22" t="inlineStr">
        <is>
          <t>N/A</t>
        </is>
      </c>
      <c r="AL22" t="inlineStr">
        <is>
          <t>N/A</t>
        </is>
      </c>
      <c r="BG22" t="inlineStr">
        <is>
          <t>N/A</t>
        </is>
      </c>
      <c r="BI22" t="inlineStr">
        <is>
          <t>Yes</t>
        </is>
      </c>
      <c r="BJ22" t="n">
        <v>2</v>
      </c>
      <c r="BK22" t="inlineStr">
        <is>
          <t>Yes</t>
        </is>
      </c>
      <c r="BP22" t="inlineStr">
        <is>
          <t>N/A</t>
        </is>
      </c>
      <c r="BQ22" t="inlineStr">
        <is>
          <t>Solid Wood</t>
        </is>
      </c>
      <c r="CA22" t="inlineStr">
        <is>
          <t>Yes</t>
        </is>
      </c>
      <c r="CB22" t="inlineStr">
        <is>
          <t>N/A</t>
        </is>
      </c>
      <c r="CC22" t="inlineStr">
        <is>
          <t>Yes</t>
        </is>
      </c>
      <c r="CF22" t="inlineStr">
        <is>
          <t>N/A</t>
        </is>
      </c>
      <c r="CK22" t="inlineStr">
        <is>
          <t>Yes</t>
        </is>
      </c>
      <c r="CL22" t="inlineStr">
        <is>
          <t>N/A</t>
        </is>
      </c>
      <c r="CM22" t="inlineStr">
        <is>
          <t>N/A</t>
        </is>
      </c>
      <c r="CN22" t="n">
        <v>1</v>
      </c>
      <c r="CU22" t="n">
        <v>150</v>
      </c>
      <c r="CY22" t="inlineStr">
        <is>
          <t>Natural</t>
        </is>
      </c>
      <c r="DA22" t="inlineStr">
        <is>
          <t>N/A</t>
        </is>
      </c>
      <c r="DB22" t="inlineStr">
        <is>
          <t>N/A</t>
        </is>
      </c>
      <c r="DF22" t="inlineStr">
        <is>
          <t>Yes</t>
        </is>
      </c>
      <c r="DG22" t="n">
        <v>2</v>
      </c>
      <c r="DJ22" t="inlineStr">
        <is>
          <t>N/A</t>
        </is>
      </c>
      <c r="DK22" t="inlineStr">
        <is>
          <t>N/A</t>
        </is>
      </c>
      <c r="DL22" t="inlineStr">
        <is>
          <t>N/A</t>
        </is>
      </c>
      <c r="DM22" t="inlineStr">
        <is>
          <t>N/A</t>
        </is>
      </c>
      <c r="DN22" t="inlineStr">
        <is>
          <t>N/A</t>
        </is>
      </c>
      <c r="DO22" t="inlineStr">
        <is>
          <t>N/A</t>
        </is>
      </c>
      <c r="DP22" t="inlineStr">
        <is>
          <t>N/A</t>
        </is>
      </c>
      <c r="DQ22" t="inlineStr">
        <is>
          <t>N/A</t>
        </is>
      </c>
      <c r="DX22" t="inlineStr">
        <is>
          <t>N/A</t>
        </is>
      </c>
      <c r="DY22" t="inlineStr">
        <is>
          <t>N/A</t>
        </is>
      </c>
      <c r="DZ22" t="inlineStr">
        <is>
          <t>N/A</t>
        </is>
      </c>
      <c r="EA22" t="inlineStr">
        <is>
          <t>N/A</t>
        </is>
      </c>
      <c r="EE22" t="inlineStr">
        <is>
          <t>N/A</t>
        </is>
      </c>
      <c r="EF22" t="inlineStr">
        <is>
          <t>N/A</t>
        </is>
      </c>
      <c r="EG22" t="inlineStr">
        <is>
          <t>N/A</t>
        </is>
      </c>
      <c r="EH22" t="inlineStr">
        <is>
          <t>N/A</t>
        </is>
      </c>
      <c r="EI22" t="inlineStr">
        <is>
          <t>N/A</t>
        </is>
      </c>
      <c r="EK22" t="inlineStr">
        <is>
          <t>N/A</t>
        </is>
      </c>
      <c r="EL22" t="inlineStr">
        <is>
          <t>N/A</t>
        </is>
      </c>
      <c r="EM22" t="inlineStr">
        <is>
          <t>No</t>
        </is>
      </c>
      <c r="EN22" t="inlineStr">
        <is>
          <t>Full Assembly Needed</t>
        </is>
      </c>
      <c r="EP22" t="inlineStr">
        <is>
          <t>N/A</t>
        </is>
      </c>
    </row>
    <row r="23">
      <c r="A23" s="38">
        <f>IF('6 - TV Stands &amp; Enterta'!B23 = "", "", IF('6 - TV Stands &amp; Enterta-WUO_ERR'!A23 = "", "Validated", HYPERLINK("#" &amp; ADDRESS(23, '6 - TV Stands &amp; Enterta-WUO_TRK'!A23),_xlfn.TEXTAFTER('6 - TV Stands &amp; Enterta-WUO_ERR'!A23, ":"))))</f>
        <v/>
      </c>
    </row>
    <row r="24">
      <c r="A24" s="38">
        <f>IF('6 - TV Stands &amp; Enterta'!B24 = "", "", IF('6 - TV Stands &amp; Enterta-WUO_ERR'!A24 = "", "Validated", HYPERLINK("#" &amp; ADDRESS(24, '6 - TV Stands &amp; Enterta-WUO_TRK'!A24),_xlfn.TEXTAFTER('6 - TV Stands &amp; Enterta-WUO_ERR'!A24, ":"))))</f>
        <v/>
      </c>
    </row>
    <row r="25">
      <c r="A25" s="38">
        <f>IF('6 - TV Stands &amp; Enterta'!B25 = "", "", IF('6 - TV Stands &amp; Enterta-WUO_ERR'!A25 = "", "Validated", HYPERLINK("#" &amp; ADDRESS(25, '6 - TV Stands &amp; Enterta-WUO_TRK'!A25),_xlfn.TEXTAFTER('6 - TV Stands &amp; Enterta-WUO_ERR'!A25, ":"))))</f>
        <v/>
      </c>
    </row>
    <row r="26">
      <c r="A26" s="38">
        <f>IF('6 - TV Stands &amp; Enterta'!B26 = "", "", IF('6 - TV Stands &amp; Enterta-WUO_ERR'!A26 = "", "Validated", HYPERLINK("#" &amp; ADDRESS(26, '6 - TV Stands &amp; Enterta-WUO_TRK'!A26),_xlfn.TEXTAFTER('6 - TV Stands &amp; Enterta-WUO_ERR'!A26, ":"))))</f>
        <v/>
      </c>
    </row>
    <row r="27">
      <c r="A27" s="38">
        <f>IF('6 - TV Stands &amp; Enterta'!B27 = "", "", IF('6 - TV Stands &amp; Enterta-WUO_ERR'!A27 = "", "Validated", HYPERLINK("#" &amp; ADDRESS(27, '6 - TV Stands &amp; Enterta-WUO_TRK'!A27),_xlfn.TEXTAFTER('6 - TV Stands &amp; Enterta-WUO_ERR'!A27, ":"))))</f>
        <v/>
      </c>
    </row>
    <row r="28">
      <c r="A28" s="38">
        <f>IF('6 - TV Stands &amp; Enterta'!B28 = "", "", IF('6 - TV Stands &amp; Enterta-WUO_ERR'!A28 = "", "Validated", HYPERLINK("#" &amp; ADDRESS(28, '6 - TV Stands &amp; Enterta-WUO_TRK'!A28),_xlfn.TEXTAFTER('6 - TV Stands &amp; Enterta-WUO_ERR'!A28, ":"))))</f>
        <v/>
      </c>
    </row>
    <row r="29">
      <c r="A29" s="38">
        <f>IF('6 - TV Stands &amp; Enterta'!B29 = "", "", IF('6 - TV Stands &amp; Enterta-WUO_ERR'!A29 = "", "Validated", HYPERLINK("#" &amp; ADDRESS(29, '6 - TV Stands &amp; Enterta-WUO_TRK'!A29),_xlfn.TEXTAFTER('6 - TV Stands &amp; Enterta-WUO_ERR'!A29, ":"))))</f>
        <v/>
      </c>
    </row>
    <row r="30">
      <c r="A30" s="38">
        <f>IF('6 - TV Stands &amp; Enterta'!B30 = "", "", IF('6 - TV Stands &amp; Enterta-WUO_ERR'!A30 = "", "Validated", HYPERLINK("#" &amp; ADDRESS(30, '6 - TV Stands &amp; Enterta-WUO_TRK'!A30),_xlfn.TEXTAFTER('6 - TV Stands &amp; Enterta-WUO_ERR'!A30, ":"))))</f>
        <v/>
      </c>
    </row>
    <row r="31">
      <c r="A31" s="38">
        <f>IF('6 - TV Stands &amp; Enterta'!B31 = "", "", IF('6 - TV Stands &amp; Enterta-WUO_ERR'!A31 = "", "Validated", HYPERLINK("#" &amp; ADDRESS(31, '6 - TV Stands &amp; Enterta-WUO_TRK'!A31),_xlfn.TEXTAFTER('6 - TV Stands &amp; Enterta-WUO_ERR'!A31, ":"))))</f>
        <v/>
      </c>
    </row>
    <row r="32">
      <c r="A32" s="38">
        <f>IF('6 - TV Stands &amp; Enterta'!B32 = "", "", IF('6 - TV Stands &amp; Enterta-WUO_ERR'!A32 = "", "Validated", HYPERLINK("#" &amp; ADDRESS(32, '6 - TV Stands &amp; Enterta-WUO_TRK'!A32),_xlfn.TEXTAFTER('6 - TV Stands &amp; Enterta-WUO_ERR'!A32, ":"))))</f>
        <v/>
      </c>
    </row>
    <row r="33">
      <c r="A33" s="38">
        <f>IF('6 - TV Stands &amp; Enterta'!B33 = "", "", IF('6 - TV Stands &amp; Enterta-WUO_ERR'!A33 = "", "Validated", HYPERLINK("#" &amp; ADDRESS(33, '6 - TV Stands &amp; Enterta-WUO_TRK'!A33),_xlfn.TEXTAFTER('6 - TV Stands &amp; Enterta-WUO_ERR'!A33, ":"))))</f>
        <v/>
      </c>
    </row>
    <row r="34">
      <c r="A34" s="38">
        <f>IF('6 - TV Stands &amp; Enterta'!B34 = "", "", IF('6 - TV Stands &amp; Enterta-WUO_ERR'!A34 = "", "Validated", HYPERLINK("#" &amp; ADDRESS(34, '6 - TV Stands &amp; Enterta-WUO_TRK'!A34),_xlfn.TEXTAFTER('6 - TV Stands &amp; Enterta-WUO_ERR'!A34, ":"))))</f>
        <v/>
      </c>
    </row>
    <row r="35">
      <c r="A35" s="38">
        <f>IF('6 - TV Stands &amp; Enterta'!B35 = "", "", IF('6 - TV Stands &amp; Enterta-WUO_ERR'!A35 = "", "Validated", HYPERLINK("#" &amp; ADDRESS(35, '6 - TV Stands &amp; Enterta-WUO_TRK'!A35),_xlfn.TEXTAFTER('6 - TV Stands &amp; Enterta-WUO_ERR'!A35, ":"))))</f>
        <v/>
      </c>
    </row>
    <row r="36">
      <c r="A36" s="38">
        <f>IF('6 - TV Stands &amp; Enterta'!B36 = "", "", IF('6 - TV Stands &amp; Enterta-WUO_ERR'!A36 = "", "Validated", HYPERLINK("#" &amp; ADDRESS(36, '6 - TV Stands &amp; Enterta-WUO_TRK'!A36),_xlfn.TEXTAFTER('6 - TV Stands &amp; Enterta-WUO_ERR'!A36, ":"))))</f>
        <v/>
      </c>
    </row>
    <row r="37">
      <c r="A37" s="38">
        <f>IF('6 - TV Stands &amp; Enterta'!B37 = "", "", IF('6 - TV Stands &amp; Enterta-WUO_ERR'!A37 = "", "Validated", HYPERLINK("#" &amp; ADDRESS(37, '6 - TV Stands &amp; Enterta-WUO_TRK'!A37),_xlfn.TEXTAFTER('6 - TV Stands &amp; Enterta-WUO_ERR'!A37, ":"))))</f>
        <v/>
      </c>
    </row>
    <row r="38">
      <c r="A38" s="38">
        <f>IF('6 - TV Stands &amp; Enterta'!B38 = "", "", IF('6 - TV Stands &amp; Enterta-WUO_ERR'!A38 = "", "Validated", HYPERLINK("#" &amp; ADDRESS(38, '6 - TV Stands &amp; Enterta-WUO_TRK'!A38),_xlfn.TEXTAFTER('6 - TV Stands &amp; Enterta-WUO_ERR'!A38, ":"))))</f>
        <v/>
      </c>
    </row>
    <row r="39">
      <c r="A39" s="38">
        <f>IF('6 - TV Stands &amp; Enterta'!B39 = "", "", IF('6 - TV Stands &amp; Enterta-WUO_ERR'!A39 = "", "Validated", HYPERLINK("#" &amp; ADDRESS(39, '6 - TV Stands &amp; Enterta-WUO_TRK'!A39),_xlfn.TEXTAFTER('6 - TV Stands &amp; Enterta-WUO_ERR'!A39, ":"))))</f>
        <v/>
      </c>
    </row>
    <row r="40">
      <c r="A40" s="38">
        <f>IF('6 - TV Stands &amp; Enterta'!B40 = "", "", IF('6 - TV Stands &amp; Enterta-WUO_ERR'!A40 = "", "Validated", HYPERLINK("#" &amp; ADDRESS(40, '6 - TV Stands &amp; Enterta-WUO_TRK'!A40),_xlfn.TEXTAFTER('6 - TV Stands &amp; Enterta-WUO_ERR'!A40, ":"))))</f>
        <v/>
      </c>
    </row>
    <row r="41">
      <c r="A41" s="38">
        <f>IF('6 - TV Stands &amp; Enterta'!B41 = "", "", IF('6 - TV Stands &amp; Enterta-WUO_ERR'!A41 = "", "Validated", HYPERLINK("#" &amp; ADDRESS(41, '6 - TV Stands &amp; Enterta-WUO_TRK'!A41),_xlfn.TEXTAFTER('6 - TV Stands &amp; Enterta-WUO_ERR'!A41, ":"))))</f>
        <v/>
      </c>
    </row>
    <row r="42">
      <c r="A42" s="38">
        <f>IF('6 - TV Stands &amp; Enterta'!B42 = "", "", IF('6 - TV Stands &amp; Enterta-WUO_ERR'!A42 = "", "Validated", HYPERLINK("#" &amp; ADDRESS(42, '6 - TV Stands &amp; Enterta-WUO_TRK'!A42),_xlfn.TEXTAFTER('6 - TV Stands &amp; Enterta-WUO_ERR'!A42, ":"))))</f>
        <v/>
      </c>
    </row>
    <row r="43">
      <c r="A43" s="38">
        <f>IF('6 - TV Stands &amp; Enterta'!B43 = "", "", IF('6 - TV Stands &amp; Enterta-WUO_ERR'!A43 = "", "Validated", HYPERLINK("#" &amp; ADDRESS(43, '6 - TV Stands &amp; Enterta-WUO_TRK'!A43),_xlfn.TEXTAFTER('6 - TV Stands &amp; Enterta-WUO_ERR'!A43, ":"))))</f>
        <v/>
      </c>
    </row>
    <row r="44">
      <c r="A44" s="38">
        <f>IF('6 - TV Stands &amp; Enterta'!B44 = "", "", IF('6 - TV Stands &amp; Enterta-WUO_ERR'!A44 = "", "Validated", HYPERLINK("#" &amp; ADDRESS(44, '6 - TV Stands &amp; Enterta-WUO_TRK'!A44),_xlfn.TEXTAFTER('6 - TV Stands &amp; Enterta-WUO_ERR'!A44, ":"))))</f>
        <v/>
      </c>
    </row>
    <row r="45">
      <c r="A45" s="38">
        <f>IF('6 - TV Stands &amp; Enterta'!B45 = "", "", IF('6 - TV Stands &amp; Enterta-WUO_ERR'!A45 = "", "Validated", HYPERLINK("#" &amp; ADDRESS(45, '6 - TV Stands &amp; Enterta-WUO_TRK'!A45),_xlfn.TEXTAFTER('6 - TV Stands &amp; Enterta-WUO_ERR'!A45, ":"))))</f>
        <v/>
      </c>
    </row>
    <row r="46">
      <c r="A46" s="38">
        <f>IF('6 - TV Stands &amp; Enterta'!B46 = "", "", IF('6 - TV Stands &amp; Enterta-WUO_ERR'!A46 = "", "Validated", HYPERLINK("#" &amp; ADDRESS(46, '6 - TV Stands &amp; Enterta-WUO_TRK'!A46),_xlfn.TEXTAFTER('6 - TV Stands &amp; Enterta-WUO_ERR'!A46, ":"))))</f>
        <v/>
      </c>
    </row>
    <row r="47">
      <c r="A47" s="38">
        <f>IF('6 - TV Stands &amp; Enterta'!B47 = "", "", IF('6 - TV Stands &amp; Enterta-WUO_ERR'!A47 = "", "Validated", HYPERLINK("#" &amp; ADDRESS(47, '6 - TV Stands &amp; Enterta-WUO_TRK'!A47),_xlfn.TEXTAFTER('6 - TV Stands &amp; Enterta-WUO_ERR'!A47, ":"))))</f>
        <v/>
      </c>
    </row>
    <row r="48">
      <c r="A48" s="38">
        <f>IF('6 - TV Stands &amp; Enterta'!B48 = "", "", IF('6 - TV Stands &amp; Enterta-WUO_ERR'!A48 = "", "Validated", HYPERLINK("#" &amp; ADDRESS(48, '6 - TV Stands &amp; Enterta-WUO_TRK'!A48),_xlfn.TEXTAFTER('6 - TV Stands &amp; Enterta-WUO_ERR'!A48, ":"))))</f>
        <v/>
      </c>
    </row>
    <row r="49">
      <c r="A49" s="38">
        <f>IF('6 - TV Stands &amp; Enterta'!B49 = "", "", IF('6 - TV Stands &amp; Enterta-WUO_ERR'!A49 = "", "Validated", HYPERLINK("#" &amp; ADDRESS(49, '6 - TV Stands &amp; Enterta-WUO_TRK'!A49),_xlfn.TEXTAFTER('6 - TV Stands &amp; Enterta-WUO_ERR'!A49, ":"))))</f>
        <v/>
      </c>
    </row>
    <row r="50">
      <c r="A50" s="38">
        <f>IF('6 - TV Stands &amp; Enterta'!B50 = "", "", IF('6 - TV Stands &amp; Enterta-WUO_ERR'!A50 = "", "Validated", HYPERLINK("#" &amp; ADDRESS(50, '6 - TV Stands &amp; Enterta-WUO_TRK'!A50),_xlfn.TEXTAFTER('6 - TV Stands &amp; Enterta-WUO_ERR'!A50, ":"))))</f>
        <v/>
      </c>
    </row>
    <row r="51">
      <c r="A51" s="38">
        <f>IF('6 - TV Stands &amp; Enterta'!B51 = "", "", IF('6 - TV Stands &amp; Enterta-WUO_ERR'!A51 = "", "Validated", HYPERLINK("#" &amp; ADDRESS(51, '6 - TV Stands &amp; Enterta-WUO_TRK'!A51),_xlfn.TEXTAFTER('6 - TV Stands &amp; Enterta-WUO_ERR'!A51, ":"))))</f>
        <v/>
      </c>
    </row>
    <row r="52">
      <c r="A52" s="38">
        <f>IF('6 - TV Stands &amp; Enterta'!B52 = "", "", IF('6 - TV Stands &amp; Enterta-WUO_ERR'!A52 = "", "Validated", HYPERLINK("#" &amp; ADDRESS(52, '6 - TV Stands &amp; Enterta-WUO_TRK'!A52),_xlfn.TEXTAFTER('6 - TV Stands &amp; Enterta-WUO_ERR'!A52, ":"))))</f>
        <v/>
      </c>
    </row>
    <row r="53">
      <c r="A53" s="38">
        <f>IF('6 - TV Stands &amp; Enterta'!B53 = "", "", IF('6 - TV Stands &amp; Enterta-WUO_ERR'!A53 = "", "Validated", HYPERLINK("#" &amp; ADDRESS(53, '6 - TV Stands &amp; Enterta-WUO_TRK'!A53),_xlfn.TEXTAFTER('6 - TV Stands &amp; Enterta-WUO_ERR'!A53, ":"))))</f>
        <v/>
      </c>
    </row>
    <row r="54">
      <c r="A54" s="38">
        <f>IF('6 - TV Stands &amp; Enterta'!B54 = "", "", IF('6 - TV Stands &amp; Enterta-WUO_ERR'!A54 = "", "Validated", HYPERLINK("#" &amp; ADDRESS(54, '6 - TV Stands &amp; Enterta-WUO_TRK'!A54),_xlfn.TEXTAFTER('6 - TV Stands &amp; Enterta-WUO_ERR'!A54, ":"))))</f>
        <v/>
      </c>
    </row>
    <row r="55">
      <c r="A55" s="38">
        <f>IF('6 - TV Stands &amp; Enterta'!B55 = "", "", IF('6 - TV Stands &amp; Enterta-WUO_ERR'!A55 = "", "Validated", HYPERLINK("#" &amp; ADDRESS(55, '6 - TV Stands &amp; Enterta-WUO_TRK'!A55),_xlfn.TEXTAFTER('6 - TV Stands &amp; Enterta-WUO_ERR'!A55, ":"))))</f>
        <v/>
      </c>
    </row>
    <row r="56">
      <c r="A56" s="38">
        <f>IF('6 - TV Stands &amp; Enterta'!B56 = "", "", IF('6 - TV Stands &amp; Enterta-WUO_ERR'!A56 = "", "Validated", HYPERLINK("#" &amp; ADDRESS(56, '6 - TV Stands &amp; Enterta-WUO_TRK'!A56),_xlfn.TEXTAFTER('6 - TV Stands &amp; Enterta-WUO_ERR'!A56, ":"))))</f>
        <v/>
      </c>
    </row>
    <row r="57">
      <c r="A57" s="38">
        <f>IF('6 - TV Stands &amp; Enterta'!B57 = "", "", IF('6 - TV Stands &amp; Enterta-WUO_ERR'!A57 = "", "Validated", HYPERLINK("#" &amp; ADDRESS(57, '6 - TV Stands &amp; Enterta-WUO_TRK'!A57),_xlfn.TEXTAFTER('6 - TV Stands &amp; Enterta-WUO_ERR'!A57, ":"))))</f>
        <v/>
      </c>
    </row>
    <row r="58">
      <c r="A58" s="38">
        <f>IF('6 - TV Stands &amp; Enterta'!B58 = "", "", IF('6 - TV Stands &amp; Enterta-WUO_ERR'!A58 = "", "Validated", HYPERLINK("#" &amp; ADDRESS(58, '6 - TV Stands &amp; Enterta-WUO_TRK'!A58),_xlfn.TEXTAFTER('6 - TV Stands &amp; Enterta-WUO_ERR'!A58, ":"))))</f>
        <v/>
      </c>
    </row>
    <row r="59">
      <c r="A59" s="38">
        <f>IF('6 - TV Stands &amp; Enterta'!B59 = "", "", IF('6 - TV Stands &amp; Enterta-WUO_ERR'!A59 = "", "Validated", HYPERLINK("#" &amp; ADDRESS(59, '6 - TV Stands &amp; Enterta-WUO_TRK'!A59),_xlfn.TEXTAFTER('6 - TV Stands &amp; Enterta-WUO_ERR'!A59, ":"))))</f>
        <v/>
      </c>
    </row>
    <row r="60">
      <c r="A60" s="38">
        <f>IF('6 - TV Stands &amp; Enterta'!B60 = "", "", IF('6 - TV Stands &amp; Enterta-WUO_ERR'!A60 = "", "Validated", HYPERLINK("#" &amp; ADDRESS(60, '6 - TV Stands &amp; Enterta-WUO_TRK'!A60),_xlfn.TEXTAFTER('6 - TV Stands &amp; Enterta-WUO_ERR'!A60, ":"))))</f>
        <v/>
      </c>
    </row>
    <row r="61">
      <c r="A61" s="38">
        <f>IF('6 - TV Stands &amp; Enterta'!B61 = "", "", IF('6 - TV Stands &amp; Enterta-WUO_ERR'!A61 = "", "Validated", HYPERLINK("#" &amp; ADDRESS(61, '6 - TV Stands &amp; Enterta-WUO_TRK'!A61),_xlfn.TEXTAFTER('6 - TV Stands &amp; Enterta-WUO_ERR'!A61, ":"))))</f>
        <v/>
      </c>
    </row>
    <row r="62">
      <c r="A62" s="38">
        <f>IF('6 - TV Stands &amp; Enterta'!B62 = "", "", IF('6 - TV Stands &amp; Enterta-WUO_ERR'!A62 = "", "Validated", HYPERLINK("#" &amp; ADDRESS(62, '6 - TV Stands &amp; Enterta-WUO_TRK'!A62),_xlfn.TEXTAFTER('6 - TV Stands &amp; Enterta-WUO_ERR'!A62, ":"))))</f>
        <v/>
      </c>
    </row>
    <row r="63">
      <c r="A63" s="38">
        <f>IF('6 - TV Stands &amp; Enterta'!B63 = "", "", IF('6 - TV Stands &amp; Enterta-WUO_ERR'!A63 = "", "Validated", HYPERLINK("#" &amp; ADDRESS(63, '6 - TV Stands &amp; Enterta-WUO_TRK'!A63),_xlfn.TEXTAFTER('6 - TV Stands &amp; Enterta-WUO_ERR'!A63, ":"))))</f>
        <v/>
      </c>
    </row>
    <row r="64">
      <c r="A64" s="38">
        <f>IF('6 - TV Stands &amp; Enterta'!B64 = "", "", IF('6 - TV Stands &amp; Enterta-WUO_ERR'!A64 = "", "Validated", HYPERLINK("#" &amp; ADDRESS(64, '6 - TV Stands &amp; Enterta-WUO_TRK'!A64),_xlfn.TEXTAFTER('6 - TV Stands &amp; Enterta-WUO_ERR'!A64, ":"))))</f>
        <v/>
      </c>
    </row>
    <row r="65">
      <c r="A65" s="38">
        <f>IF('6 - TV Stands &amp; Enterta'!B65 = "", "", IF('6 - TV Stands &amp; Enterta-WUO_ERR'!A65 = "", "Validated", HYPERLINK("#" &amp; ADDRESS(65, '6 - TV Stands &amp; Enterta-WUO_TRK'!A65),_xlfn.TEXTAFTER('6 - TV Stands &amp; Enterta-WUO_ERR'!A65, ":"))))</f>
        <v/>
      </c>
    </row>
    <row r="66">
      <c r="A66" s="38">
        <f>IF('6 - TV Stands &amp; Enterta'!B66 = "", "", IF('6 - TV Stands &amp; Enterta-WUO_ERR'!A66 = "", "Validated", HYPERLINK("#" &amp; ADDRESS(66, '6 - TV Stands &amp; Enterta-WUO_TRK'!A66),_xlfn.TEXTAFTER('6 - TV Stands &amp; Enterta-WUO_ERR'!A66, ":"))))</f>
        <v/>
      </c>
    </row>
    <row r="67">
      <c r="A67" s="38">
        <f>IF('6 - TV Stands &amp; Enterta'!B67 = "", "", IF('6 - TV Stands &amp; Enterta-WUO_ERR'!A67 = "", "Validated", HYPERLINK("#" &amp; ADDRESS(67, '6 - TV Stands &amp; Enterta-WUO_TRK'!A67),_xlfn.TEXTAFTER('6 - TV Stands &amp; Enterta-WUO_ERR'!A67, ":"))))</f>
        <v/>
      </c>
    </row>
    <row r="68">
      <c r="A68" s="38">
        <f>IF('6 - TV Stands &amp; Enterta'!B68 = "", "", IF('6 - TV Stands &amp; Enterta-WUO_ERR'!A68 = "", "Validated", HYPERLINK("#" &amp; ADDRESS(68, '6 - TV Stands &amp; Enterta-WUO_TRK'!A68),_xlfn.TEXTAFTER('6 - TV Stands &amp; Enterta-WUO_ERR'!A68, ":"))))</f>
        <v/>
      </c>
    </row>
    <row r="69">
      <c r="A69" s="38">
        <f>IF('6 - TV Stands &amp; Enterta'!B69 = "", "", IF('6 - TV Stands &amp; Enterta-WUO_ERR'!A69 = "", "Validated", HYPERLINK("#" &amp; ADDRESS(69, '6 - TV Stands &amp; Enterta-WUO_TRK'!A69),_xlfn.TEXTAFTER('6 - TV Stands &amp; Enterta-WUO_ERR'!A69, ":"))))</f>
        <v/>
      </c>
    </row>
    <row r="70">
      <c r="A70" s="38">
        <f>IF('6 - TV Stands &amp; Enterta'!B70 = "", "", IF('6 - TV Stands &amp; Enterta-WUO_ERR'!A70 = "", "Validated", HYPERLINK("#" &amp; ADDRESS(70, '6 - TV Stands &amp; Enterta-WUO_TRK'!A70),_xlfn.TEXTAFTER('6 - TV Stands &amp; Enterta-WUO_ERR'!A70, ":"))))</f>
        <v/>
      </c>
    </row>
    <row r="71">
      <c r="A71" s="38">
        <f>IF('6 - TV Stands &amp; Enterta'!B71 = "", "", IF('6 - TV Stands &amp; Enterta-WUO_ERR'!A71 = "", "Validated", HYPERLINK("#" &amp; ADDRESS(71, '6 - TV Stands &amp; Enterta-WUO_TRK'!A71),_xlfn.TEXTAFTER('6 - TV Stands &amp; Enterta-WUO_ERR'!A71, ":"))))</f>
        <v/>
      </c>
    </row>
    <row r="72">
      <c r="A72" s="38">
        <f>IF('6 - TV Stands &amp; Enterta'!B72 = "", "", IF('6 - TV Stands &amp; Enterta-WUO_ERR'!A72 = "", "Validated", HYPERLINK("#" &amp; ADDRESS(72, '6 - TV Stands &amp; Enterta-WUO_TRK'!A72),_xlfn.TEXTAFTER('6 - TV Stands &amp; Enterta-WUO_ERR'!A72, ":"))))</f>
        <v/>
      </c>
    </row>
    <row r="73">
      <c r="A73" s="38">
        <f>IF('6 - TV Stands &amp; Enterta'!B73 = "", "", IF('6 - TV Stands &amp; Enterta-WUO_ERR'!A73 = "", "Validated", HYPERLINK("#" &amp; ADDRESS(73, '6 - TV Stands &amp; Enterta-WUO_TRK'!A73),_xlfn.TEXTAFTER('6 - TV Stands &amp; Enterta-WUO_ERR'!A73, ":"))))</f>
        <v/>
      </c>
    </row>
    <row r="74">
      <c r="A74" s="38">
        <f>IF('6 - TV Stands &amp; Enterta'!B74 = "", "", IF('6 - TV Stands &amp; Enterta-WUO_ERR'!A74 = "", "Validated", HYPERLINK("#" &amp; ADDRESS(74, '6 - TV Stands &amp; Enterta-WUO_TRK'!A74),_xlfn.TEXTAFTER('6 - TV Stands &amp; Enterta-WUO_ERR'!A74, ":"))))</f>
        <v/>
      </c>
    </row>
    <row r="75">
      <c r="A75" s="38">
        <f>IF('6 - TV Stands &amp; Enterta'!B75 = "", "", IF('6 - TV Stands &amp; Enterta-WUO_ERR'!A75 = "", "Validated", HYPERLINK("#" &amp; ADDRESS(75, '6 - TV Stands &amp; Enterta-WUO_TRK'!A75),_xlfn.TEXTAFTER('6 - TV Stands &amp; Enterta-WUO_ERR'!A75, ":"))))</f>
        <v/>
      </c>
    </row>
    <row r="76">
      <c r="A76" s="38">
        <f>IF('6 - TV Stands &amp; Enterta'!B76 = "", "", IF('6 - TV Stands &amp; Enterta-WUO_ERR'!A76 = "", "Validated", HYPERLINK("#" &amp; ADDRESS(76, '6 - TV Stands &amp; Enterta-WUO_TRK'!A76),_xlfn.TEXTAFTER('6 - TV Stands &amp; Enterta-WUO_ERR'!A76, ":"))))</f>
        <v/>
      </c>
    </row>
    <row r="77">
      <c r="A77" s="38">
        <f>IF('6 - TV Stands &amp; Enterta'!B77 = "", "", IF('6 - TV Stands &amp; Enterta-WUO_ERR'!A77 = "", "Validated", HYPERLINK("#" &amp; ADDRESS(77, '6 - TV Stands &amp; Enterta-WUO_TRK'!A77),_xlfn.TEXTAFTER('6 - TV Stands &amp; Enterta-WUO_ERR'!A77, ":"))))</f>
        <v/>
      </c>
    </row>
    <row r="78">
      <c r="A78" s="38">
        <f>IF('6 - TV Stands &amp; Enterta'!B78 = "", "", IF('6 - TV Stands &amp; Enterta-WUO_ERR'!A78 = "", "Validated", HYPERLINK("#" &amp; ADDRESS(78, '6 - TV Stands &amp; Enterta-WUO_TRK'!A78),_xlfn.TEXTAFTER('6 - TV Stands &amp; Enterta-WUO_ERR'!A78, ":"))))</f>
        <v/>
      </c>
    </row>
    <row r="79">
      <c r="A79" s="38">
        <f>IF('6 - TV Stands &amp; Enterta'!B79 = "", "", IF('6 - TV Stands &amp; Enterta-WUO_ERR'!A79 = "", "Validated", HYPERLINK("#" &amp; ADDRESS(79, '6 - TV Stands &amp; Enterta-WUO_TRK'!A79),_xlfn.TEXTAFTER('6 - TV Stands &amp; Enterta-WUO_ERR'!A79, ":"))))</f>
        <v/>
      </c>
    </row>
    <row r="80">
      <c r="A80" s="38">
        <f>IF('6 - TV Stands &amp; Enterta'!B80 = "", "", IF('6 - TV Stands &amp; Enterta-WUO_ERR'!A80 = "", "Validated", HYPERLINK("#" &amp; ADDRESS(80, '6 - TV Stands &amp; Enterta-WUO_TRK'!A80),_xlfn.TEXTAFTER('6 - TV Stands &amp; Enterta-WUO_ERR'!A80, ":"))))</f>
        <v/>
      </c>
    </row>
    <row r="81">
      <c r="A81" s="38">
        <f>IF('6 - TV Stands &amp; Enterta'!B81 = "", "", IF('6 - TV Stands &amp; Enterta-WUO_ERR'!A81 = "", "Validated", HYPERLINK("#" &amp; ADDRESS(81, '6 - TV Stands &amp; Enterta-WUO_TRK'!A81),_xlfn.TEXTAFTER('6 - TV Stands &amp; Enterta-WUO_ERR'!A81, ":"))))</f>
        <v/>
      </c>
    </row>
    <row r="82">
      <c r="A82" s="38">
        <f>IF('6 - TV Stands &amp; Enterta'!B82 = "", "", IF('6 - TV Stands &amp; Enterta-WUO_ERR'!A82 = "", "Validated", HYPERLINK("#" &amp; ADDRESS(82, '6 - TV Stands &amp; Enterta-WUO_TRK'!A82),_xlfn.TEXTAFTER('6 - TV Stands &amp; Enterta-WUO_ERR'!A82, ":"))))</f>
        <v/>
      </c>
    </row>
    <row r="83">
      <c r="A83" s="38">
        <f>IF('6 - TV Stands &amp; Enterta'!B83 = "", "", IF('6 - TV Stands &amp; Enterta-WUO_ERR'!A83 = "", "Validated", HYPERLINK("#" &amp; ADDRESS(83, '6 - TV Stands &amp; Enterta-WUO_TRK'!A83),_xlfn.TEXTAFTER('6 - TV Stands &amp; Enterta-WUO_ERR'!A83, ":"))))</f>
        <v/>
      </c>
    </row>
    <row r="84">
      <c r="A84" s="38">
        <f>IF('6 - TV Stands &amp; Enterta'!B84 = "", "", IF('6 - TV Stands &amp; Enterta-WUO_ERR'!A84 = "", "Validated", HYPERLINK("#" &amp; ADDRESS(84, '6 - TV Stands &amp; Enterta-WUO_TRK'!A84),_xlfn.TEXTAFTER('6 - TV Stands &amp; Enterta-WUO_ERR'!A84, ":"))))</f>
        <v/>
      </c>
    </row>
    <row r="85">
      <c r="A85" s="38">
        <f>IF('6 - TV Stands &amp; Enterta'!B85 = "", "", IF('6 - TV Stands &amp; Enterta-WUO_ERR'!A85 = "", "Validated", HYPERLINK("#" &amp; ADDRESS(85, '6 - TV Stands &amp; Enterta-WUO_TRK'!A85),_xlfn.TEXTAFTER('6 - TV Stands &amp; Enterta-WUO_ERR'!A85, ":"))))</f>
        <v/>
      </c>
    </row>
    <row r="86">
      <c r="A86" s="38">
        <f>IF('6 - TV Stands &amp; Enterta'!B86 = "", "", IF('6 - TV Stands &amp; Enterta-WUO_ERR'!A86 = "", "Validated", HYPERLINK("#" &amp; ADDRESS(86, '6 - TV Stands &amp; Enterta-WUO_TRK'!A86),_xlfn.TEXTAFTER('6 - TV Stands &amp; Enterta-WUO_ERR'!A86, ":"))))</f>
        <v/>
      </c>
    </row>
    <row r="87">
      <c r="A87" s="38">
        <f>IF('6 - TV Stands &amp; Enterta'!B87 = "", "", IF('6 - TV Stands &amp; Enterta-WUO_ERR'!A87 = "", "Validated", HYPERLINK("#" &amp; ADDRESS(87, '6 - TV Stands &amp; Enterta-WUO_TRK'!A87),_xlfn.TEXTAFTER('6 - TV Stands &amp; Enterta-WUO_ERR'!A87, ":"))))</f>
        <v/>
      </c>
    </row>
    <row r="88">
      <c r="A88" s="38">
        <f>IF('6 - TV Stands &amp; Enterta'!B88 = "", "", IF('6 - TV Stands &amp; Enterta-WUO_ERR'!A88 = "", "Validated", HYPERLINK("#" &amp; ADDRESS(88, '6 - TV Stands &amp; Enterta-WUO_TRK'!A88),_xlfn.TEXTAFTER('6 - TV Stands &amp; Enterta-WUO_ERR'!A88, ":"))))</f>
        <v/>
      </c>
    </row>
    <row r="89">
      <c r="A89" s="38">
        <f>IF('6 - TV Stands &amp; Enterta'!B89 = "", "", IF('6 - TV Stands &amp; Enterta-WUO_ERR'!A89 = "", "Validated", HYPERLINK("#" &amp; ADDRESS(89, '6 - TV Stands &amp; Enterta-WUO_TRK'!A89),_xlfn.TEXTAFTER('6 - TV Stands &amp; Enterta-WUO_ERR'!A89, ":"))))</f>
        <v/>
      </c>
    </row>
    <row r="90">
      <c r="A90" s="38">
        <f>IF('6 - TV Stands &amp; Enterta'!B90 = "", "", IF('6 - TV Stands &amp; Enterta-WUO_ERR'!A90 = "", "Validated", HYPERLINK("#" &amp; ADDRESS(90, '6 - TV Stands &amp; Enterta-WUO_TRK'!A90),_xlfn.TEXTAFTER('6 - TV Stands &amp; Enterta-WUO_ERR'!A90, ":"))))</f>
        <v/>
      </c>
    </row>
    <row r="91">
      <c r="A91" s="38">
        <f>IF('6 - TV Stands &amp; Enterta'!B91 = "", "", IF('6 - TV Stands &amp; Enterta-WUO_ERR'!A91 = "", "Validated", HYPERLINK("#" &amp; ADDRESS(91, '6 - TV Stands &amp; Enterta-WUO_TRK'!A91),_xlfn.TEXTAFTER('6 - TV Stands &amp; Enterta-WUO_ERR'!A91, ":"))))</f>
        <v/>
      </c>
    </row>
    <row r="92">
      <c r="A92" s="38">
        <f>IF('6 - TV Stands &amp; Enterta'!B92 = "", "", IF('6 - TV Stands &amp; Enterta-WUO_ERR'!A92 = "", "Validated", HYPERLINK("#" &amp; ADDRESS(92, '6 - TV Stands &amp; Enterta-WUO_TRK'!A92),_xlfn.TEXTAFTER('6 - TV Stands &amp; Enterta-WUO_ERR'!A92, ":"))))</f>
        <v/>
      </c>
    </row>
    <row r="93">
      <c r="A93" s="38">
        <f>IF('6 - TV Stands &amp; Enterta'!B93 = "", "", IF('6 - TV Stands &amp; Enterta-WUO_ERR'!A93 = "", "Validated", HYPERLINK("#" &amp; ADDRESS(93, '6 - TV Stands &amp; Enterta-WUO_TRK'!A93),_xlfn.TEXTAFTER('6 - TV Stands &amp; Enterta-WUO_ERR'!A93, ":"))))</f>
        <v/>
      </c>
    </row>
    <row r="94">
      <c r="A94" s="38">
        <f>IF('6 - TV Stands &amp; Enterta'!B94 = "", "", IF('6 - TV Stands &amp; Enterta-WUO_ERR'!A94 = "", "Validated", HYPERLINK("#" &amp; ADDRESS(94, '6 - TV Stands &amp; Enterta-WUO_TRK'!A94),_xlfn.TEXTAFTER('6 - TV Stands &amp; Enterta-WUO_ERR'!A94, ":"))))</f>
        <v/>
      </c>
    </row>
    <row r="95">
      <c r="A95" s="38">
        <f>IF('6 - TV Stands &amp; Enterta'!B95 = "", "", IF('6 - TV Stands &amp; Enterta-WUO_ERR'!A95 = "", "Validated", HYPERLINK("#" &amp; ADDRESS(95, '6 - TV Stands &amp; Enterta-WUO_TRK'!A95),_xlfn.TEXTAFTER('6 - TV Stands &amp; Enterta-WUO_ERR'!A95, ":"))))</f>
        <v/>
      </c>
    </row>
    <row r="96">
      <c r="A96" s="38">
        <f>IF('6 - TV Stands &amp; Enterta'!B96 = "", "", IF('6 - TV Stands &amp; Enterta-WUO_ERR'!A96 = "", "Validated", HYPERLINK("#" &amp; ADDRESS(96, '6 - TV Stands &amp; Enterta-WUO_TRK'!A96),_xlfn.TEXTAFTER('6 - TV Stands &amp; Enterta-WUO_ERR'!A96, ":"))))</f>
        <v/>
      </c>
    </row>
    <row r="97">
      <c r="A97" s="38">
        <f>IF('6 - TV Stands &amp; Enterta'!B97 = "", "", IF('6 - TV Stands &amp; Enterta-WUO_ERR'!A97 = "", "Validated", HYPERLINK("#" &amp; ADDRESS(97, '6 - TV Stands &amp; Enterta-WUO_TRK'!A97),_xlfn.TEXTAFTER('6 - TV Stands &amp; Enterta-WUO_ERR'!A97, ":"))))</f>
        <v/>
      </c>
    </row>
    <row r="98">
      <c r="A98" s="38">
        <f>IF('6 - TV Stands &amp; Enterta'!B98 = "", "", IF('6 - TV Stands &amp; Enterta-WUO_ERR'!A98 = "", "Validated", HYPERLINK("#" &amp; ADDRESS(98, '6 - TV Stands &amp; Enterta-WUO_TRK'!A98),_xlfn.TEXTAFTER('6 - TV Stands &amp; Enterta-WUO_ERR'!A98, ":"))))</f>
        <v/>
      </c>
    </row>
    <row r="99">
      <c r="A99" s="38">
        <f>IF('6 - TV Stands &amp; Enterta'!B99 = "", "", IF('6 - TV Stands &amp; Enterta-WUO_ERR'!A99 = "", "Validated", HYPERLINK("#" &amp; ADDRESS(99, '6 - TV Stands &amp; Enterta-WUO_TRK'!A99),_xlfn.TEXTAFTER('6 - TV Stands &amp; Enterta-WUO_ERR'!A99, ":"))))</f>
        <v/>
      </c>
    </row>
    <row r="100">
      <c r="A100" s="38">
        <f>IF('6 - TV Stands &amp; Enterta'!B100 = "", "", IF('6 - TV Stands &amp; Enterta-WUO_ERR'!A100 = "", "Validated", HYPERLINK("#" &amp; ADDRESS(100, '6 - TV Stands &amp; Enterta-WUO_TRK'!A100),_xlfn.TEXTAFTER('6 - TV Stands &amp; Enterta-WUO_ERR'!A100, ":"))))</f>
        <v/>
      </c>
    </row>
    <row r="101">
      <c r="A101" s="38">
        <f>IF('6 - TV Stands &amp; Enterta'!B101 = "", "", IF('6 - TV Stands &amp; Enterta-WUO_ERR'!A101 = "", "Validated", HYPERLINK("#" &amp; ADDRESS(101, '6 - TV Stands &amp; Enterta-WUO_TRK'!A101),_xlfn.TEXTAFTER('6 - TV Stands &amp; Enterta-WUO_ERR'!A101, ":"))))</f>
        <v/>
      </c>
    </row>
    <row r="102">
      <c r="A102" s="38">
        <f>IF('6 - TV Stands &amp; Enterta'!B102 = "", "", IF('6 - TV Stands &amp; Enterta-WUO_ERR'!A102 = "", "Validated", HYPERLINK("#" &amp; ADDRESS(102, '6 - TV Stands &amp; Enterta-WUO_TRK'!A102),_xlfn.TEXTAFTER('6 - TV Stands &amp; Enterta-WUO_ERR'!A102, ":"))))</f>
        <v/>
      </c>
    </row>
    <row r="103">
      <c r="A103" s="38">
        <f>IF('6 - TV Stands &amp; Enterta'!B103 = "", "", IF('6 - TV Stands &amp; Enterta-WUO_ERR'!A103 = "", "Validated", HYPERLINK("#" &amp; ADDRESS(103, '6 - TV Stands &amp; Enterta-WUO_TRK'!A103),_xlfn.TEXTAFTER('6 - TV Stands &amp; Enterta-WUO_ERR'!A103, ":"))))</f>
        <v/>
      </c>
    </row>
    <row r="104">
      <c r="A104" s="38">
        <f>IF('6 - TV Stands &amp; Enterta'!B104 = "", "", IF('6 - TV Stands &amp; Enterta-WUO_ERR'!A104 = "", "Validated", HYPERLINK("#" &amp; ADDRESS(104, '6 - TV Stands &amp; Enterta-WUO_TRK'!A104),_xlfn.TEXTAFTER('6 - TV Stands &amp; Enterta-WUO_ERR'!A104, ":"))))</f>
        <v/>
      </c>
    </row>
    <row r="105">
      <c r="A105" s="38">
        <f>IF('6 - TV Stands &amp; Enterta'!B105 = "", "", IF('6 - TV Stands &amp; Enterta-WUO_ERR'!A105 = "", "Validated", HYPERLINK("#" &amp; ADDRESS(105, '6 - TV Stands &amp; Enterta-WUO_TRK'!A105),_xlfn.TEXTAFTER('6 - TV Stands &amp; Enterta-WUO_ERR'!A105, ":"))))</f>
        <v/>
      </c>
    </row>
    <row r="106">
      <c r="A106" s="38">
        <f>IF('6 - TV Stands &amp; Enterta'!B106 = "", "", IF('6 - TV Stands &amp; Enterta-WUO_ERR'!A106 = "", "Validated", HYPERLINK("#" &amp; ADDRESS(106, '6 - TV Stands &amp; Enterta-WUO_TRK'!A106),_xlfn.TEXTAFTER('6 - TV Stands &amp; Enterta-WUO_ERR'!A106, ":"))))</f>
        <v/>
      </c>
    </row>
    <row r="107">
      <c r="A107" s="38">
        <f>IF('6 - TV Stands &amp; Enterta'!B107 = "", "", IF('6 - TV Stands &amp; Enterta-WUO_ERR'!A107 = "", "Validated", HYPERLINK("#" &amp; ADDRESS(107, '6 - TV Stands &amp; Enterta-WUO_TRK'!A107),_xlfn.TEXTAFTER('6 - TV Stands &amp; Enterta-WUO_ERR'!A107, ":"))))</f>
        <v/>
      </c>
    </row>
    <row r="108">
      <c r="A108" s="38">
        <f>IF('6 - TV Stands &amp; Enterta'!B108 = "", "", IF('6 - TV Stands &amp; Enterta-WUO_ERR'!A108 = "", "Validated", HYPERLINK("#" &amp; ADDRESS(108, '6 - TV Stands &amp; Enterta-WUO_TRK'!A108),_xlfn.TEXTAFTER('6 - TV Stands &amp; Enterta-WUO_ERR'!A108, ":"))))</f>
        <v/>
      </c>
    </row>
    <row r="109">
      <c r="A109" s="38">
        <f>IF('6 - TV Stands &amp; Enterta'!B109 = "", "", IF('6 - TV Stands &amp; Enterta-WUO_ERR'!A109 = "", "Validated", HYPERLINK("#" &amp; ADDRESS(109, '6 - TV Stands &amp; Enterta-WUO_TRK'!A109),_xlfn.TEXTAFTER('6 - TV Stands &amp; Enterta-WUO_ERR'!A109, ":"))))</f>
        <v/>
      </c>
    </row>
    <row r="110">
      <c r="A110" s="38">
        <f>IF('6 - TV Stands &amp; Enterta'!B110 = "", "", IF('6 - TV Stands &amp; Enterta-WUO_ERR'!A110 = "", "Validated", HYPERLINK("#" &amp; ADDRESS(110, '6 - TV Stands &amp; Enterta-WUO_TRK'!A110),_xlfn.TEXTAFTER('6 - TV Stands &amp; Enterta-WUO_ERR'!A110, ":"))))</f>
        <v/>
      </c>
    </row>
    <row r="111">
      <c r="A111" s="38">
        <f>IF('6 - TV Stands &amp; Enterta'!B111 = "", "", IF('6 - TV Stands &amp; Enterta-WUO_ERR'!A111 = "", "Validated", HYPERLINK("#" &amp; ADDRESS(111, '6 - TV Stands &amp; Enterta-WUO_TRK'!A111),_xlfn.TEXTAFTER('6 - TV Stands &amp; Enterta-WUO_ERR'!A111, ":"))))</f>
        <v/>
      </c>
    </row>
    <row r="112">
      <c r="A112" s="38">
        <f>IF('6 - TV Stands &amp; Enterta'!B112 = "", "", IF('6 - TV Stands &amp; Enterta-WUO_ERR'!A112 = "", "Validated", HYPERLINK("#" &amp; ADDRESS(112, '6 - TV Stands &amp; Enterta-WUO_TRK'!A112),_xlfn.TEXTAFTER('6 - TV Stands &amp; Enterta-WUO_ERR'!A112, ":"))))</f>
        <v/>
      </c>
    </row>
    <row r="113">
      <c r="A113" s="38">
        <f>IF('6 - TV Stands &amp; Enterta'!B113 = "", "", IF('6 - TV Stands &amp; Enterta-WUO_ERR'!A113 = "", "Validated", HYPERLINK("#" &amp; ADDRESS(113, '6 - TV Stands &amp; Enterta-WUO_TRK'!A113),_xlfn.TEXTAFTER('6 - TV Stands &amp; Enterta-WUO_ERR'!A113, ":"))))</f>
        <v/>
      </c>
    </row>
    <row r="114">
      <c r="A114" s="38">
        <f>IF('6 - TV Stands &amp; Enterta'!B114 = "", "", IF('6 - TV Stands &amp; Enterta-WUO_ERR'!A114 = "", "Validated", HYPERLINK("#" &amp; ADDRESS(114, '6 - TV Stands &amp; Enterta-WUO_TRK'!A114),_xlfn.TEXTAFTER('6 - TV Stands &amp; Enterta-WUO_ERR'!A114, ":"))))</f>
        <v/>
      </c>
    </row>
    <row r="115">
      <c r="A115" s="38">
        <f>IF('6 - TV Stands &amp; Enterta'!B115 = "", "", IF('6 - TV Stands &amp; Enterta-WUO_ERR'!A115 = "", "Validated", HYPERLINK("#" &amp; ADDRESS(115, '6 - TV Stands &amp; Enterta-WUO_TRK'!A115),_xlfn.TEXTAFTER('6 - TV Stands &amp; Enterta-WUO_ERR'!A115, ":"))))</f>
        <v/>
      </c>
    </row>
    <row r="116">
      <c r="A116" s="38">
        <f>IF('6 - TV Stands &amp; Enterta'!B116 = "", "", IF('6 - TV Stands &amp; Enterta-WUO_ERR'!A116 = "", "Validated", HYPERLINK("#" &amp; ADDRESS(116, '6 - TV Stands &amp; Enterta-WUO_TRK'!A116),_xlfn.TEXTAFTER('6 - TV Stands &amp; Enterta-WUO_ERR'!A116, ":"))))</f>
        <v/>
      </c>
    </row>
    <row r="117">
      <c r="A117" s="38">
        <f>IF('6 - TV Stands &amp; Enterta'!B117 = "", "", IF('6 - TV Stands &amp; Enterta-WUO_ERR'!A117 = "", "Validated", HYPERLINK("#" &amp; ADDRESS(117, '6 - TV Stands &amp; Enterta-WUO_TRK'!A117),_xlfn.TEXTAFTER('6 - TV Stands &amp; Enterta-WUO_ERR'!A117, ":"))))</f>
        <v/>
      </c>
    </row>
    <row r="118">
      <c r="A118" s="38">
        <f>IF('6 - TV Stands &amp; Enterta'!B118 = "", "", IF('6 - TV Stands &amp; Enterta-WUO_ERR'!A118 = "", "Validated", HYPERLINK("#" &amp; ADDRESS(118, '6 - TV Stands &amp; Enterta-WUO_TRK'!A118),_xlfn.TEXTAFTER('6 - TV Stands &amp; Enterta-WUO_ERR'!A118, ":"))))</f>
        <v/>
      </c>
    </row>
    <row r="119">
      <c r="A119" s="38">
        <f>IF('6 - TV Stands &amp; Enterta'!B119 = "", "", IF('6 - TV Stands &amp; Enterta-WUO_ERR'!A119 = "", "Validated", HYPERLINK("#" &amp; ADDRESS(119, '6 - TV Stands &amp; Enterta-WUO_TRK'!A119),_xlfn.TEXTAFTER('6 - TV Stands &amp; Enterta-WUO_ERR'!A119, ":"))))</f>
        <v/>
      </c>
    </row>
    <row r="120">
      <c r="A120" s="38">
        <f>IF('6 - TV Stands &amp; Enterta'!B120 = "", "", IF('6 - TV Stands &amp; Enterta-WUO_ERR'!A120 = "", "Validated", HYPERLINK("#" &amp; ADDRESS(120, '6 - TV Stands &amp; Enterta-WUO_TRK'!A120),_xlfn.TEXTAFTER('6 - TV Stands &amp; Enterta-WUO_ERR'!A120, ":"))))</f>
        <v/>
      </c>
    </row>
    <row r="121">
      <c r="A121" s="38">
        <f>IF('6 - TV Stands &amp; Enterta'!B121 = "", "", IF('6 - TV Stands &amp; Enterta-WUO_ERR'!A121 = "", "Validated", HYPERLINK("#" &amp; ADDRESS(121, '6 - TV Stands &amp; Enterta-WUO_TRK'!A121),_xlfn.TEXTAFTER('6 - TV Stands &amp; Enterta-WUO_ERR'!A121, ":"))))</f>
        <v/>
      </c>
    </row>
    <row r="122">
      <c r="A122" s="38">
        <f>IF('6 - TV Stands &amp; Enterta'!B122 = "", "", IF('6 - TV Stands &amp; Enterta-WUO_ERR'!A122 = "", "Validated", HYPERLINK("#" &amp; ADDRESS(122, '6 - TV Stands &amp; Enterta-WUO_TRK'!A122),_xlfn.TEXTAFTER('6 - TV Stands &amp; Enterta-WUO_ERR'!A122, ":"))))</f>
        <v/>
      </c>
    </row>
    <row r="123">
      <c r="A123" s="38">
        <f>IF('6 - TV Stands &amp; Enterta'!B123 = "", "", IF('6 - TV Stands &amp; Enterta-WUO_ERR'!A123 = "", "Validated", HYPERLINK("#" &amp; ADDRESS(123, '6 - TV Stands &amp; Enterta-WUO_TRK'!A123),_xlfn.TEXTAFTER('6 - TV Stands &amp; Enterta-WUO_ERR'!A123, ":"))))</f>
        <v/>
      </c>
    </row>
    <row r="124">
      <c r="A124" s="38">
        <f>IF('6 - TV Stands &amp; Enterta'!B124 = "", "", IF('6 - TV Stands &amp; Enterta-WUO_ERR'!A124 = "", "Validated", HYPERLINK("#" &amp; ADDRESS(124, '6 - TV Stands &amp; Enterta-WUO_TRK'!A124),_xlfn.TEXTAFTER('6 - TV Stands &amp; Enterta-WUO_ERR'!A124, ":"))))</f>
        <v/>
      </c>
    </row>
    <row r="125">
      <c r="A125" s="38">
        <f>IF('6 - TV Stands &amp; Enterta'!B125 = "", "", IF('6 - TV Stands &amp; Enterta-WUO_ERR'!A125 = "", "Validated", HYPERLINK("#" &amp; ADDRESS(125, '6 - TV Stands &amp; Enterta-WUO_TRK'!A125),_xlfn.TEXTAFTER('6 - TV Stands &amp; Enterta-WUO_ERR'!A125, ":"))))</f>
        <v/>
      </c>
    </row>
    <row r="126">
      <c r="A126" s="38">
        <f>IF('6 - TV Stands &amp; Enterta'!B126 = "", "", IF('6 - TV Stands &amp; Enterta-WUO_ERR'!A126 = "", "Validated", HYPERLINK("#" &amp; ADDRESS(126, '6 - TV Stands &amp; Enterta-WUO_TRK'!A126),_xlfn.TEXTAFTER('6 - TV Stands &amp; Enterta-WUO_ERR'!A126, ":"))))</f>
        <v/>
      </c>
    </row>
    <row r="127">
      <c r="A127" s="38">
        <f>IF('6 - TV Stands &amp; Enterta'!B127 = "", "", IF('6 - TV Stands &amp; Enterta-WUO_ERR'!A127 = "", "Validated", HYPERLINK("#" &amp; ADDRESS(127, '6 - TV Stands &amp; Enterta-WUO_TRK'!A127),_xlfn.TEXTAFTER('6 - TV Stands &amp; Enterta-WUO_ERR'!A127, ":"))))</f>
        <v/>
      </c>
    </row>
    <row r="128">
      <c r="A128" s="38">
        <f>IF('6 - TV Stands &amp; Enterta'!B128 = "", "", IF('6 - TV Stands &amp; Enterta-WUO_ERR'!A128 = "", "Validated", HYPERLINK("#" &amp; ADDRESS(128, '6 - TV Stands &amp; Enterta-WUO_TRK'!A128),_xlfn.TEXTAFTER('6 - TV Stands &amp; Enterta-WUO_ERR'!A128, ":"))))</f>
        <v/>
      </c>
    </row>
    <row r="129">
      <c r="A129" s="38">
        <f>IF('6 - TV Stands &amp; Enterta'!B129 = "", "", IF('6 - TV Stands &amp; Enterta-WUO_ERR'!A129 = "", "Validated", HYPERLINK("#" &amp; ADDRESS(129, '6 - TV Stands &amp; Enterta-WUO_TRK'!A129),_xlfn.TEXTAFTER('6 - TV Stands &amp; Enterta-WUO_ERR'!A129, ":"))))</f>
        <v/>
      </c>
    </row>
    <row r="130">
      <c r="A130" s="38">
        <f>IF('6 - TV Stands &amp; Enterta'!B130 = "", "", IF('6 - TV Stands &amp; Enterta-WUO_ERR'!A130 = "", "Validated", HYPERLINK("#" &amp; ADDRESS(130, '6 - TV Stands &amp; Enterta-WUO_TRK'!A130),_xlfn.TEXTAFTER('6 - TV Stands &amp; Enterta-WUO_ERR'!A130, ":"))))</f>
        <v/>
      </c>
    </row>
    <row r="131">
      <c r="A131" s="38">
        <f>IF('6 - TV Stands &amp; Enterta'!B131 = "", "", IF('6 - TV Stands &amp; Enterta-WUO_ERR'!A131 = "", "Validated", HYPERLINK("#" &amp; ADDRESS(131, '6 - TV Stands &amp; Enterta-WUO_TRK'!A131),_xlfn.TEXTAFTER('6 - TV Stands &amp; Enterta-WUO_ERR'!A131, ":"))))</f>
        <v/>
      </c>
    </row>
    <row r="132">
      <c r="A132" s="38">
        <f>IF('6 - TV Stands &amp; Enterta'!B132 = "", "", IF('6 - TV Stands &amp; Enterta-WUO_ERR'!A132 = "", "Validated", HYPERLINK("#" &amp; ADDRESS(132, '6 - TV Stands &amp; Enterta-WUO_TRK'!A132),_xlfn.TEXTAFTER('6 - TV Stands &amp; Enterta-WUO_ERR'!A132, ":"))))</f>
        <v/>
      </c>
    </row>
    <row r="133">
      <c r="A133" s="38">
        <f>IF('6 - TV Stands &amp; Enterta'!B133 = "", "", IF('6 - TV Stands &amp; Enterta-WUO_ERR'!A133 = "", "Validated", HYPERLINK("#" &amp; ADDRESS(133, '6 - TV Stands &amp; Enterta-WUO_TRK'!A133),_xlfn.TEXTAFTER('6 - TV Stands &amp; Enterta-WUO_ERR'!A133, ":"))))</f>
        <v/>
      </c>
    </row>
    <row r="134">
      <c r="A134" s="38">
        <f>IF('6 - TV Stands &amp; Enterta'!B134 = "", "", IF('6 - TV Stands &amp; Enterta-WUO_ERR'!A134 = "", "Validated", HYPERLINK("#" &amp; ADDRESS(134, '6 - TV Stands &amp; Enterta-WUO_TRK'!A134),_xlfn.TEXTAFTER('6 - TV Stands &amp; Enterta-WUO_ERR'!A134, ":"))))</f>
        <v/>
      </c>
    </row>
    <row r="135">
      <c r="A135" s="38">
        <f>IF('6 - TV Stands &amp; Enterta'!B135 = "", "", IF('6 - TV Stands &amp; Enterta-WUO_ERR'!A135 = "", "Validated", HYPERLINK("#" &amp; ADDRESS(135, '6 - TV Stands &amp; Enterta-WUO_TRK'!A135),_xlfn.TEXTAFTER('6 - TV Stands &amp; Enterta-WUO_ERR'!A135, ":"))))</f>
        <v/>
      </c>
    </row>
    <row r="136">
      <c r="A136" s="38">
        <f>IF('6 - TV Stands &amp; Enterta'!B136 = "", "", IF('6 - TV Stands &amp; Enterta-WUO_ERR'!A136 = "", "Validated", HYPERLINK("#" &amp; ADDRESS(136, '6 - TV Stands &amp; Enterta-WUO_TRK'!A136),_xlfn.TEXTAFTER('6 - TV Stands &amp; Enterta-WUO_ERR'!A136, ":"))))</f>
        <v/>
      </c>
    </row>
    <row r="137">
      <c r="A137" s="38">
        <f>IF('6 - TV Stands &amp; Enterta'!B137 = "", "", IF('6 - TV Stands &amp; Enterta-WUO_ERR'!A137 = "", "Validated", HYPERLINK("#" &amp; ADDRESS(137, '6 - TV Stands &amp; Enterta-WUO_TRK'!A137),_xlfn.TEXTAFTER('6 - TV Stands &amp; Enterta-WUO_ERR'!A137, ":"))))</f>
        <v/>
      </c>
    </row>
    <row r="138">
      <c r="A138" s="38">
        <f>IF('6 - TV Stands &amp; Enterta'!B138 = "", "", IF('6 - TV Stands &amp; Enterta-WUO_ERR'!A138 = "", "Validated", HYPERLINK("#" &amp; ADDRESS(138, '6 - TV Stands &amp; Enterta-WUO_TRK'!A138),_xlfn.TEXTAFTER('6 - TV Stands &amp; Enterta-WUO_ERR'!A138, ":"))))</f>
        <v/>
      </c>
    </row>
    <row r="139">
      <c r="A139" s="38">
        <f>IF('6 - TV Stands &amp; Enterta'!B139 = "", "", IF('6 - TV Stands &amp; Enterta-WUO_ERR'!A139 = "", "Validated", HYPERLINK("#" &amp; ADDRESS(139, '6 - TV Stands &amp; Enterta-WUO_TRK'!A139),_xlfn.TEXTAFTER('6 - TV Stands &amp; Enterta-WUO_ERR'!A139, ":"))))</f>
        <v/>
      </c>
    </row>
    <row r="140">
      <c r="A140" s="38">
        <f>IF('6 - TV Stands &amp; Enterta'!B140 = "", "", IF('6 - TV Stands &amp; Enterta-WUO_ERR'!A140 = "", "Validated", HYPERLINK("#" &amp; ADDRESS(140, '6 - TV Stands &amp; Enterta-WUO_TRK'!A140),_xlfn.TEXTAFTER('6 - TV Stands &amp; Enterta-WUO_ERR'!A140, ":"))))</f>
        <v/>
      </c>
    </row>
    <row r="141">
      <c r="A141" s="38">
        <f>IF('6 - TV Stands &amp; Enterta'!B141 = "", "", IF('6 - TV Stands &amp; Enterta-WUO_ERR'!A141 = "", "Validated", HYPERLINK("#" &amp; ADDRESS(141, '6 - TV Stands &amp; Enterta-WUO_TRK'!A141),_xlfn.TEXTAFTER('6 - TV Stands &amp; Enterta-WUO_ERR'!A141, ":"))))</f>
        <v/>
      </c>
    </row>
    <row r="142">
      <c r="A142" s="38">
        <f>IF('6 - TV Stands &amp; Enterta'!B142 = "", "", IF('6 - TV Stands &amp; Enterta-WUO_ERR'!A142 = "", "Validated", HYPERLINK("#" &amp; ADDRESS(142, '6 - TV Stands &amp; Enterta-WUO_TRK'!A142),_xlfn.TEXTAFTER('6 - TV Stands &amp; Enterta-WUO_ERR'!A142, ":"))))</f>
        <v/>
      </c>
    </row>
    <row r="143">
      <c r="A143" s="38">
        <f>IF('6 - TV Stands &amp; Enterta'!B143 = "", "", IF('6 - TV Stands &amp; Enterta-WUO_ERR'!A143 = "", "Validated", HYPERLINK("#" &amp; ADDRESS(143, '6 - TV Stands &amp; Enterta-WUO_TRK'!A143),_xlfn.TEXTAFTER('6 - TV Stands &amp; Enterta-WUO_ERR'!A143, ":"))))</f>
        <v/>
      </c>
    </row>
    <row r="144">
      <c r="A144" s="38">
        <f>IF('6 - TV Stands &amp; Enterta'!B144 = "", "", IF('6 - TV Stands &amp; Enterta-WUO_ERR'!A144 = "", "Validated", HYPERLINK("#" &amp; ADDRESS(144, '6 - TV Stands &amp; Enterta-WUO_TRK'!A144),_xlfn.TEXTAFTER('6 - TV Stands &amp; Enterta-WUO_ERR'!A144, ":"))))</f>
        <v/>
      </c>
    </row>
    <row r="145">
      <c r="A145" s="38">
        <f>IF('6 - TV Stands &amp; Enterta'!B145 = "", "", IF('6 - TV Stands &amp; Enterta-WUO_ERR'!A145 = "", "Validated", HYPERLINK("#" &amp; ADDRESS(145, '6 - TV Stands &amp; Enterta-WUO_TRK'!A145),_xlfn.TEXTAFTER('6 - TV Stands &amp; Enterta-WUO_ERR'!A145, ":"))))</f>
        <v/>
      </c>
    </row>
    <row r="146">
      <c r="A146" s="38">
        <f>IF('6 - TV Stands &amp; Enterta'!B146 = "", "", IF('6 - TV Stands &amp; Enterta-WUO_ERR'!A146 = "", "Validated", HYPERLINK("#" &amp; ADDRESS(146, '6 - TV Stands &amp; Enterta-WUO_TRK'!A146),_xlfn.TEXTAFTER('6 - TV Stands &amp; Enterta-WUO_ERR'!A146, ":"))))</f>
        <v/>
      </c>
    </row>
    <row r="147">
      <c r="A147" s="38">
        <f>IF('6 - TV Stands &amp; Enterta'!B147 = "", "", IF('6 - TV Stands &amp; Enterta-WUO_ERR'!A147 = "", "Validated", HYPERLINK("#" &amp; ADDRESS(147, '6 - TV Stands &amp; Enterta-WUO_TRK'!A147),_xlfn.TEXTAFTER('6 - TV Stands &amp; Enterta-WUO_ERR'!A147, ":"))))</f>
        <v/>
      </c>
    </row>
    <row r="148">
      <c r="A148" s="38">
        <f>IF('6 - TV Stands &amp; Enterta'!B148 = "", "", IF('6 - TV Stands &amp; Enterta-WUO_ERR'!A148 = "", "Validated", HYPERLINK("#" &amp; ADDRESS(148, '6 - TV Stands &amp; Enterta-WUO_TRK'!A148),_xlfn.TEXTAFTER('6 - TV Stands &amp; Enterta-WUO_ERR'!A148, ":"))))</f>
        <v/>
      </c>
    </row>
    <row r="149">
      <c r="A149" s="38">
        <f>IF('6 - TV Stands &amp; Enterta'!B149 = "", "", IF('6 - TV Stands &amp; Enterta-WUO_ERR'!A149 = "", "Validated", HYPERLINK("#" &amp; ADDRESS(149, '6 - TV Stands &amp; Enterta-WUO_TRK'!A149),_xlfn.TEXTAFTER('6 - TV Stands &amp; Enterta-WUO_ERR'!A149, ":"))))</f>
        <v/>
      </c>
    </row>
    <row r="150">
      <c r="A150" s="38">
        <f>IF('6 - TV Stands &amp; Enterta'!B150 = "", "", IF('6 - TV Stands &amp; Enterta-WUO_ERR'!A150 = "", "Validated", HYPERLINK("#" &amp; ADDRESS(150, '6 - TV Stands &amp; Enterta-WUO_TRK'!A150),_xlfn.TEXTAFTER('6 - TV Stands &amp; Enterta-WUO_ERR'!A150, ":"))))</f>
        <v/>
      </c>
    </row>
    <row r="151">
      <c r="A151" s="38">
        <f>IF('6 - TV Stands &amp; Enterta'!B151 = "", "", IF('6 - TV Stands &amp; Enterta-WUO_ERR'!A151 = "", "Validated", HYPERLINK("#" &amp; ADDRESS(151, '6 - TV Stands &amp; Enterta-WUO_TRK'!A151),_xlfn.TEXTAFTER('6 - TV Stands &amp; Enterta-WUO_ERR'!A151, ":"))))</f>
        <v/>
      </c>
    </row>
    <row r="152">
      <c r="A152" s="38">
        <f>IF('6 - TV Stands &amp; Enterta'!B152 = "", "", IF('6 - TV Stands &amp; Enterta-WUO_ERR'!A152 = "", "Validated", HYPERLINK("#" &amp; ADDRESS(152, '6 - TV Stands &amp; Enterta-WUO_TRK'!A152),_xlfn.TEXTAFTER('6 - TV Stands &amp; Enterta-WUO_ERR'!A152, ":"))))</f>
        <v/>
      </c>
    </row>
    <row r="153">
      <c r="A153" s="38">
        <f>IF('6 - TV Stands &amp; Enterta'!B153 = "", "", IF('6 - TV Stands &amp; Enterta-WUO_ERR'!A153 = "", "Validated", HYPERLINK("#" &amp; ADDRESS(153, '6 - TV Stands &amp; Enterta-WUO_TRK'!A153),_xlfn.TEXTAFTER('6 - TV Stands &amp; Enterta-WUO_ERR'!A153, ":"))))</f>
        <v/>
      </c>
    </row>
    <row r="154">
      <c r="A154" s="38">
        <f>IF('6 - TV Stands &amp; Enterta'!B154 = "", "", IF('6 - TV Stands &amp; Enterta-WUO_ERR'!A154 = "", "Validated", HYPERLINK("#" &amp; ADDRESS(154, '6 - TV Stands &amp; Enterta-WUO_TRK'!A154),_xlfn.TEXTAFTER('6 - TV Stands &amp; Enterta-WUO_ERR'!A154, ":"))))</f>
        <v/>
      </c>
    </row>
    <row r="155">
      <c r="A155" s="38">
        <f>IF('6 - TV Stands &amp; Enterta'!B155 = "", "", IF('6 - TV Stands &amp; Enterta-WUO_ERR'!A155 = "", "Validated", HYPERLINK("#" &amp; ADDRESS(155, '6 - TV Stands &amp; Enterta-WUO_TRK'!A155),_xlfn.TEXTAFTER('6 - TV Stands &amp; Enterta-WUO_ERR'!A155, ":"))))</f>
        <v/>
      </c>
    </row>
    <row r="156">
      <c r="A156" s="38">
        <f>IF('6 - TV Stands &amp; Enterta'!B156 = "", "", IF('6 - TV Stands &amp; Enterta-WUO_ERR'!A156 = "", "Validated", HYPERLINK("#" &amp; ADDRESS(156, '6 - TV Stands &amp; Enterta-WUO_TRK'!A156),_xlfn.TEXTAFTER('6 - TV Stands &amp; Enterta-WUO_ERR'!A156, ":"))))</f>
        <v/>
      </c>
    </row>
    <row r="157">
      <c r="A157" s="38">
        <f>IF('6 - TV Stands &amp; Enterta'!B157 = "", "", IF('6 - TV Stands &amp; Enterta-WUO_ERR'!A157 = "", "Validated", HYPERLINK("#" &amp; ADDRESS(157, '6 - TV Stands &amp; Enterta-WUO_TRK'!A157),_xlfn.TEXTAFTER('6 - TV Stands &amp; Enterta-WUO_ERR'!A157, ":"))))</f>
        <v/>
      </c>
    </row>
    <row r="158">
      <c r="A158" s="38">
        <f>IF('6 - TV Stands &amp; Enterta'!B158 = "", "", IF('6 - TV Stands &amp; Enterta-WUO_ERR'!A158 = "", "Validated", HYPERLINK("#" &amp; ADDRESS(158, '6 - TV Stands &amp; Enterta-WUO_TRK'!A158),_xlfn.TEXTAFTER('6 - TV Stands &amp; Enterta-WUO_ERR'!A158, ":"))))</f>
        <v/>
      </c>
    </row>
    <row r="159">
      <c r="A159" s="38">
        <f>IF('6 - TV Stands &amp; Enterta'!B159 = "", "", IF('6 - TV Stands &amp; Enterta-WUO_ERR'!A159 = "", "Validated", HYPERLINK("#" &amp; ADDRESS(159, '6 - TV Stands &amp; Enterta-WUO_TRK'!A159),_xlfn.TEXTAFTER('6 - TV Stands &amp; Enterta-WUO_ERR'!A159, ":"))))</f>
        <v/>
      </c>
    </row>
    <row r="160">
      <c r="A160" s="38">
        <f>IF('6 - TV Stands &amp; Enterta'!B160 = "", "", IF('6 - TV Stands &amp; Enterta-WUO_ERR'!A160 = "", "Validated", HYPERLINK("#" &amp; ADDRESS(160, '6 - TV Stands &amp; Enterta-WUO_TRK'!A160),_xlfn.TEXTAFTER('6 - TV Stands &amp; Enterta-WUO_ERR'!A160, ":"))))</f>
        <v/>
      </c>
    </row>
    <row r="161">
      <c r="A161" s="38">
        <f>IF('6 - TV Stands &amp; Enterta'!B161 = "", "", IF('6 - TV Stands &amp; Enterta-WUO_ERR'!A161 = "", "Validated", HYPERLINK("#" &amp; ADDRESS(161, '6 - TV Stands &amp; Enterta-WUO_TRK'!A161),_xlfn.TEXTAFTER('6 - TV Stands &amp; Enterta-WUO_ERR'!A161, ":"))))</f>
        <v/>
      </c>
    </row>
    <row r="162">
      <c r="A162" s="38">
        <f>IF('6 - TV Stands &amp; Enterta'!B162 = "", "", IF('6 - TV Stands &amp; Enterta-WUO_ERR'!A162 = "", "Validated", HYPERLINK("#" &amp; ADDRESS(162, '6 - TV Stands &amp; Enterta-WUO_TRK'!A162),_xlfn.TEXTAFTER('6 - TV Stands &amp; Enterta-WUO_ERR'!A162, ":"))))</f>
        <v/>
      </c>
    </row>
    <row r="163">
      <c r="A163" s="38">
        <f>IF('6 - TV Stands &amp; Enterta'!B163 = "", "", IF('6 - TV Stands &amp; Enterta-WUO_ERR'!A163 = "", "Validated", HYPERLINK("#" &amp; ADDRESS(163, '6 - TV Stands &amp; Enterta-WUO_TRK'!A163),_xlfn.TEXTAFTER('6 - TV Stands &amp; Enterta-WUO_ERR'!A163, ":"))))</f>
        <v/>
      </c>
    </row>
    <row r="164">
      <c r="A164" s="38">
        <f>IF('6 - TV Stands &amp; Enterta'!B164 = "", "", IF('6 - TV Stands &amp; Enterta-WUO_ERR'!A164 = "", "Validated", HYPERLINK("#" &amp; ADDRESS(164, '6 - TV Stands &amp; Enterta-WUO_TRK'!A164),_xlfn.TEXTAFTER('6 - TV Stands &amp; Enterta-WUO_ERR'!A164, ":"))))</f>
        <v/>
      </c>
    </row>
    <row r="165">
      <c r="A165" s="38">
        <f>IF('6 - TV Stands &amp; Enterta'!B165 = "", "", IF('6 - TV Stands &amp; Enterta-WUO_ERR'!A165 = "", "Validated", HYPERLINK("#" &amp; ADDRESS(165, '6 - TV Stands &amp; Enterta-WUO_TRK'!A165),_xlfn.TEXTAFTER('6 - TV Stands &amp; Enterta-WUO_ERR'!A165, ":"))))</f>
        <v/>
      </c>
    </row>
    <row r="166">
      <c r="A166" s="38">
        <f>IF('6 - TV Stands &amp; Enterta'!B166 = "", "", IF('6 - TV Stands &amp; Enterta-WUO_ERR'!A166 = "", "Validated", HYPERLINK("#" &amp; ADDRESS(166, '6 - TV Stands &amp; Enterta-WUO_TRK'!A166),_xlfn.TEXTAFTER('6 - TV Stands &amp; Enterta-WUO_ERR'!A166, ":"))))</f>
        <v/>
      </c>
    </row>
    <row r="167">
      <c r="A167" s="38">
        <f>IF('6 - TV Stands &amp; Enterta'!B167 = "", "", IF('6 - TV Stands &amp; Enterta-WUO_ERR'!A167 = "", "Validated", HYPERLINK("#" &amp; ADDRESS(167, '6 - TV Stands &amp; Enterta-WUO_TRK'!A167),_xlfn.TEXTAFTER('6 - TV Stands &amp; Enterta-WUO_ERR'!A167, ":"))))</f>
        <v/>
      </c>
    </row>
    <row r="168">
      <c r="A168" s="38">
        <f>IF('6 - TV Stands &amp; Enterta'!B168 = "", "", IF('6 - TV Stands &amp; Enterta-WUO_ERR'!A168 = "", "Validated", HYPERLINK("#" &amp; ADDRESS(168, '6 - TV Stands &amp; Enterta-WUO_TRK'!A168),_xlfn.TEXTAFTER('6 - TV Stands &amp; Enterta-WUO_ERR'!A168, ":"))))</f>
        <v/>
      </c>
    </row>
    <row r="169">
      <c r="A169" s="38">
        <f>IF('6 - TV Stands &amp; Enterta'!B169 = "", "", IF('6 - TV Stands &amp; Enterta-WUO_ERR'!A169 = "", "Validated", HYPERLINK("#" &amp; ADDRESS(169, '6 - TV Stands &amp; Enterta-WUO_TRK'!A169),_xlfn.TEXTAFTER('6 - TV Stands &amp; Enterta-WUO_ERR'!A169, ":"))))</f>
        <v/>
      </c>
    </row>
    <row r="170">
      <c r="A170" s="38">
        <f>IF('6 - TV Stands &amp; Enterta'!B170 = "", "", IF('6 - TV Stands &amp; Enterta-WUO_ERR'!A170 = "", "Validated", HYPERLINK("#" &amp; ADDRESS(170, '6 - TV Stands &amp; Enterta-WUO_TRK'!A170),_xlfn.TEXTAFTER('6 - TV Stands &amp; Enterta-WUO_ERR'!A170, ":"))))</f>
        <v/>
      </c>
    </row>
    <row r="171">
      <c r="A171" s="38">
        <f>IF('6 - TV Stands &amp; Enterta'!B171 = "", "", IF('6 - TV Stands &amp; Enterta-WUO_ERR'!A171 = "", "Validated", HYPERLINK("#" &amp; ADDRESS(171, '6 - TV Stands &amp; Enterta-WUO_TRK'!A171),_xlfn.TEXTAFTER('6 - TV Stands &amp; Enterta-WUO_ERR'!A171, ":"))))</f>
        <v/>
      </c>
    </row>
    <row r="172">
      <c r="A172" s="38">
        <f>IF('6 - TV Stands &amp; Enterta'!B172 = "", "", IF('6 - TV Stands &amp; Enterta-WUO_ERR'!A172 = "", "Validated", HYPERLINK("#" &amp; ADDRESS(172, '6 - TV Stands &amp; Enterta-WUO_TRK'!A172),_xlfn.TEXTAFTER('6 - TV Stands &amp; Enterta-WUO_ERR'!A172, ":"))))</f>
        <v/>
      </c>
    </row>
    <row r="173">
      <c r="A173" s="38">
        <f>IF('6 - TV Stands &amp; Enterta'!B173 = "", "", IF('6 - TV Stands &amp; Enterta-WUO_ERR'!A173 = "", "Validated", HYPERLINK("#" &amp; ADDRESS(173, '6 - TV Stands &amp; Enterta-WUO_TRK'!A173),_xlfn.TEXTAFTER('6 - TV Stands &amp; Enterta-WUO_ERR'!A173, ":"))))</f>
        <v/>
      </c>
    </row>
    <row r="174">
      <c r="A174" s="38">
        <f>IF('6 - TV Stands &amp; Enterta'!B174 = "", "", IF('6 - TV Stands &amp; Enterta-WUO_ERR'!A174 = "", "Validated", HYPERLINK("#" &amp; ADDRESS(174, '6 - TV Stands &amp; Enterta-WUO_TRK'!A174),_xlfn.TEXTAFTER('6 - TV Stands &amp; Enterta-WUO_ERR'!A174, ":"))))</f>
        <v/>
      </c>
    </row>
    <row r="175">
      <c r="A175" s="38">
        <f>IF('6 - TV Stands &amp; Enterta'!B175 = "", "", IF('6 - TV Stands &amp; Enterta-WUO_ERR'!A175 = "", "Validated", HYPERLINK("#" &amp; ADDRESS(175, '6 - TV Stands &amp; Enterta-WUO_TRK'!A175),_xlfn.TEXTAFTER('6 - TV Stands &amp; Enterta-WUO_ERR'!A175, ":"))))</f>
        <v/>
      </c>
    </row>
    <row r="176">
      <c r="A176" s="38">
        <f>IF('6 - TV Stands &amp; Enterta'!B176 = "", "", IF('6 - TV Stands &amp; Enterta-WUO_ERR'!A176 = "", "Validated", HYPERLINK("#" &amp; ADDRESS(176, '6 - TV Stands &amp; Enterta-WUO_TRK'!A176),_xlfn.TEXTAFTER('6 - TV Stands &amp; Enterta-WUO_ERR'!A176, ":"))))</f>
        <v/>
      </c>
    </row>
    <row r="177">
      <c r="A177" s="38">
        <f>IF('6 - TV Stands &amp; Enterta'!B177 = "", "", IF('6 - TV Stands &amp; Enterta-WUO_ERR'!A177 = "", "Validated", HYPERLINK("#" &amp; ADDRESS(177, '6 - TV Stands &amp; Enterta-WUO_TRK'!A177),_xlfn.TEXTAFTER('6 - TV Stands &amp; Enterta-WUO_ERR'!A177, ":"))))</f>
        <v/>
      </c>
    </row>
    <row r="178">
      <c r="A178" s="38">
        <f>IF('6 - TV Stands &amp; Enterta'!B178 = "", "", IF('6 - TV Stands &amp; Enterta-WUO_ERR'!A178 = "", "Validated", HYPERLINK("#" &amp; ADDRESS(178, '6 - TV Stands &amp; Enterta-WUO_TRK'!A178),_xlfn.TEXTAFTER('6 - TV Stands &amp; Enterta-WUO_ERR'!A178, ":"))))</f>
        <v/>
      </c>
    </row>
    <row r="179">
      <c r="A179" s="38">
        <f>IF('6 - TV Stands &amp; Enterta'!B179 = "", "", IF('6 - TV Stands &amp; Enterta-WUO_ERR'!A179 = "", "Validated", HYPERLINK("#" &amp; ADDRESS(179, '6 - TV Stands &amp; Enterta-WUO_TRK'!A179),_xlfn.TEXTAFTER('6 - TV Stands &amp; Enterta-WUO_ERR'!A179, ":"))))</f>
        <v/>
      </c>
    </row>
    <row r="180">
      <c r="A180" s="38">
        <f>IF('6 - TV Stands &amp; Enterta'!B180 = "", "", IF('6 - TV Stands &amp; Enterta-WUO_ERR'!A180 = "", "Validated", HYPERLINK("#" &amp; ADDRESS(180, '6 - TV Stands &amp; Enterta-WUO_TRK'!A180),_xlfn.TEXTAFTER('6 - TV Stands &amp; Enterta-WUO_ERR'!A180, ":"))))</f>
        <v/>
      </c>
    </row>
    <row r="181">
      <c r="A181" s="38">
        <f>IF('6 - TV Stands &amp; Enterta'!B181 = "", "", IF('6 - TV Stands &amp; Enterta-WUO_ERR'!A181 = "", "Validated", HYPERLINK("#" &amp; ADDRESS(181, '6 - TV Stands &amp; Enterta-WUO_TRK'!A181),_xlfn.TEXTAFTER('6 - TV Stands &amp; Enterta-WUO_ERR'!A181, ":"))))</f>
        <v/>
      </c>
    </row>
    <row r="182">
      <c r="A182" s="38">
        <f>IF('6 - TV Stands &amp; Enterta'!B182 = "", "", IF('6 - TV Stands &amp; Enterta-WUO_ERR'!A182 = "", "Validated", HYPERLINK("#" &amp; ADDRESS(182, '6 - TV Stands &amp; Enterta-WUO_TRK'!A182),_xlfn.TEXTAFTER('6 - TV Stands &amp; Enterta-WUO_ERR'!A182, ":"))))</f>
        <v/>
      </c>
    </row>
    <row r="183">
      <c r="A183" s="38">
        <f>IF('6 - TV Stands &amp; Enterta'!B183 = "", "", IF('6 - TV Stands &amp; Enterta-WUO_ERR'!A183 = "", "Validated", HYPERLINK("#" &amp; ADDRESS(183, '6 - TV Stands &amp; Enterta-WUO_TRK'!A183),_xlfn.TEXTAFTER('6 - TV Stands &amp; Enterta-WUO_ERR'!A183, ":"))))</f>
        <v/>
      </c>
    </row>
    <row r="184">
      <c r="A184" s="38">
        <f>IF('6 - TV Stands &amp; Enterta'!B184 = "", "", IF('6 - TV Stands &amp; Enterta-WUO_ERR'!A184 = "", "Validated", HYPERLINK("#" &amp; ADDRESS(184, '6 - TV Stands &amp; Enterta-WUO_TRK'!A184),_xlfn.TEXTAFTER('6 - TV Stands &amp; Enterta-WUO_ERR'!A184, ":"))))</f>
        <v/>
      </c>
    </row>
    <row r="185">
      <c r="A185" s="38">
        <f>IF('6 - TV Stands &amp; Enterta'!B185 = "", "", IF('6 - TV Stands &amp; Enterta-WUO_ERR'!A185 = "", "Validated", HYPERLINK("#" &amp; ADDRESS(185, '6 - TV Stands &amp; Enterta-WUO_TRK'!A185),_xlfn.TEXTAFTER('6 - TV Stands &amp; Enterta-WUO_ERR'!A185, ":"))))</f>
        <v/>
      </c>
    </row>
    <row r="186">
      <c r="A186" s="38">
        <f>IF('6 - TV Stands &amp; Enterta'!B186 = "", "", IF('6 - TV Stands &amp; Enterta-WUO_ERR'!A186 = "", "Validated", HYPERLINK("#" &amp; ADDRESS(186, '6 - TV Stands &amp; Enterta-WUO_TRK'!A186),_xlfn.TEXTAFTER('6 - TV Stands &amp; Enterta-WUO_ERR'!A186, ":"))))</f>
        <v/>
      </c>
    </row>
    <row r="187">
      <c r="A187" s="38">
        <f>IF('6 - TV Stands &amp; Enterta'!B187 = "", "", IF('6 - TV Stands &amp; Enterta-WUO_ERR'!A187 = "", "Validated", HYPERLINK("#" &amp; ADDRESS(187, '6 - TV Stands &amp; Enterta-WUO_TRK'!A187),_xlfn.TEXTAFTER('6 - TV Stands &amp; Enterta-WUO_ERR'!A187, ":"))))</f>
        <v/>
      </c>
    </row>
    <row r="188">
      <c r="A188" s="38">
        <f>IF('6 - TV Stands &amp; Enterta'!B188 = "", "", IF('6 - TV Stands &amp; Enterta-WUO_ERR'!A188 = "", "Validated", HYPERLINK("#" &amp; ADDRESS(188, '6 - TV Stands &amp; Enterta-WUO_TRK'!A188),_xlfn.TEXTAFTER('6 - TV Stands &amp; Enterta-WUO_ERR'!A188, ":"))))</f>
        <v/>
      </c>
    </row>
    <row r="189">
      <c r="A189" s="38">
        <f>IF('6 - TV Stands &amp; Enterta'!B189 = "", "", IF('6 - TV Stands &amp; Enterta-WUO_ERR'!A189 = "", "Validated", HYPERLINK("#" &amp; ADDRESS(189, '6 - TV Stands &amp; Enterta-WUO_TRK'!A189),_xlfn.TEXTAFTER('6 - TV Stands &amp; Enterta-WUO_ERR'!A189, ":"))))</f>
        <v/>
      </c>
    </row>
    <row r="190">
      <c r="A190" s="38">
        <f>IF('6 - TV Stands &amp; Enterta'!B190 = "", "", IF('6 - TV Stands &amp; Enterta-WUO_ERR'!A190 = "", "Validated", HYPERLINK("#" &amp; ADDRESS(190, '6 - TV Stands &amp; Enterta-WUO_TRK'!A190),_xlfn.TEXTAFTER('6 - TV Stands &amp; Enterta-WUO_ERR'!A190, ":"))))</f>
        <v/>
      </c>
    </row>
    <row r="191">
      <c r="A191" s="38">
        <f>IF('6 - TV Stands &amp; Enterta'!B191 = "", "", IF('6 - TV Stands &amp; Enterta-WUO_ERR'!A191 = "", "Validated", HYPERLINK("#" &amp; ADDRESS(191, '6 - TV Stands &amp; Enterta-WUO_TRK'!A191),_xlfn.TEXTAFTER('6 - TV Stands &amp; Enterta-WUO_ERR'!A191, ":"))))</f>
        <v/>
      </c>
    </row>
    <row r="192">
      <c r="A192" s="38">
        <f>IF('6 - TV Stands &amp; Enterta'!B192 = "", "", IF('6 - TV Stands &amp; Enterta-WUO_ERR'!A192 = "", "Validated", HYPERLINK("#" &amp; ADDRESS(192, '6 - TV Stands &amp; Enterta-WUO_TRK'!A192),_xlfn.TEXTAFTER('6 - TV Stands &amp; Enterta-WUO_ERR'!A192, ":"))))</f>
        <v/>
      </c>
    </row>
    <row r="193">
      <c r="A193" s="38">
        <f>IF('6 - TV Stands &amp; Enterta'!B193 = "", "", IF('6 - TV Stands &amp; Enterta-WUO_ERR'!A193 = "", "Validated", HYPERLINK("#" &amp; ADDRESS(193, '6 - TV Stands &amp; Enterta-WUO_TRK'!A193),_xlfn.TEXTAFTER('6 - TV Stands &amp; Enterta-WUO_ERR'!A193, ":"))))</f>
        <v/>
      </c>
    </row>
    <row r="194">
      <c r="A194" s="38">
        <f>IF('6 - TV Stands &amp; Enterta'!B194 = "", "", IF('6 - TV Stands &amp; Enterta-WUO_ERR'!A194 = "", "Validated", HYPERLINK("#" &amp; ADDRESS(194, '6 - TV Stands &amp; Enterta-WUO_TRK'!A194),_xlfn.TEXTAFTER('6 - TV Stands &amp; Enterta-WUO_ERR'!A194, ":"))))</f>
        <v/>
      </c>
    </row>
    <row r="195">
      <c r="A195" s="38">
        <f>IF('6 - TV Stands &amp; Enterta'!B195 = "", "", IF('6 - TV Stands &amp; Enterta-WUO_ERR'!A195 = "", "Validated", HYPERLINK("#" &amp; ADDRESS(195, '6 - TV Stands &amp; Enterta-WUO_TRK'!A195),_xlfn.TEXTAFTER('6 - TV Stands &amp; Enterta-WUO_ERR'!A195, ":"))))</f>
        <v/>
      </c>
    </row>
    <row r="196">
      <c r="A196" s="38">
        <f>IF('6 - TV Stands &amp; Enterta'!B196 = "", "", IF('6 - TV Stands &amp; Enterta-WUO_ERR'!A196 = "", "Validated", HYPERLINK("#" &amp; ADDRESS(196, '6 - TV Stands &amp; Enterta-WUO_TRK'!A196),_xlfn.TEXTAFTER('6 - TV Stands &amp; Enterta-WUO_ERR'!A196, ":"))))</f>
        <v/>
      </c>
    </row>
    <row r="197">
      <c r="A197" s="38">
        <f>IF('6 - TV Stands &amp; Enterta'!B197 = "", "", IF('6 - TV Stands &amp; Enterta-WUO_ERR'!A197 = "", "Validated", HYPERLINK("#" &amp; ADDRESS(197, '6 - TV Stands &amp; Enterta-WUO_TRK'!A197),_xlfn.TEXTAFTER('6 - TV Stands &amp; Enterta-WUO_ERR'!A197, ":"))))</f>
        <v/>
      </c>
    </row>
    <row r="198">
      <c r="A198" s="38">
        <f>IF('6 - TV Stands &amp; Enterta'!B198 = "", "", IF('6 - TV Stands &amp; Enterta-WUO_ERR'!A198 = "", "Validated", HYPERLINK("#" &amp; ADDRESS(198, '6 - TV Stands &amp; Enterta-WUO_TRK'!A198),_xlfn.TEXTAFTER('6 - TV Stands &amp; Enterta-WUO_ERR'!A198, ":"))))</f>
        <v/>
      </c>
    </row>
    <row r="199">
      <c r="A199" s="38">
        <f>IF('6 - TV Stands &amp; Enterta'!B199 = "", "", IF('6 - TV Stands &amp; Enterta-WUO_ERR'!A199 = "", "Validated", HYPERLINK("#" &amp; ADDRESS(199, '6 - TV Stands &amp; Enterta-WUO_TRK'!A199),_xlfn.TEXTAFTER('6 - TV Stands &amp; Enterta-WUO_ERR'!A199, ":"))))</f>
        <v/>
      </c>
    </row>
    <row r="200">
      <c r="A200" s="38">
        <f>IF('6 - TV Stands &amp; Enterta'!B200 = "", "", IF('6 - TV Stands &amp; Enterta-WUO_ERR'!A200 = "", "Validated", HYPERLINK("#" &amp; ADDRESS(200, '6 - TV Stands &amp; Enterta-WUO_TRK'!A200),_xlfn.TEXTAFTER('6 - TV Stands &amp; Enterta-WUO_ERR'!A200, ":"))))</f>
        <v/>
      </c>
    </row>
    <row r="201">
      <c r="A201" s="38">
        <f>IF('6 - TV Stands &amp; Enterta'!B201 = "", "", IF('6 - TV Stands &amp; Enterta-WUO_ERR'!A201 = "", "Validated", HYPERLINK("#" &amp; ADDRESS(201, '6 - TV Stands &amp; Enterta-WUO_TRK'!A201),_xlfn.TEXTAFTER('6 - TV Stands &amp; Enterta-WUO_ERR'!A201, ":"))))</f>
        <v/>
      </c>
    </row>
    <row r="202">
      <c r="A202" s="38">
        <f>IF('6 - TV Stands &amp; Enterta'!B202 = "", "", IF('6 - TV Stands &amp; Enterta-WUO_ERR'!A202 = "", "Validated", HYPERLINK("#" &amp; ADDRESS(202, '6 - TV Stands &amp; Enterta-WUO_TRK'!A202),_xlfn.TEXTAFTER('6 - TV Stands &amp; Enterta-WUO_ERR'!A202, ":"))))</f>
        <v/>
      </c>
    </row>
    <row r="203">
      <c r="A203" s="38">
        <f>IF('6 - TV Stands &amp; Enterta'!B203 = "", "", IF('6 - TV Stands &amp; Enterta-WUO_ERR'!A203 = "", "Validated", HYPERLINK("#" &amp; ADDRESS(203, '6 - TV Stands &amp; Enterta-WUO_TRK'!A203),_xlfn.TEXTAFTER('6 - TV Stands &amp; Enterta-WUO_ERR'!A203, ":"))))</f>
        <v/>
      </c>
    </row>
    <row r="204">
      <c r="A204" s="38">
        <f>IF('6 - TV Stands &amp; Enterta'!B204 = "", "", IF('6 - TV Stands &amp; Enterta-WUO_ERR'!A204 = "", "Validated", HYPERLINK("#" &amp; ADDRESS(204, '6 - TV Stands &amp; Enterta-WUO_TRK'!A204),_xlfn.TEXTAFTER('6 - TV Stands &amp; Enterta-WUO_ERR'!A204, ":"))))</f>
        <v/>
      </c>
    </row>
    <row r="205">
      <c r="A205" s="38">
        <f>IF('6 - TV Stands &amp; Enterta'!B205 = "", "", IF('6 - TV Stands &amp; Enterta-WUO_ERR'!A205 = "", "Validated", HYPERLINK("#" &amp; ADDRESS(205, '6 - TV Stands &amp; Enterta-WUO_TRK'!A205),_xlfn.TEXTAFTER('6 - TV Stands &amp; Enterta-WUO_ERR'!A205, ":"))))</f>
        <v/>
      </c>
    </row>
    <row r="206">
      <c r="A206" s="38">
        <f>IF('6 - TV Stands &amp; Enterta'!B206 = "", "", IF('6 - TV Stands &amp; Enterta-WUO_ERR'!A206 = "", "Validated", HYPERLINK("#" &amp; ADDRESS(206, '6 - TV Stands &amp; Enterta-WUO_TRK'!A206),_xlfn.TEXTAFTER('6 - TV Stands &amp; Enterta-WUO_ERR'!A206, ":"))))</f>
        <v/>
      </c>
    </row>
    <row r="207">
      <c r="A207" s="38">
        <f>IF('6 - TV Stands &amp; Enterta'!B207 = "", "", IF('6 - TV Stands &amp; Enterta-WUO_ERR'!A207 = "", "Validated", HYPERLINK("#" &amp; ADDRESS(207, '6 - TV Stands &amp; Enterta-WUO_TRK'!A207),_xlfn.TEXTAFTER('6 - TV Stands &amp; Enterta-WUO_ERR'!A207, ":"))))</f>
        <v/>
      </c>
    </row>
    <row r="208">
      <c r="A208" s="38">
        <f>IF('6 - TV Stands &amp; Enterta'!B208 = "", "", IF('6 - TV Stands &amp; Enterta-WUO_ERR'!A208 = "", "Validated", HYPERLINK("#" &amp; ADDRESS(208, '6 - TV Stands &amp; Enterta-WUO_TRK'!A208),_xlfn.TEXTAFTER('6 - TV Stands &amp; Enterta-WUO_ERR'!A208, ":"))))</f>
        <v/>
      </c>
    </row>
    <row r="209">
      <c r="A209" s="38">
        <f>IF('6 - TV Stands &amp; Enterta'!B209 = "", "", IF('6 - TV Stands &amp; Enterta-WUO_ERR'!A209 = "", "Validated", HYPERLINK("#" &amp; ADDRESS(209, '6 - TV Stands &amp; Enterta-WUO_TRK'!A209),_xlfn.TEXTAFTER('6 - TV Stands &amp; Enterta-WUO_ERR'!A209, ":"))))</f>
        <v/>
      </c>
    </row>
    <row r="210">
      <c r="A210" s="38">
        <f>IF('6 - TV Stands &amp; Enterta'!B210 = "", "", IF('6 - TV Stands &amp; Enterta-WUO_ERR'!A210 = "", "Validated", HYPERLINK("#" &amp; ADDRESS(210, '6 - TV Stands &amp; Enterta-WUO_TRK'!A210),_xlfn.TEXTAFTER('6 - TV Stands &amp; Enterta-WUO_ERR'!A210, ":"))))</f>
        <v/>
      </c>
    </row>
    <row r="211">
      <c r="A211" s="38">
        <f>IF('6 - TV Stands &amp; Enterta'!B211 = "", "", IF('6 - TV Stands &amp; Enterta-WUO_ERR'!A211 = "", "Validated", HYPERLINK("#" &amp; ADDRESS(211, '6 - TV Stands &amp; Enterta-WUO_TRK'!A211),_xlfn.TEXTAFTER('6 - TV Stands &amp; Enterta-WUO_ERR'!A211, ":"))))</f>
        <v/>
      </c>
    </row>
    <row r="212">
      <c r="A212" s="38">
        <f>IF('6 - TV Stands &amp; Enterta'!B212 = "", "", IF('6 - TV Stands &amp; Enterta-WUO_ERR'!A212 = "", "Validated", HYPERLINK("#" &amp; ADDRESS(212, '6 - TV Stands &amp; Enterta-WUO_TRK'!A212),_xlfn.TEXTAFTER('6 - TV Stands &amp; Enterta-WUO_ERR'!A212, ":"))))</f>
        <v/>
      </c>
    </row>
    <row r="213">
      <c r="A213" s="38">
        <f>IF('6 - TV Stands &amp; Enterta'!B213 = "", "", IF('6 - TV Stands &amp; Enterta-WUO_ERR'!A213 = "", "Validated", HYPERLINK("#" &amp; ADDRESS(213, '6 - TV Stands &amp; Enterta-WUO_TRK'!A213),_xlfn.TEXTAFTER('6 - TV Stands &amp; Enterta-WUO_ERR'!A213, ":"))))</f>
        <v/>
      </c>
    </row>
    <row r="214">
      <c r="A214" s="38">
        <f>IF('6 - TV Stands &amp; Enterta'!B214 = "", "", IF('6 - TV Stands &amp; Enterta-WUO_ERR'!A214 = "", "Validated", HYPERLINK("#" &amp; ADDRESS(214, '6 - TV Stands &amp; Enterta-WUO_TRK'!A214),_xlfn.TEXTAFTER('6 - TV Stands &amp; Enterta-WUO_ERR'!A214, ":"))))</f>
        <v/>
      </c>
    </row>
    <row r="215">
      <c r="A215" s="38">
        <f>IF('6 - TV Stands &amp; Enterta'!B215 = "", "", IF('6 - TV Stands &amp; Enterta-WUO_ERR'!A215 = "", "Validated", HYPERLINK("#" &amp; ADDRESS(215, '6 - TV Stands &amp; Enterta-WUO_TRK'!A215),_xlfn.TEXTAFTER('6 - TV Stands &amp; Enterta-WUO_ERR'!A215, ":"))))</f>
        <v/>
      </c>
    </row>
    <row r="216">
      <c r="A216" s="38">
        <f>IF('6 - TV Stands &amp; Enterta'!B216 = "", "", IF('6 - TV Stands &amp; Enterta-WUO_ERR'!A216 = "", "Validated", HYPERLINK("#" &amp; ADDRESS(216, '6 - TV Stands &amp; Enterta-WUO_TRK'!A216),_xlfn.TEXTAFTER('6 - TV Stands &amp; Enterta-WUO_ERR'!A216, ":"))))</f>
        <v/>
      </c>
    </row>
    <row r="217">
      <c r="A217" s="38">
        <f>IF('6 - TV Stands &amp; Enterta'!B217 = "", "", IF('6 - TV Stands &amp; Enterta-WUO_ERR'!A217 = "", "Validated", HYPERLINK("#" &amp; ADDRESS(217, '6 - TV Stands &amp; Enterta-WUO_TRK'!A217),_xlfn.TEXTAFTER('6 - TV Stands &amp; Enterta-WUO_ERR'!A217, ":"))))</f>
        <v/>
      </c>
    </row>
    <row r="218">
      <c r="A218" s="38">
        <f>IF('6 - TV Stands &amp; Enterta'!B218 = "", "", IF('6 - TV Stands &amp; Enterta-WUO_ERR'!A218 = "", "Validated", HYPERLINK("#" &amp; ADDRESS(218, '6 - TV Stands &amp; Enterta-WUO_TRK'!A218),_xlfn.TEXTAFTER('6 - TV Stands &amp; Enterta-WUO_ERR'!A218, ":"))))</f>
        <v/>
      </c>
    </row>
    <row r="219">
      <c r="A219" s="38">
        <f>IF('6 - TV Stands &amp; Enterta'!B219 = "", "", IF('6 - TV Stands &amp; Enterta-WUO_ERR'!A219 = "", "Validated", HYPERLINK("#" &amp; ADDRESS(219, '6 - TV Stands &amp; Enterta-WUO_TRK'!A219),_xlfn.TEXTAFTER('6 - TV Stands &amp; Enterta-WUO_ERR'!A219, ":"))))</f>
        <v/>
      </c>
    </row>
    <row r="220">
      <c r="A220" s="38">
        <f>IF('6 - TV Stands &amp; Enterta'!B220 = "", "", IF('6 - TV Stands &amp; Enterta-WUO_ERR'!A220 = "", "Validated", HYPERLINK("#" &amp; ADDRESS(220, '6 - TV Stands &amp; Enterta-WUO_TRK'!A220),_xlfn.TEXTAFTER('6 - TV Stands &amp; Enterta-WUO_ERR'!A220, ":"))))</f>
        <v/>
      </c>
    </row>
    <row r="221">
      <c r="A221" s="38">
        <f>IF('6 - TV Stands &amp; Enterta'!B221 = "", "", IF('6 - TV Stands &amp; Enterta-WUO_ERR'!A221 = "", "Validated", HYPERLINK("#" &amp; ADDRESS(221, '6 - TV Stands &amp; Enterta-WUO_TRK'!A221),_xlfn.TEXTAFTER('6 - TV Stands &amp; Enterta-WUO_ERR'!A221, ":"))))</f>
        <v/>
      </c>
    </row>
    <row r="222">
      <c r="A222" s="38">
        <f>IF('6 - TV Stands &amp; Enterta'!B222 = "", "", IF('6 - TV Stands &amp; Enterta-WUO_ERR'!A222 = "", "Validated", HYPERLINK("#" &amp; ADDRESS(222, '6 - TV Stands &amp; Enterta-WUO_TRK'!A222),_xlfn.TEXTAFTER('6 - TV Stands &amp; Enterta-WUO_ERR'!A222, ":"))))</f>
        <v/>
      </c>
    </row>
    <row r="223">
      <c r="A223" s="38">
        <f>IF('6 - TV Stands &amp; Enterta'!B223 = "", "", IF('6 - TV Stands &amp; Enterta-WUO_ERR'!A223 = "", "Validated", HYPERLINK("#" &amp; ADDRESS(223, '6 - TV Stands &amp; Enterta-WUO_TRK'!A223),_xlfn.TEXTAFTER('6 - TV Stands &amp; Enterta-WUO_ERR'!A223, ":"))))</f>
        <v/>
      </c>
    </row>
    <row r="224">
      <c r="A224" s="38">
        <f>IF('6 - TV Stands &amp; Enterta'!B224 = "", "", IF('6 - TV Stands &amp; Enterta-WUO_ERR'!A224 = "", "Validated", HYPERLINK("#" &amp; ADDRESS(224, '6 - TV Stands &amp; Enterta-WUO_TRK'!A224),_xlfn.TEXTAFTER('6 - TV Stands &amp; Enterta-WUO_ERR'!A224, ":"))))</f>
        <v/>
      </c>
    </row>
    <row r="225">
      <c r="A225" s="38">
        <f>IF('6 - TV Stands &amp; Enterta'!B225 = "", "", IF('6 - TV Stands &amp; Enterta-WUO_ERR'!A225 = "", "Validated", HYPERLINK("#" &amp; ADDRESS(225, '6 - TV Stands &amp; Enterta-WUO_TRK'!A225),_xlfn.TEXTAFTER('6 - TV Stands &amp; Enterta-WUO_ERR'!A225, ":"))))</f>
        <v/>
      </c>
    </row>
    <row r="226">
      <c r="A226" s="38">
        <f>IF('6 - TV Stands &amp; Enterta'!B226 = "", "", IF('6 - TV Stands &amp; Enterta-WUO_ERR'!A226 = "", "Validated", HYPERLINK("#" &amp; ADDRESS(226, '6 - TV Stands &amp; Enterta-WUO_TRK'!A226),_xlfn.TEXTAFTER('6 - TV Stands &amp; Enterta-WUO_ERR'!A226, ":"))))</f>
        <v/>
      </c>
    </row>
    <row r="227">
      <c r="A227" s="38">
        <f>IF('6 - TV Stands &amp; Enterta'!B227 = "", "", IF('6 - TV Stands &amp; Enterta-WUO_ERR'!A227 = "", "Validated", HYPERLINK("#" &amp; ADDRESS(227, '6 - TV Stands &amp; Enterta-WUO_TRK'!A227),_xlfn.TEXTAFTER('6 - TV Stands &amp; Enterta-WUO_ERR'!A227, ":"))))</f>
        <v/>
      </c>
    </row>
    <row r="228">
      <c r="A228" s="38">
        <f>IF('6 - TV Stands &amp; Enterta'!B228 = "", "", IF('6 - TV Stands &amp; Enterta-WUO_ERR'!A228 = "", "Validated", HYPERLINK("#" &amp; ADDRESS(228, '6 - TV Stands &amp; Enterta-WUO_TRK'!A228),_xlfn.TEXTAFTER('6 - TV Stands &amp; Enterta-WUO_ERR'!A228, ":"))))</f>
        <v/>
      </c>
    </row>
    <row r="229">
      <c r="A229" s="38">
        <f>IF('6 - TV Stands &amp; Enterta'!B229 = "", "", IF('6 - TV Stands &amp; Enterta-WUO_ERR'!A229 = "", "Validated", HYPERLINK("#" &amp; ADDRESS(229, '6 - TV Stands &amp; Enterta-WUO_TRK'!A229),_xlfn.TEXTAFTER('6 - TV Stands &amp; Enterta-WUO_ERR'!A229, ":"))))</f>
        <v/>
      </c>
    </row>
    <row r="230">
      <c r="A230" s="38">
        <f>IF('6 - TV Stands &amp; Enterta'!B230 = "", "", IF('6 - TV Stands &amp; Enterta-WUO_ERR'!A230 = "", "Validated", HYPERLINK("#" &amp; ADDRESS(230, '6 - TV Stands &amp; Enterta-WUO_TRK'!A230),_xlfn.TEXTAFTER('6 - TV Stands &amp; Enterta-WUO_ERR'!A230, ":"))))</f>
        <v/>
      </c>
    </row>
    <row r="231">
      <c r="A231" s="38">
        <f>IF('6 - TV Stands &amp; Enterta'!B231 = "", "", IF('6 - TV Stands &amp; Enterta-WUO_ERR'!A231 = "", "Validated", HYPERLINK("#" &amp; ADDRESS(231, '6 - TV Stands &amp; Enterta-WUO_TRK'!A231),_xlfn.TEXTAFTER('6 - TV Stands &amp; Enterta-WUO_ERR'!A231, ":"))))</f>
        <v/>
      </c>
    </row>
    <row r="232">
      <c r="A232" s="38">
        <f>IF('6 - TV Stands &amp; Enterta'!B232 = "", "", IF('6 - TV Stands &amp; Enterta-WUO_ERR'!A232 = "", "Validated", HYPERLINK("#" &amp; ADDRESS(232, '6 - TV Stands &amp; Enterta-WUO_TRK'!A232),_xlfn.TEXTAFTER('6 - TV Stands &amp; Enterta-WUO_ERR'!A232, ":"))))</f>
        <v/>
      </c>
    </row>
    <row r="233">
      <c r="A233" s="38">
        <f>IF('6 - TV Stands &amp; Enterta'!B233 = "", "", IF('6 - TV Stands &amp; Enterta-WUO_ERR'!A233 = "", "Validated", HYPERLINK("#" &amp; ADDRESS(233, '6 - TV Stands &amp; Enterta-WUO_TRK'!A233),_xlfn.TEXTAFTER('6 - TV Stands &amp; Enterta-WUO_ERR'!A233, ":"))))</f>
        <v/>
      </c>
    </row>
    <row r="234">
      <c r="A234" s="38">
        <f>IF('6 - TV Stands &amp; Enterta'!B234 = "", "", IF('6 - TV Stands &amp; Enterta-WUO_ERR'!A234 = "", "Validated", HYPERLINK("#" &amp; ADDRESS(234, '6 - TV Stands &amp; Enterta-WUO_TRK'!A234),_xlfn.TEXTAFTER('6 - TV Stands &amp; Enterta-WUO_ERR'!A234, ":"))))</f>
        <v/>
      </c>
    </row>
    <row r="235">
      <c r="A235" s="38">
        <f>IF('6 - TV Stands &amp; Enterta'!B235 = "", "", IF('6 - TV Stands &amp; Enterta-WUO_ERR'!A235 = "", "Validated", HYPERLINK("#" &amp; ADDRESS(235, '6 - TV Stands &amp; Enterta-WUO_TRK'!A235),_xlfn.TEXTAFTER('6 - TV Stands &amp; Enterta-WUO_ERR'!A235, ":"))))</f>
        <v/>
      </c>
    </row>
    <row r="236">
      <c r="A236" s="38">
        <f>IF('6 - TV Stands &amp; Enterta'!B236 = "", "", IF('6 - TV Stands &amp; Enterta-WUO_ERR'!A236 = "", "Validated", HYPERLINK("#" &amp; ADDRESS(236, '6 - TV Stands &amp; Enterta-WUO_TRK'!A236),_xlfn.TEXTAFTER('6 - TV Stands &amp; Enterta-WUO_ERR'!A236, ":"))))</f>
        <v/>
      </c>
    </row>
    <row r="237">
      <c r="A237" s="38">
        <f>IF('6 - TV Stands &amp; Enterta'!B237 = "", "", IF('6 - TV Stands &amp; Enterta-WUO_ERR'!A237 = "", "Validated", HYPERLINK("#" &amp; ADDRESS(237, '6 - TV Stands &amp; Enterta-WUO_TRK'!A237),_xlfn.TEXTAFTER('6 - TV Stands &amp; Enterta-WUO_ERR'!A237, ":"))))</f>
        <v/>
      </c>
    </row>
    <row r="238">
      <c r="A238" s="38">
        <f>IF('6 - TV Stands &amp; Enterta'!B238 = "", "", IF('6 - TV Stands &amp; Enterta-WUO_ERR'!A238 = "", "Validated", HYPERLINK("#" &amp; ADDRESS(238, '6 - TV Stands &amp; Enterta-WUO_TRK'!A238),_xlfn.TEXTAFTER('6 - TV Stands &amp; Enterta-WUO_ERR'!A238, ":"))))</f>
        <v/>
      </c>
    </row>
    <row r="239">
      <c r="A239" s="38">
        <f>IF('6 - TV Stands &amp; Enterta'!B239 = "", "", IF('6 - TV Stands &amp; Enterta-WUO_ERR'!A239 = "", "Validated", HYPERLINK("#" &amp; ADDRESS(239, '6 - TV Stands &amp; Enterta-WUO_TRK'!A239),_xlfn.TEXTAFTER('6 - TV Stands &amp; Enterta-WUO_ERR'!A239, ":"))))</f>
        <v/>
      </c>
    </row>
    <row r="240">
      <c r="A240" s="38">
        <f>IF('6 - TV Stands &amp; Enterta'!B240 = "", "", IF('6 - TV Stands &amp; Enterta-WUO_ERR'!A240 = "", "Validated", HYPERLINK("#" &amp; ADDRESS(240, '6 - TV Stands &amp; Enterta-WUO_TRK'!A240),_xlfn.TEXTAFTER('6 - TV Stands &amp; Enterta-WUO_ERR'!A240, ":"))))</f>
        <v/>
      </c>
    </row>
    <row r="241">
      <c r="A241" s="38">
        <f>IF('6 - TV Stands &amp; Enterta'!B241 = "", "", IF('6 - TV Stands &amp; Enterta-WUO_ERR'!A241 = "", "Validated", HYPERLINK("#" &amp; ADDRESS(241, '6 - TV Stands &amp; Enterta-WUO_TRK'!A241),_xlfn.TEXTAFTER('6 - TV Stands &amp; Enterta-WUO_ERR'!A241, ":"))))</f>
        <v/>
      </c>
    </row>
    <row r="242">
      <c r="A242" s="38">
        <f>IF('6 - TV Stands &amp; Enterta'!B242 = "", "", IF('6 - TV Stands &amp; Enterta-WUO_ERR'!A242 = "", "Validated", HYPERLINK("#" &amp; ADDRESS(242, '6 - TV Stands &amp; Enterta-WUO_TRK'!A242),_xlfn.TEXTAFTER('6 - TV Stands &amp; Enterta-WUO_ERR'!A242, ":"))))</f>
        <v/>
      </c>
    </row>
    <row r="243">
      <c r="A243" s="38">
        <f>IF('6 - TV Stands &amp; Enterta'!B243 = "", "", IF('6 - TV Stands &amp; Enterta-WUO_ERR'!A243 = "", "Validated", HYPERLINK("#" &amp; ADDRESS(243, '6 - TV Stands &amp; Enterta-WUO_TRK'!A243),_xlfn.TEXTAFTER('6 - TV Stands &amp; Enterta-WUO_ERR'!A243, ":"))))</f>
        <v/>
      </c>
    </row>
    <row r="244">
      <c r="A244" s="38">
        <f>IF('6 - TV Stands &amp; Enterta'!B244 = "", "", IF('6 - TV Stands &amp; Enterta-WUO_ERR'!A244 = "", "Validated", HYPERLINK("#" &amp; ADDRESS(244, '6 - TV Stands &amp; Enterta-WUO_TRK'!A244),_xlfn.TEXTAFTER('6 - TV Stands &amp; Enterta-WUO_ERR'!A244, ":"))))</f>
        <v/>
      </c>
    </row>
    <row r="245">
      <c r="A245" s="38">
        <f>IF('6 - TV Stands &amp; Enterta'!B245 = "", "", IF('6 - TV Stands &amp; Enterta-WUO_ERR'!A245 = "", "Validated", HYPERLINK("#" &amp; ADDRESS(245, '6 - TV Stands &amp; Enterta-WUO_TRK'!A245),_xlfn.TEXTAFTER('6 - TV Stands &amp; Enterta-WUO_ERR'!A245, ":"))))</f>
        <v/>
      </c>
    </row>
    <row r="246">
      <c r="A246" s="38">
        <f>IF('6 - TV Stands &amp; Enterta'!B246 = "", "", IF('6 - TV Stands &amp; Enterta-WUO_ERR'!A246 = "", "Validated", HYPERLINK("#" &amp; ADDRESS(246, '6 - TV Stands &amp; Enterta-WUO_TRK'!A246),_xlfn.TEXTAFTER('6 - TV Stands &amp; Enterta-WUO_ERR'!A246, ":"))))</f>
        <v/>
      </c>
    </row>
    <row r="247">
      <c r="A247" s="38">
        <f>IF('6 - TV Stands &amp; Enterta'!B247 = "", "", IF('6 - TV Stands &amp; Enterta-WUO_ERR'!A247 = "", "Validated", HYPERLINK("#" &amp; ADDRESS(247, '6 - TV Stands &amp; Enterta-WUO_TRK'!A247),_xlfn.TEXTAFTER('6 - TV Stands &amp; Enterta-WUO_ERR'!A247, ":"))))</f>
        <v/>
      </c>
    </row>
    <row r="248">
      <c r="A248" s="38">
        <f>IF('6 - TV Stands &amp; Enterta'!B248 = "", "", IF('6 - TV Stands &amp; Enterta-WUO_ERR'!A248 = "", "Validated", HYPERLINK("#" &amp; ADDRESS(248, '6 - TV Stands &amp; Enterta-WUO_TRK'!A248),_xlfn.TEXTAFTER('6 - TV Stands &amp; Enterta-WUO_ERR'!A248, ":"))))</f>
        <v/>
      </c>
    </row>
    <row r="249">
      <c r="A249" s="38">
        <f>IF('6 - TV Stands &amp; Enterta'!B249 = "", "", IF('6 - TV Stands &amp; Enterta-WUO_ERR'!A249 = "", "Validated", HYPERLINK("#" &amp; ADDRESS(249, '6 - TV Stands &amp; Enterta-WUO_TRK'!A249),_xlfn.TEXTAFTER('6 - TV Stands &amp; Enterta-WUO_ERR'!A249, ":"))))</f>
        <v/>
      </c>
    </row>
    <row r="250">
      <c r="A250" s="38">
        <f>IF('6 - TV Stands &amp; Enterta'!B250 = "", "", IF('6 - TV Stands &amp; Enterta-WUO_ERR'!A250 = "", "Validated", HYPERLINK("#" &amp; ADDRESS(250, '6 - TV Stands &amp; Enterta-WUO_TRK'!A250),_xlfn.TEXTAFTER('6 - TV Stands &amp; Enterta-WUO_ERR'!A250, ":"))))</f>
        <v/>
      </c>
    </row>
    <row r="251">
      <c r="A251" s="38">
        <f>IF('6 - TV Stands &amp; Enterta'!B251 = "", "", IF('6 - TV Stands &amp; Enterta-WUO_ERR'!A251 = "", "Validated", HYPERLINK("#" &amp; ADDRESS(251, '6 - TV Stands &amp; Enterta-WUO_TRK'!A251),_xlfn.TEXTAFTER('6 - TV Stands &amp; Enterta-WUO_ERR'!A251, ":"))))</f>
        <v/>
      </c>
    </row>
    <row r="252">
      <c r="A252" s="38">
        <f>IF('6 - TV Stands &amp; Enterta'!B252 = "", "", IF('6 - TV Stands &amp; Enterta-WUO_ERR'!A252 = "", "Validated", HYPERLINK("#" &amp; ADDRESS(252, '6 - TV Stands &amp; Enterta-WUO_TRK'!A252),_xlfn.TEXTAFTER('6 - TV Stands &amp; Enterta-WUO_ERR'!A252, ":"))))</f>
        <v/>
      </c>
    </row>
    <row r="253">
      <c r="A253" s="38">
        <f>IF('6 - TV Stands &amp; Enterta'!B253 = "", "", IF('6 - TV Stands &amp; Enterta-WUO_ERR'!A253 = "", "Validated", HYPERLINK("#" &amp; ADDRESS(253, '6 - TV Stands &amp; Enterta-WUO_TRK'!A253),_xlfn.TEXTAFTER('6 - TV Stands &amp; Enterta-WUO_ERR'!A253, ":"))))</f>
        <v/>
      </c>
    </row>
    <row r="254">
      <c r="A254" s="38">
        <f>IF('6 - TV Stands &amp; Enterta'!B254 = "", "", IF('6 - TV Stands &amp; Enterta-WUO_ERR'!A254 = "", "Validated", HYPERLINK("#" &amp; ADDRESS(254, '6 - TV Stands &amp; Enterta-WUO_TRK'!A254),_xlfn.TEXTAFTER('6 - TV Stands &amp; Enterta-WUO_ERR'!A254, ":"))))</f>
        <v/>
      </c>
    </row>
    <row r="255">
      <c r="A255" s="38">
        <f>IF('6 - TV Stands &amp; Enterta'!B255 = "", "", IF('6 - TV Stands &amp; Enterta-WUO_ERR'!A255 = "", "Validated", HYPERLINK("#" &amp; ADDRESS(255, '6 - TV Stands &amp; Enterta-WUO_TRK'!A255),_xlfn.TEXTAFTER('6 - TV Stands &amp; Enterta-WUO_ERR'!A255, ":"))))</f>
        <v/>
      </c>
    </row>
    <row r="256">
      <c r="A256" s="38">
        <f>IF('6 - TV Stands &amp; Enterta'!B256 = "", "", IF('6 - TV Stands &amp; Enterta-WUO_ERR'!A256 = "", "Validated", HYPERLINK("#" &amp; ADDRESS(256, '6 - TV Stands &amp; Enterta-WUO_TRK'!A256),_xlfn.TEXTAFTER('6 - TV Stands &amp; Enterta-WUO_ERR'!A256, ":"))))</f>
        <v/>
      </c>
    </row>
    <row r="257">
      <c r="A257" s="38">
        <f>IF('6 - TV Stands &amp; Enterta'!B257 = "", "", IF('6 - TV Stands &amp; Enterta-WUO_ERR'!A257 = "", "Validated", HYPERLINK("#" &amp; ADDRESS(257, '6 - TV Stands &amp; Enterta-WUO_TRK'!A257),_xlfn.TEXTAFTER('6 - TV Stands &amp; Enterta-WUO_ERR'!A257, ":"))))</f>
        <v/>
      </c>
    </row>
    <row r="258">
      <c r="A258" s="38">
        <f>IF('6 - TV Stands &amp; Enterta'!B258 = "", "", IF('6 - TV Stands &amp; Enterta-WUO_ERR'!A258 = "", "Validated", HYPERLINK("#" &amp; ADDRESS(258, '6 - TV Stands &amp; Enterta-WUO_TRK'!A258),_xlfn.TEXTAFTER('6 - TV Stands &amp; Enterta-WUO_ERR'!A258, ":"))))</f>
        <v/>
      </c>
    </row>
    <row r="259">
      <c r="A259" s="38">
        <f>IF('6 - TV Stands &amp; Enterta'!B259 = "", "", IF('6 - TV Stands &amp; Enterta-WUO_ERR'!A259 = "", "Validated", HYPERLINK("#" &amp; ADDRESS(259, '6 - TV Stands &amp; Enterta-WUO_TRK'!A259),_xlfn.TEXTAFTER('6 - TV Stands &amp; Enterta-WUO_ERR'!A259, ":"))))</f>
        <v/>
      </c>
    </row>
    <row r="260">
      <c r="A260" s="38">
        <f>IF('6 - TV Stands &amp; Enterta'!B260 = "", "", IF('6 - TV Stands &amp; Enterta-WUO_ERR'!A260 = "", "Validated", HYPERLINK("#" &amp; ADDRESS(260, '6 - TV Stands &amp; Enterta-WUO_TRK'!A260),_xlfn.TEXTAFTER('6 - TV Stands &amp; Enterta-WUO_ERR'!A260, ":"))))</f>
        <v/>
      </c>
    </row>
    <row r="261">
      <c r="A261" s="38">
        <f>IF('6 - TV Stands &amp; Enterta'!B261 = "", "", IF('6 - TV Stands &amp; Enterta-WUO_ERR'!A261 = "", "Validated", HYPERLINK("#" &amp; ADDRESS(261, '6 - TV Stands &amp; Enterta-WUO_TRK'!A261),_xlfn.TEXTAFTER('6 - TV Stands &amp; Enterta-WUO_ERR'!A261, ":"))))</f>
        <v/>
      </c>
    </row>
    <row r="262">
      <c r="A262" s="38">
        <f>IF('6 - TV Stands &amp; Enterta'!B262 = "", "", IF('6 - TV Stands &amp; Enterta-WUO_ERR'!A262 = "", "Validated", HYPERLINK("#" &amp; ADDRESS(262, '6 - TV Stands &amp; Enterta-WUO_TRK'!A262),_xlfn.TEXTAFTER('6 - TV Stands &amp; Enterta-WUO_ERR'!A262, ":"))))</f>
        <v/>
      </c>
    </row>
    <row r="263">
      <c r="A263" s="38">
        <f>IF('6 - TV Stands &amp; Enterta'!B263 = "", "", IF('6 - TV Stands &amp; Enterta-WUO_ERR'!A263 = "", "Validated", HYPERLINK("#" &amp; ADDRESS(263, '6 - TV Stands &amp; Enterta-WUO_TRK'!A263),_xlfn.TEXTAFTER('6 - TV Stands &amp; Enterta-WUO_ERR'!A263, ":"))))</f>
        <v/>
      </c>
    </row>
    <row r="264">
      <c r="A264" s="38">
        <f>IF('6 - TV Stands &amp; Enterta'!B264 = "", "", IF('6 - TV Stands &amp; Enterta-WUO_ERR'!A264 = "", "Validated", HYPERLINK("#" &amp; ADDRESS(264, '6 - TV Stands &amp; Enterta-WUO_TRK'!A264),_xlfn.TEXTAFTER('6 - TV Stands &amp; Enterta-WUO_ERR'!A264, ":"))))</f>
        <v/>
      </c>
    </row>
    <row r="265">
      <c r="A265" s="38">
        <f>IF('6 - TV Stands &amp; Enterta'!B265 = "", "", IF('6 - TV Stands &amp; Enterta-WUO_ERR'!A265 = "", "Validated", HYPERLINK("#" &amp; ADDRESS(265, '6 - TV Stands &amp; Enterta-WUO_TRK'!A265),_xlfn.TEXTAFTER('6 - TV Stands &amp; Enterta-WUO_ERR'!A265, ":"))))</f>
        <v/>
      </c>
    </row>
    <row r="266">
      <c r="A266" s="38">
        <f>IF('6 - TV Stands &amp; Enterta'!B266 = "", "", IF('6 - TV Stands &amp; Enterta-WUO_ERR'!A266 = "", "Validated", HYPERLINK("#" &amp; ADDRESS(266, '6 - TV Stands &amp; Enterta-WUO_TRK'!A266),_xlfn.TEXTAFTER('6 - TV Stands &amp; Enterta-WUO_ERR'!A266, ":"))))</f>
        <v/>
      </c>
    </row>
    <row r="267">
      <c r="A267" s="38">
        <f>IF('6 - TV Stands &amp; Enterta'!B267 = "", "", IF('6 - TV Stands &amp; Enterta-WUO_ERR'!A267 = "", "Validated", HYPERLINK("#" &amp; ADDRESS(267, '6 - TV Stands &amp; Enterta-WUO_TRK'!A267),_xlfn.TEXTAFTER('6 - TV Stands &amp; Enterta-WUO_ERR'!A267, ":"))))</f>
        <v/>
      </c>
    </row>
    <row r="268">
      <c r="A268" s="38">
        <f>IF('6 - TV Stands &amp; Enterta'!B268 = "", "", IF('6 - TV Stands &amp; Enterta-WUO_ERR'!A268 = "", "Validated", HYPERLINK("#" &amp; ADDRESS(268, '6 - TV Stands &amp; Enterta-WUO_TRK'!A268),_xlfn.TEXTAFTER('6 - TV Stands &amp; Enterta-WUO_ERR'!A268, ":"))))</f>
        <v/>
      </c>
    </row>
    <row r="269">
      <c r="A269" s="38">
        <f>IF('6 - TV Stands &amp; Enterta'!B269 = "", "", IF('6 - TV Stands &amp; Enterta-WUO_ERR'!A269 = "", "Validated", HYPERLINK("#" &amp; ADDRESS(269, '6 - TV Stands &amp; Enterta-WUO_TRK'!A269),_xlfn.TEXTAFTER('6 - TV Stands &amp; Enterta-WUO_ERR'!A269, ":"))))</f>
        <v/>
      </c>
    </row>
    <row r="270">
      <c r="A270" s="38">
        <f>IF('6 - TV Stands &amp; Enterta'!B270 = "", "", IF('6 - TV Stands &amp; Enterta-WUO_ERR'!A270 = "", "Validated", HYPERLINK("#" &amp; ADDRESS(270, '6 - TV Stands &amp; Enterta-WUO_TRK'!A270),_xlfn.TEXTAFTER('6 - TV Stands &amp; Enterta-WUO_ERR'!A270, ":"))))</f>
        <v/>
      </c>
    </row>
    <row r="271">
      <c r="A271" s="38">
        <f>IF('6 - TV Stands &amp; Enterta'!B271 = "", "", IF('6 - TV Stands &amp; Enterta-WUO_ERR'!A271 = "", "Validated", HYPERLINK("#" &amp; ADDRESS(271, '6 - TV Stands &amp; Enterta-WUO_TRK'!A271),_xlfn.TEXTAFTER('6 - TV Stands &amp; Enterta-WUO_ERR'!A271, ":"))))</f>
        <v/>
      </c>
    </row>
    <row r="272">
      <c r="A272" s="38">
        <f>IF('6 - TV Stands &amp; Enterta'!B272 = "", "", IF('6 - TV Stands &amp; Enterta-WUO_ERR'!A272 = "", "Validated", HYPERLINK("#" &amp; ADDRESS(272, '6 - TV Stands &amp; Enterta-WUO_TRK'!A272),_xlfn.TEXTAFTER('6 - TV Stands &amp; Enterta-WUO_ERR'!A272, ":"))))</f>
        <v/>
      </c>
    </row>
    <row r="273">
      <c r="A273" s="38">
        <f>IF('6 - TV Stands &amp; Enterta'!B273 = "", "", IF('6 - TV Stands &amp; Enterta-WUO_ERR'!A273 = "", "Validated", HYPERLINK("#" &amp; ADDRESS(273, '6 - TV Stands &amp; Enterta-WUO_TRK'!A273),_xlfn.TEXTAFTER('6 - TV Stands &amp; Enterta-WUO_ERR'!A273, ":"))))</f>
        <v/>
      </c>
    </row>
    <row r="274">
      <c r="A274" s="38">
        <f>IF('6 - TV Stands &amp; Enterta'!B274 = "", "", IF('6 - TV Stands &amp; Enterta-WUO_ERR'!A274 = "", "Validated", HYPERLINK("#" &amp; ADDRESS(274, '6 - TV Stands &amp; Enterta-WUO_TRK'!A274),_xlfn.TEXTAFTER('6 - TV Stands &amp; Enterta-WUO_ERR'!A274, ":"))))</f>
        <v/>
      </c>
    </row>
    <row r="275">
      <c r="A275" s="38">
        <f>IF('6 - TV Stands &amp; Enterta'!B275 = "", "", IF('6 - TV Stands &amp; Enterta-WUO_ERR'!A275 = "", "Validated", HYPERLINK("#" &amp; ADDRESS(275, '6 - TV Stands &amp; Enterta-WUO_TRK'!A275),_xlfn.TEXTAFTER('6 - TV Stands &amp; Enterta-WUO_ERR'!A275, ":"))))</f>
        <v/>
      </c>
    </row>
    <row r="276">
      <c r="A276" s="38">
        <f>IF('6 - TV Stands &amp; Enterta'!B276 = "", "", IF('6 - TV Stands &amp; Enterta-WUO_ERR'!A276 = "", "Validated", HYPERLINK("#" &amp; ADDRESS(276, '6 - TV Stands &amp; Enterta-WUO_TRK'!A276),_xlfn.TEXTAFTER('6 - TV Stands &amp; Enterta-WUO_ERR'!A276, ":"))))</f>
        <v/>
      </c>
    </row>
    <row r="277">
      <c r="A277" s="38">
        <f>IF('6 - TV Stands &amp; Enterta'!B277 = "", "", IF('6 - TV Stands &amp; Enterta-WUO_ERR'!A277 = "", "Validated", HYPERLINK("#" &amp; ADDRESS(277, '6 - TV Stands &amp; Enterta-WUO_TRK'!A277),_xlfn.TEXTAFTER('6 - TV Stands &amp; Enterta-WUO_ERR'!A277, ":"))))</f>
        <v/>
      </c>
    </row>
    <row r="278">
      <c r="A278" s="38">
        <f>IF('6 - TV Stands &amp; Enterta'!B278 = "", "", IF('6 - TV Stands &amp; Enterta-WUO_ERR'!A278 = "", "Validated", HYPERLINK("#" &amp; ADDRESS(278, '6 - TV Stands &amp; Enterta-WUO_TRK'!A278),_xlfn.TEXTAFTER('6 - TV Stands &amp; Enterta-WUO_ERR'!A278, ":"))))</f>
        <v/>
      </c>
    </row>
    <row r="279">
      <c r="A279" s="38">
        <f>IF('6 - TV Stands &amp; Enterta'!B279 = "", "", IF('6 - TV Stands &amp; Enterta-WUO_ERR'!A279 = "", "Validated", HYPERLINK("#" &amp; ADDRESS(279, '6 - TV Stands &amp; Enterta-WUO_TRK'!A279),_xlfn.TEXTAFTER('6 - TV Stands &amp; Enterta-WUO_ERR'!A279, ":"))))</f>
        <v/>
      </c>
    </row>
    <row r="280">
      <c r="A280" s="38">
        <f>IF('6 - TV Stands &amp; Enterta'!B280 = "", "", IF('6 - TV Stands &amp; Enterta-WUO_ERR'!A280 = "", "Validated", HYPERLINK("#" &amp; ADDRESS(280, '6 - TV Stands &amp; Enterta-WUO_TRK'!A280),_xlfn.TEXTAFTER('6 - TV Stands &amp; Enterta-WUO_ERR'!A280, ":"))))</f>
        <v/>
      </c>
    </row>
    <row r="281">
      <c r="A281" s="38">
        <f>IF('6 - TV Stands &amp; Enterta'!B281 = "", "", IF('6 - TV Stands &amp; Enterta-WUO_ERR'!A281 = "", "Validated", HYPERLINK("#" &amp; ADDRESS(281, '6 - TV Stands &amp; Enterta-WUO_TRK'!A281),_xlfn.TEXTAFTER('6 - TV Stands &amp; Enterta-WUO_ERR'!A281, ":"))))</f>
        <v/>
      </c>
    </row>
    <row r="282">
      <c r="A282" s="38">
        <f>IF('6 - TV Stands &amp; Enterta'!B282 = "", "", IF('6 - TV Stands &amp; Enterta-WUO_ERR'!A282 = "", "Validated", HYPERLINK("#" &amp; ADDRESS(282, '6 - TV Stands &amp; Enterta-WUO_TRK'!A282),_xlfn.TEXTAFTER('6 - TV Stands &amp; Enterta-WUO_ERR'!A282, ":"))))</f>
        <v/>
      </c>
    </row>
    <row r="283">
      <c r="A283" s="38">
        <f>IF('6 - TV Stands &amp; Enterta'!B283 = "", "", IF('6 - TV Stands &amp; Enterta-WUO_ERR'!A283 = "", "Validated", HYPERLINK("#" &amp; ADDRESS(283, '6 - TV Stands &amp; Enterta-WUO_TRK'!A283),_xlfn.TEXTAFTER('6 - TV Stands &amp; Enterta-WUO_ERR'!A283, ":"))))</f>
        <v/>
      </c>
    </row>
    <row r="284">
      <c r="A284" s="38">
        <f>IF('6 - TV Stands &amp; Enterta'!B284 = "", "", IF('6 - TV Stands &amp; Enterta-WUO_ERR'!A284 = "", "Validated", HYPERLINK("#" &amp; ADDRESS(284, '6 - TV Stands &amp; Enterta-WUO_TRK'!A284),_xlfn.TEXTAFTER('6 - TV Stands &amp; Enterta-WUO_ERR'!A284, ":"))))</f>
        <v/>
      </c>
    </row>
    <row r="285">
      <c r="A285" s="38">
        <f>IF('6 - TV Stands &amp; Enterta'!B285 = "", "", IF('6 - TV Stands &amp; Enterta-WUO_ERR'!A285 = "", "Validated", HYPERLINK("#" &amp; ADDRESS(285, '6 - TV Stands &amp; Enterta-WUO_TRK'!A285),_xlfn.TEXTAFTER('6 - TV Stands &amp; Enterta-WUO_ERR'!A285, ":"))))</f>
        <v/>
      </c>
    </row>
    <row r="286">
      <c r="A286" s="38">
        <f>IF('6 - TV Stands &amp; Enterta'!B286 = "", "", IF('6 - TV Stands &amp; Enterta-WUO_ERR'!A286 = "", "Validated", HYPERLINK("#" &amp; ADDRESS(286, '6 - TV Stands &amp; Enterta-WUO_TRK'!A286),_xlfn.TEXTAFTER('6 - TV Stands &amp; Enterta-WUO_ERR'!A286, ":"))))</f>
        <v/>
      </c>
    </row>
    <row r="287">
      <c r="A287" s="38">
        <f>IF('6 - TV Stands &amp; Enterta'!B287 = "", "", IF('6 - TV Stands &amp; Enterta-WUO_ERR'!A287 = "", "Validated", HYPERLINK("#" &amp; ADDRESS(287, '6 - TV Stands &amp; Enterta-WUO_TRK'!A287),_xlfn.TEXTAFTER('6 - TV Stands &amp; Enterta-WUO_ERR'!A287, ":"))))</f>
        <v/>
      </c>
    </row>
    <row r="288">
      <c r="A288" s="38">
        <f>IF('6 - TV Stands &amp; Enterta'!B288 = "", "", IF('6 - TV Stands &amp; Enterta-WUO_ERR'!A288 = "", "Validated", HYPERLINK("#" &amp; ADDRESS(288, '6 - TV Stands &amp; Enterta-WUO_TRK'!A288),_xlfn.TEXTAFTER('6 - TV Stands &amp; Enterta-WUO_ERR'!A288, ":"))))</f>
        <v/>
      </c>
    </row>
    <row r="289">
      <c r="A289" s="38">
        <f>IF('6 - TV Stands &amp; Enterta'!B289 = "", "", IF('6 - TV Stands &amp; Enterta-WUO_ERR'!A289 = "", "Validated", HYPERLINK("#" &amp; ADDRESS(289, '6 - TV Stands &amp; Enterta-WUO_TRK'!A289),_xlfn.TEXTAFTER('6 - TV Stands &amp; Enterta-WUO_ERR'!A289, ":"))))</f>
        <v/>
      </c>
    </row>
    <row r="290">
      <c r="A290" s="38">
        <f>IF('6 - TV Stands &amp; Enterta'!B290 = "", "", IF('6 - TV Stands &amp; Enterta-WUO_ERR'!A290 = "", "Validated", HYPERLINK("#" &amp; ADDRESS(290, '6 - TV Stands &amp; Enterta-WUO_TRK'!A290),_xlfn.TEXTAFTER('6 - TV Stands &amp; Enterta-WUO_ERR'!A290, ":"))))</f>
        <v/>
      </c>
    </row>
    <row r="291">
      <c r="A291" s="38">
        <f>IF('6 - TV Stands &amp; Enterta'!B291 = "", "", IF('6 - TV Stands &amp; Enterta-WUO_ERR'!A291 = "", "Validated", HYPERLINK("#" &amp; ADDRESS(291, '6 - TV Stands &amp; Enterta-WUO_TRK'!A291),_xlfn.TEXTAFTER('6 - TV Stands &amp; Enterta-WUO_ERR'!A291, ":"))))</f>
        <v/>
      </c>
    </row>
    <row r="292">
      <c r="A292" s="38">
        <f>IF('6 - TV Stands &amp; Enterta'!B292 = "", "", IF('6 - TV Stands &amp; Enterta-WUO_ERR'!A292 = "", "Validated", HYPERLINK("#" &amp; ADDRESS(292, '6 - TV Stands &amp; Enterta-WUO_TRK'!A292),_xlfn.TEXTAFTER('6 - TV Stands &amp; Enterta-WUO_ERR'!A292, ":"))))</f>
        <v/>
      </c>
    </row>
    <row r="293">
      <c r="A293" s="38">
        <f>IF('6 - TV Stands &amp; Enterta'!B293 = "", "", IF('6 - TV Stands &amp; Enterta-WUO_ERR'!A293 = "", "Validated", HYPERLINK("#" &amp; ADDRESS(293, '6 - TV Stands &amp; Enterta-WUO_TRK'!A293),_xlfn.TEXTAFTER('6 - TV Stands &amp; Enterta-WUO_ERR'!A293, ":"))))</f>
        <v/>
      </c>
    </row>
    <row r="294">
      <c r="A294" s="38">
        <f>IF('6 - TV Stands &amp; Enterta'!B294 = "", "", IF('6 - TV Stands &amp; Enterta-WUO_ERR'!A294 = "", "Validated", HYPERLINK("#" &amp; ADDRESS(294, '6 - TV Stands &amp; Enterta-WUO_TRK'!A294),_xlfn.TEXTAFTER('6 - TV Stands &amp; Enterta-WUO_ERR'!A294, ":"))))</f>
        <v/>
      </c>
    </row>
    <row r="295">
      <c r="A295" s="38">
        <f>IF('6 - TV Stands &amp; Enterta'!B295 = "", "", IF('6 - TV Stands &amp; Enterta-WUO_ERR'!A295 = "", "Validated", HYPERLINK("#" &amp; ADDRESS(295, '6 - TV Stands &amp; Enterta-WUO_TRK'!A295),_xlfn.TEXTAFTER('6 - TV Stands &amp; Enterta-WUO_ERR'!A295, ":"))))</f>
        <v/>
      </c>
    </row>
    <row r="296">
      <c r="A296" s="38">
        <f>IF('6 - TV Stands &amp; Enterta'!B296 = "", "", IF('6 - TV Stands &amp; Enterta-WUO_ERR'!A296 = "", "Validated", HYPERLINK("#" &amp; ADDRESS(296, '6 - TV Stands &amp; Enterta-WUO_TRK'!A296),_xlfn.TEXTAFTER('6 - TV Stands &amp; Enterta-WUO_ERR'!A296, ":"))))</f>
        <v/>
      </c>
    </row>
    <row r="297">
      <c r="A297" s="38">
        <f>IF('6 - TV Stands &amp; Enterta'!B297 = "", "", IF('6 - TV Stands &amp; Enterta-WUO_ERR'!A297 = "", "Validated", HYPERLINK("#" &amp; ADDRESS(297, '6 - TV Stands &amp; Enterta-WUO_TRK'!A297),_xlfn.TEXTAFTER('6 - TV Stands &amp; Enterta-WUO_ERR'!A297, ":"))))</f>
        <v/>
      </c>
    </row>
    <row r="298">
      <c r="A298" s="38">
        <f>IF('6 - TV Stands &amp; Enterta'!B298 = "", "", IF('6 - TV Stands &amp; Enterta-WUO_ERR'!A298 = "", "Validated", HYPERLINK("#" &amp; ADDRESS(298, '6 - TV Stands &amp; Enterta-WUO_TRK'!A298),_xlfn.TEXTAFTER('6 - TV Stands &amp; Enterta-WUO_ERR'!A298, ":"))))</f>
        <v/>
      </c>
    </row>
    <row r="299">
      <c r="A299" s="38">
        <f>IF('6 - TV Stands &amp; Enterta'!B299 = "", "", IF('6 - TV Stands &amp; Enterta-WUO_ERR'!A299 = "", "Validated", HYPERLINK("#" &amp; ADDRESS(299, '6 - TV Stands &amp; Enterta-WUO_TRK'!A299),_xlfn.TEXTAFTER('6 - TV Stands &amp; Enterta-WUO_ERR'!A299, ":"))))</f>
        <v/>
      </c>
    </row>
    <row r="300">
      <c r="A300" s="38">
        <f>IF('6 - TV Stands &amp; Enterta'!B300 = "", "", IF('6 - TV Stands &amp; Enterta-WUO_ERR'!A300 = "", "Validated", HYPERLINK("#" &amp; ADDRESS(300, '6 - TV Stands &amp; Enterta-WUO_TRK'!A300),_xlfn.TEXTAFTER('6 - TV Stands &amp; Enterta-WUO_ERR'!A300, ":"))))</f>
        <v/>
      </c>
    </row>
    <row r="301">
      <c r="A301" s="38">
        <f>IF('6 - TV Stands &amp; Enterta'!B301 = "", "", IF('6 - TV Stands &amp; Enterta-WUO_ERR'!A301 = "", "Validated", HYPERLINK("#" &amp; ADDRESS(301, '6 - TV Stands &amp; Enterta-WUO_TRK'!A301),_xlfn.TEXTAFTER('6 - TV Stands &amp; Enterta-WUO_ERR'!A301, ":"))))</f>
        <v/>
      </c>
    </row>
    <row r="302">
      <c r="A302" s="38">
        <f>IF('6 - TV Stands &amp; Enterta'!B302 = "", "", IF('6 - TV Stands &amp; Enterta-WUO_ERR'!A302 = "", "Validated", HYPERLINK("#" &amp; ADDRESS(302, '6 - TV Stands &amp; Enterta-WUO_TRK'!A302),_xlfn.TEXTAFTER('6 - TV Stands &amp; Enterta-WUO_ERR'!A302, ":"))))</f>
        <v/>
      </c>
    </row>
    <row r="303">
      <c r="A303" s="38">
        <f>IF('6 - TV Stands &amp; Enterta'!B303 = "", "", IF('6 - TV Stands &amp; Enterta-WUO_ERR'!A303 = "", "Validated", HYPERLINK("#" &amp; ADDRESS(303, '6 - TV Stands &amp; Enterta-WUO_TRK'!A303),_xlfn.TEXTAFTER('6 - TV Stands &amp; Enterta-WUO_ERR'!A303, ":"))))</f>
        <v/>
      </c>
    </row>
    <row r="304">
      <c r="A304" s="38">
        <f>IF('6 - TV Stands &amp; Enterta'!B304 = "", "", IF('6 - TV Stands &amp; Enterta-WUO_ERR'!A304 = "", "Validated", HYPERLINK("#" &amp; ADDRESS(304, '6 - TV Stands &amp; Enterta-WUO_TRK'!A304),_xlfn.TEXTAFTER('6 - TV Stands &amp; Enterta-WUO_ERR'!A304, ":"))))</f>
        <v/>
      </c>
    </row>
    <row r="305">
      <c r="A305" s="38">
        <f>IF('6 - TV Stands &amp; Enterta'!B305 = "", "", IF('6 - TV Stands &amp; Enterta-WUO_ERR'!A305 = "", "Validated", HYPERLINK("#" &amp; ADDRESS(305, '6 - TV Stands &amp; Enterta-WUO_TRK'!A305),_xlfn.TEXTAFTER('6 - TV Stands &amp; Enterta-WUO_ERR'!A305, ":"))))</f>
        <v/>
      </c>
    </row>
    <row r="306">
      <c r="A306" s="38">
        <f>IF('6 - TV Stands &amp; Enterta'!B306 = "", "", IF('6 - TV Stands &amp; Enterta-WUO_ERR'!A306 = "", "Validated", HYPERLINK("#" &amp; ADDRESS(306, '6 - TV Stands &amp; Enterta-WUO_TRK'!A306),_xlfn.TEXTAFTER('6 - TV Stands &amp; Enterta-WUO_ERR'!A306, ":"))))</f>
        <v/>
      </c>
    </row>
    <row r="307">
      <c r="A307" s="38">
        <f>IF('6 - TV Stands &amp; Enterta'!B307 = "", "", IF('6 - TV Stands &amp; Enterta-WUO_ERR'!A307 = "", "Validated", HYPERLINK("#" &amp; ADDRESS(307, '6 - TV Stands &amp; Enterta-WUO_TRK'!A307),_xlfn.TEXTAFTER('6 - TV Stands &amp; Enterta-WUO_ERR'!A307, ":"))))</f>
        <v/>
      </c>
    </row>
    <row r="308">
      <c r="A308" s="38">
        <f>IF('6 - TV Stands &amp; Enterta'!B308 = "", "", IF('6 - TV Stands &amp; Enterta-WUO_ERR'!A308 = "", "Validated", HYPERLINK("#" &amp; ADDRESS(308, '6 - TV Stands &amp; Enterta-WUO_TRK'!A308),_xlfn.TEXTAFTER('6 - TV Stands &amp; Enterta-WUO_ERR'!A308, ":"))))</f>
        <v/>
      </c>
    </row>
    <row r="309">
      <c r="A309" s="38">
        <f>IF('6 - TV Stands &amp; Enterta'!B309 = "", "", IF('6 - TV Stands &amp; Enterta-WUO_ERR'!A309 = "", "Validated", HYPERLINK("#" &amp; ADDRESS(309, '6 - TV Stands &amp; Enterta-WUO_TRK'!A309),_xlfn.TEXTAFTER('6 - TV Stands &amp; Enterta-WUO_ERR'!A309, ":"))))</f>
        <v/>
      </c>
    </row>
    <row r="310">
      <c r="A310" s="38">
        <f>IF('6 - TV Stands &amp; Enterta'!B310 = "", "", IF('6 - TV Stands &amp; Enterta-WUO_ERR'!A310 = "", "Validated", HYPERLINK("#" &amp; ADDRESS(310, '6 - TV Stands &amp; Enterta-WUO_TRK'!A310),_xlfn.TEXTAFTER('6 - TV Stands &amp; Enterta-WUO_ERR'!A310, ":"))))</f>
        <v/>
      </c>
    </row>
    <row r="311">
      <c r="A311" s="38">
        <f>IF('6 - TV Stands &amp; Enterta'!B311 = "", "", IF('6 - TV Stands &amp; Enterta-WUO_ERR'!A311 = "", "Validated", HYPERLINK("#" &amp; ADDRESS(311, '6 - TV Stands &amp; Enterta-WUO_TRK'!A311),_xlfn.TEXTAFTER('6 - TV Stands &amp; Enterta-WUO_ERR'!A311, ":"))))</f>
        <v/>
      </c>
    </row>
    <row r="312">
      <c r="A312" s="38">
        <f>IF('6 - TV Stands &amp; Enterta'!B312 = "", "", IF('6 - TV Stands &amp; Enterta-WUO_ERR'!A312 = "", "Validated", HYPERLINK("#" &amp; ADDRESS(312, '6 - TV Stands &amp; Enterta-WUO_TRK'!A312),_xlfn.TEXTAFTER('6 - TV Stands &amp; Enterta-WUO_ERR'!A312, ":"))))</f>
        <v/>
      </c>
    </row>
    <row r="313">
      <c r="A313" s="38">
        <f>IF('6 - TV Stands &amp; Enterta'!B313 = "", "", IF('6 - TV Stands &amp; Enterta-WUO_ERR'!A313 = "", "Validated", HYPERLINK("#" &amp; ADDRESS(313, '6 - TV Stands &amp; Enterta-WUO_TRK'!A313),_xlfn.TEXTAFTER('6 - TV Stands &amp; Enterta-WUO_ERR'!A313, ":"))))</f>
        <v/>
      </c>
    </row>
    <row r="314">
      <c r="A314" s="38">
        <f>IF('6 - TV Stands &amp; Enterta'!B314 = "", "", IF('6 - TV Stands &amp; Enterta-WUO_ERR'!A314 = "", "Validated", HYPERLINK("#" &amp; ADDRESS(314, '6 - TV Stands &amp; Enterta-WUO_TRK'!A314),_xlfn.TEXTAFTER('6 - TV Stands &amp; Enterta-WUO_ERR'!A314, ":"))))</f>
        <v/>
      </c>
    </row>
    <row r="315">
      <c r="A315" s="38">
        <f>IF('6 - TV Stands &amp; Enterta'!B315 = "", "", IF('6 - TV Stands &amp; Enterta-WUO_ERR'!A315 = "", "Validated", HYPERLINK("#" &amp; ADDRESS(315, '6 - TV Stands &amp; Enterta-WUO_TRK'!A315),_xlfn.TEXTAFTER('6 - TV Stands &amp; Enterta-WUO_ERR'!A315, ":"))))</f>
        <v/>
      </c>
    </row>
    <row r="316">
      <c r="A316" s="38">
        <f>IF('6 - TV Stands &amp; Enterta'!B316 = "", "", IF('6 - TV Stands &amp; Enterta-WUO_ERR'!A316 = "", "Validated", HYPERLINK("#" &amp; ADDRESS(316, '6 - TV Stands &amp; Enterta-WUO_TRK'!A316),_xlfn.TEXTAFTER('6 - TV Stands &amp; Enterta-WUO_ERR'!A316, ":"))))</f>
        <v/>
      </c>
    </row>
    <row r="317">
      <c r="A317" s="38">
        <f>IF('6 - TV Stands &amp; Enterta'!B317 = "", "", IF('6 - TV Stands &amp; Enterta-WUO_ERR'!A317 = "", "Validated", HYPERLINK("#" &amp; ADDRESS(317, '6 - TV Stands &amp; Enterta-WUO_TRK'!A317),_xlfn.TEXTAFTER('6 - TV Stands &amp; Enterta-WUO_ERR'!A317, ":"))))</f>
        <v/>
      </c>
    </row>
    <row r="318">
      <c r="A318" s="38">
        <f>IF('6 - TV Stands &amp; Enterta'!B318 = "", "", IF('6 - TV Stands &amp; Enterta-WUO_ERR'!A318 = "", "Validated", HYPERLINK("#" &amp; ADDRESS(318, '6 - TV Stands &amp; Enterta-WUO_TRK'!A318),_xlfn.TEXTAFTER('6 - TV Stands &amp; Enterta-WUO_ERR'!A318, ":"))))</f>
        <v/>
      </c>
    </row>
    <row r="319">
      <c r="A319" s="38">
        <f>IF('6 - TV Stands &amp; Enterta'!B319 = "", "", IF('6 - TV Stands &amp; Enterta-WUO_ERR'!A319 = "", "Validated", HYPERLINK("#" &amp; ADDRESS(319, '6 - TV Stands &amp; Enterta-WUO_TRK'!A319),_xlfn.TEXTAFTER('6 - TV Stands &amp; Enterta-WUO_ERR'!A319, ":"))))</f>
        <v/>
      </c>
    </row>
    <row r="320">
      <c r="A320" s="38">
        <f>IF('6 - TV Stands &amp; Enterta'!B320 = "", "", IF('6 - TV Stands &amp; Enterta-WUO_ERR'!A320 = "", "Validated", HYPERLINK("#" &amp; ADDRESS(320, '6 - TV Stands &amp; Enterta-WUO_TRK'!A320),_xlfn.TEXTAFTER('6 - TV Stands &amp; Enterta-WUO_ERR'!A320, ":"))))</f>
        <v/>
      </c>
    </row>
    <row r="321">
      <c r="A321" s="38">
        <f>IF('6 - TV Stands &amp; Enterta'!B321 = "", "", IF('6 - TV Stands &amp; Enterta-WUO_ERR'!A321 = "", "Validated", HYPERLINK("#" &amp; ADDRESS(321, '6 - TV Stands &amp; Enterta-WUO_TRK'!A321),_xlfn.TEXTAFTER('6 - TV Stands &amp; Enterta-WUO_ERR'!A321, ":"))))</f>
        <v/>
      </c>
    </row>
    <row r="322">
      <c r="A322" s="38">
        <f>IF('6 - TV Stands &amp; Enterta'!B322 = "", "", IF('6 - TV Stands &amp; Enterta-WUO_ERR'!A322 = "", "Validated", HYPERLINK("#" &amp; ADDRESS(322, '6 - TV Stands &amp; Enterta-WUO_TRK'!A322),_xlfn.TEXTAFTER('6 - TV Stands &amp; Enterta-WUO_ERR'!A322, ":"))))</f>
        <v/>
      </c>
    </row>
    <row r="323">
      <c r="A323" s="38">
        <f>IF('6 - TV Stands &amp; Enterta'!B323 = "", "", IF('6 - TV Stands &amp; Enterta-WUO_ERR'!A323 = "", "Validated", HYPERLINK("#" &amp; ADDRESS(323, '6 - TV Stands &amp; Enterta-WUO_TRK'!A323),_xlfn.TEXTAFTER('6 - TV Stands &amp; Enterta-WUO_ERR'!A323, ":"))))</f>
        <v/>
      </c>
    </row>
    <row r="324">
      <c r="A324" s="38">
        <f>IF('6 - TV Stands &amp; Enterta'!B324 = "", "", IF('6 - TV Stands &amp; Enterta-WUO_ERR'!A324 = "", "Validated", HYPERLINK("#" &amp; ADDRESS(324, '6 - TV Stands &amp; Enterta-WUO_TRK'!A324),_xlfn.TEXTAFTER('6 - TV Stands &amp; Enterta-WUO_ERR'!A324, ":"))))</f>
        <v/>
      </c>
    </row>
    <row r="325">
      <c r="A325" s="38">
        <f>IF('6 - TV Stands &amp; Enterta'!B325 = "", "", IF('6 - TV Stands &amp; Enterta-WUO_ERR'!A325 = "", "Validated", HYPERLINK("#" &amp; ADDRESS(325, '6 - TV Stands &amp; Enterta-WUO_TRK'!A325),_xlfn.TEXTAFTER('6 - TV Stands &amp; Enterta-WUO_ERR'!A325, ":"))))</f>
        <v/>
      </c>
    </row>
    <row r="326">
      <c r="A326" s="38">
        <f>IF('6 - TV Stands &amp; Enterta'!B326 = "", "", IF('6 - TV Stands &amp; Enterta-WUO_ERR'!A326 = "", "Validated", HYPERLINK("#" &amp; ADDRESS(326, '6 - TV Stands &amp; Enterta-WUO_TRK'!A326),_xlfn.TEXTAFTER('6 - TV Stands &amp; Enterta-WUO_ERR'!A326, ":"))))</f>
        <v/>
      </c>
    </row>
    <row r="327">
      <c r="A327" s="38">
        <f>IF('6 - TV Stands &amp; Enterta'!B327 = "", "", IF('6 - TV Stands &amp; Enterta-WUO_ERR'!A327 = "", "Validated", HYPERLINK("#" &amp; ADDRESS(327, '6 - TV Stands &amp; Enterta-WUO_TRK'!A327),_xlfn.TEXTAFTER('6 - TV Stands &amp; Enterta-WUO_ERR'!A327, ":"))))</f>
        <v/>
      </c>
    </row>
    <row r="328">
      <c r="A328" s="38">
        <f>IF('6 - TV Stands &amp; Enterta'!B328 = "", "", IF('6 - TV Stands &amp; Enterta-WUO_ERR'!A328 = "", "Validated", HYPERLINK("#" &amp; ADDRESS(328, '6 - TV Stands &amp; Enterta-WUO_TRK'!A328),_xlfn.TEXTAFTER('6 - TV Stands &amp; Enterta-WUO_ERR'!A328, ":"))))</f>
        <v/>
      </c>
    </row>
    <row r="329">
      <c r="A329" s="38">
        <f>IF('6 - TV Stands &amp; Enterta'!B329 = "", "", IF('6 - TV Stands &amp; Enterta-WUO_ERR'!A329 = "", "Validated", HYPERLINK("#" &amp; ADDRESS(329, '6 - TV Stands &amp; Enterta-WUO_TRK'!A329),_xlfn.TEXTAFTER('6 - TV Stands &amp; Enterta-WUO_ERR'!A329, ":"))))</f>
        <v/>
      </c>
    </row>
    <row r="330">
      <c r="A330" s="38">
        <f>IF('6 - TV Stands &amp; Enterta'!B330 = "", "", IF('6 - TV Stands &amp; Enterta-WUO_ERR'!A330 = "", "Validated", HYPERLINK("#" &amp; ADDRESS(330, '6 - TV Stands &amp; Enterta-WUO_TRK'!A330),_xlfn.TEXTAFTER('6 - TV Stands &amp; Enterta-WUO_ERR'!A330, ":"))))</f>
        <v/>
      </c>
    </row>
    <row r="331">
      <c r="A331" s="38">
        <f>IF('6 - TV Stands &amp; Enterta'!B331 = "", "", IF('6 - TV Stands &amp; Enterta-WUO_ERR'!A331 = "", "Validated", HYPERLINK("#" &amp; ADDRESS(331, '6 - TV Stands &amp; Enterta-WUO_TRK'!A331),_xlfn.TEXTAFTER('6 - TV Stands &amp; Enterta-WUO_ERR'!A331, ":"))))</f>
        <v/>
      </c>
    </row>
    <row r="332">
      <c r="A332" s="38">
        <f>IF('6 - TV Stands &amp; Enterta'!B332 = "", "", IF('6 - TV Stands &amp; Enterta-WUO_ERR'!A332 = "", "Validated", HYPERLINK("#" &amp; ADDRESS(332, '6 - TV Stands &amp; Enterta-WUO_TRK'!A332),_xlfn.TEXTAFTER('6 - TV Stands &amp; Enterta-WUO_ERR'!A332, ":"))))</f>
        <v/>
      </c>
    </row>
    <row r="333">
      <c r="A333" s="38">
        <f>IF('6 - TV Stands &amp; Enterta'!B333 = "", "", IF('6 - TV Stands &amp; Enterta-WUO_ERR'!A333 = "", "Validated", HYPERLINK("#" &amp; ADDRESS(333, '6 - TV Stands &amp; Enterta-WUO_TRK'!A333),_xlfn.TEXTAFTER('6 - TV Stands &amp; Enterta-WUO_ERR'!A333, ":"))))</f>
        <v/>
      </c>
    </row>
    <row r="334">
      <c r="A334" s="38">
        <f>IF('6 - TV Stands &amp; Enterta'!B334 = "", "", IF('6 - TV Stands &amp; Enterta-WUO_ERR'!A334 = "", "Validated", HYPERLINK("#" &amp; ADDRESS(334, '6 - TV Stands &amp; Enterta-WUO_TRK'!A334),_xlfn.TEXTAFTER('6 - TV Stands &amp; Enterta-WUO_ERR'!A334, ":"))))</f>
        <v/>
      </c>
    </row>
    <row r="335">
      <c r="A335" s="38">
        <f>IF('6 - TV Stands &amp; Enterta'!B335 = "", "", IF('6 - TV Stands &amp; Enterta-WUO_ERR'!A335 = "", "Validated", HYPERLINK("#" &amp; ADDRESS(335, '6 - TV Stands &amp; Enterta-WUO_TRK'!A335),_xlfn.TEXTAFTER('6 - TV Stands &amp; Enterta-WUO_ERR'!A335, ":"))))</f>
        <v/>
      </c>
    </row>
    <row r="336">
      <c r="A336" s="38">
        <f>IF('6 - TV Stands &amp; Enterta'!B336 = "", "", IF('6 - TV Stands &amp; Enterta-WUO_ERR'!A336 = "", "Validated", HYPERLINK("#" &amp; ADDRESS(336, '6 - TV Stands &amp; Enterta-WUO_TRK'!A336),_xlfn.TEXTAFTER('6 - TV Stands &amp; Enterta-WUO_ERR'!A336, ":"))))</f>
        <v/>
      </c>
    </row>
    <row r="337">
      <c r="A337" s="38">
        <f>IF('6 - TV Stands &amp; Enterta'!B337 = "", "", IF('6 - TV Stands &amp; Enterta-WUO_ERR'!A337 = "", "Validated", HYPERLINK("#" &amp; ADDRESS(337, '6 - TV Stands &amp; Enterta-WUO_TRK'!A337),_xlfn.TEXTAFTER('6 - TV Stands &amp; Enterta-WUO_ERR'!A337, ":"))))</f>
        <v/>
      </c>
    </row>
    <row r="338">
      <c r="A338" s="38">
        <f>IF('6 - TV Stands &amp; Enterta'!B338 = "", "", IF('6 - TV Stands &amp; Enterta-WUO_ERR'!A338 = "", "Validated", HYPERLINK("#" &amp; ADDRESS(338, '6 - TV Stands &amp; Enterta-WUO_TRK'!A338),_xlfn.TEXTAFTER('6 - TV Stands &amp; Enterta-WUO_ERR'!A338, ":"))))</f>
        <v/>
      </c>
    </row>
    <row r="339">
      <c r="A339" s="38">
        <f>IF('6 - TV Stands &amp; Enterta'!B339 = "", "", IF('6 - TV Stands &amp; Enterta-WUO_ERR'!A339 = "", "Validated", HYPERLINK("#" &amp; ADDRESS(339, '6 - TV Stands &amp; Enterta-WUO_TRK'!A339),_xlfn.TEXTAFTER('6 - TV Stands &amp; Enterta-WUO_ERR'!A339, ":"))))</f>
        <v/>
      </c>
    </row>
    <row r="340">
      <c r="A340" s="38">
        <f>IF('6 - TV Stands &amp; Enterta'!B340 = "", "", IF('6 - TV Stands &amp; Enterta-WUO_ERR'!A340 = "", "Validated", HYPERLINK("#" &amp; ADDRESS(340, '6 - TV Stands &amp; Enterta-WUO_TRK'!A340),_xlfn.TEXTAFTER('6 - TV Stands &amp; Enterta-WUO_ERR'!A340, ":"))))</f>
        <v/>
      </c>
    </row>
    <row r="341">
      <c r="A341" s="38">
        <f>IF('6 - TV Stands &amp; Enterta'!B341 = "", "", IF('6 - TV Stands &amp; Enterta-WUO_ERR'!A341 = "", "Validated", HYPERLINK("#" &amp; ADDRESS(341, '6 - TV Stands &amp; Enterta-WUO_TRK'!A341),_xlfn.TEXTAFTER('6 - TV Stands &amp; Enterta-WUO_ERR'!A341, ":"))))</f>
        <v/>
      </c>
    </row>
    <row r="342">
      <c r="A342" s="38">
        <f>IF('6 - TV Stands &amp; Enterta'!B342 = "", "", IF('6 - TV Stands &amp; Enterta-WUO_ERR'!A342 = "", "Validated", HYPERLINK("#" &amp; ADDRESS(342, '6 - TV Stands &amp; Enterta-WUO_TRK'!A342),_xlfn.TEXTAFTER('6 - TV Stands &amp; Enterta-WUO_ERR'!A342, ":"))))</f>
        <v/>
      </c>
    </row>
    <row r="343">
      <c r="A343" s="38">
        <f>IF('6 - TV Stands &amp; Enterta'!B343 = "", "", IF('6 - TV Stands &amp; Enterta-WUO_ERR'!A343 = "", "Validated", HYPERLINK("#" &amp; ADDRESS(343, '6 - TV Stands &amp; Enterta-WUO_TRK'!A343),_xlfn.TEXTAFTER('6 - TV Stands &amp; Enterta-WUO_ERR'!A343, ":"))))</f>
        <v/>
      </c>
    </row>
    <row r="344">
      <c r="A344" s="38">
        <f>IF('6 - TV Stands &amp; Enterta'!B344 = "", "", IF('6 - TV Stands &amp; Enterta-WUO_ERR'!A344 = "", "Validated", HYPERLINK("#" &amp; ADDRESS(344, '6 - TV Stands &amp; Enterta-WUO_TRK'!A344),_xlfn.TEXTAFTER('6 - TV Stands &amp; Enterta-WUO_ERR'!A344, ":"))))</f>
        <v/>
      </c>
    </row>
    <row r="345">
      <c r="A345" s="38">
        <f>IF('6 - TV Stands &amp; Enterta'!B345 = "", "", IF('6 - TV Stands &amp; Enterta-WUO_ERR'!A345 = "", "Validated", HYPERLINK("#" &amp; ADDRESS(345, '6 - TV Stands &amp; Enterta-WUO_TRK'!A345),_xlfn.TEXTAFTER('6 - TV Stands &amp; Enterta-WUO_ERR'!A345, ":"))))</f>
        <v/>
      </c>
    </row>
    <row r="346">
      <c r="A346" s="38">
        <f>IF('6 - TV Stands &amp; Enterta'!B346 = "", "", IF('6 - TV Stands &amp; Enterta-WUO_ERR'!A346 = "", "Validated", HYPERLINK("#" &amp; ADDRESS(346, '6 - TV Stands &amp; Enterta-WUO_TRK'!A346),_xlfn.TEXTAFTER('6 - TV Stands &amp; Enterta-WUO_ERR'!A346, ":"))))</f>
        <v/>
      </c>
    </row>
    <row r="347">
      <c r="A347" s="38">
        <f>IF('6 - TV Stands &amp; Enterta'!B347 = "", "", IF('6 - TV Stands &amp; Enterta-WUO_ERR'!A347 = "", "Validated", HYPERLINK("#" &amp; ADDRESS(347, '6 - TV Stands &amp; Enterta-WUO_TRK'!A347),_xlfn.TEXTAFTER('6 - TV Stands &amp; Enterta-WUO_ERR'!A347, ":"))))</f>
        <v/>
      </c>
    </row>
    <row r="348">
      <c r="A348" s="38">
        <f>IF('6 - TV Stands &amp; Enterta'!B348 = "", "", IF('6 - TV Stands &amp; Enterta-WUO_ERR'!A348 = "", "Validated", HYPERLINK("#" &amp; ADDRESS(348, '6 - TV Stands &amp; Enterta-WUO_TRK'!A348),_xlfn.TEXTAFTER('6 - TV Stands &amp; Enterta-WUO_ERR'!A348, ":"))))</f>
        <v/>
      </c>
    </row>
    <row r="349">
      <c r="A349" s="38">
        <f>IF('6 - TV Stands &amp; Enterta'!B349 = "", "", IF('6 - TV Stands &amp; Enterta-WUO_ERR'!A349 = "", "Validated", HYPERLINK("#" &amp; ADDRESS(349, '6 - TV Stands &amp; Enterta-WUO_TRK'!A349),_xlfn.TEXTAFTER('6 - TV Stands &amp; Enterta-WUO_ERR'!A349, ":"))))</f>
        <v/>
      </c>
    </row>
    <row r="350">
      <c r="A350" s="38">
        <f>IF('6 - TV Stands &amp; Enterta'!B350 = "", "", IF('6 - TV Stands &amp; Enterta-WUO_ERR'!A350 = "", "Validated", HYPERLINK("#" &amp; ADDRESS(350, '6 - TV Stands &amp; Enterta-WUO_TRK'!A350),_xlfn.TEXTAFTER('6 - TV Stands &amp; Enterta-WUO_ERR'!A350, ":"))))</f>
        <v/>
      </c>
    </row>
    <row r="351">
      <c r="A351" s="38">
        <f>IF('6 - TV Stands &amp; Enterta'!B351 = "", "", IF('6 - TV Stands &amp; Enterta-WUO_ERR'!A351 = "", "Validated", HYPERLINK("#" &amp; ADDRESS(351, '6 - TV Stands &amp; Enterta-WUO_TRK'!A351),_xlfn.TEXTAFTER('6 - TV Stands &amp; Enterta-WUO_ERR'!A351, ":"))))</f>
        <v/>
      </c>
    </row>
    <row r="352">
      <c r="A352" s="38">
        <f>IF('6 - TV Stands &amp; Enterta'!B352 = "", "", IF('6 - TV Stands &amp; Enterta-WUO_ERR'!A352 = "", "Validated", HYPERLINK("#" &amp; ADDRESS(352, '6 - TV Stands &amp; Enterta-WUO_TRK'!A352),_xlfn.TEXTAFTER('6 - TV Stands &amp; Enterta-WUO_ERR'!A352, ":"))))</f>
        <v/>
      </c>
    </row>
    <row r="353">
      <c r="A353" s="38">
        <f>IF('6 - TV Stands &amp; Enterta'!B353 = "", "", IF('6 - TV Stands &amp; Enterta-WUO_ERR'!A353 = "", "Validated", HYPERLINK("#" &amp; ADDRESS(353, '6 - TV Stands &amp; Enterta-WUO_TRK'!A353),_xlfn.TEXTAFTER('6 - TV Stands &amp; Enterta-WUO_ERR'!A353, ":"))))</f>
        <v/>
      </c>
    </row>
    <row r="354">
      <c r="A354" s="38">
        <f>IF('6 - TV Stands &amp; Enterta'!B354 = "", "", IF('6 - TV Stands &amp; Enterta-WUO_ERR'!A354 = "", "Validated", HYPERLINK("#" &amp; ADDRESS(354, '6 - TV Stands &amp; Enterta-WUO_TRK'!A354),_xlfn.TEXTAFTER('6 - TV Stands &amp; Enterta-WUO_ERR'!A354, ":"))))</f>
        <v/>
      </c>
    </row>
    <row r="355">
      <c r="A355" s="38">
        <f>IF('6 - TV Stands &amp; Enterta'!B355 = "", "", IF('6 - TV Stands &amp; Enterta-WUO_ERR'!A355 = "", "Validated", HYPERLINK("#" &amp; ADDRESS(355, '6 - TV Stands &amp; Enterta-WUO_TRK'!A355),_xlfn.TEXTAFTER('6 - TV Stands &amp; Enterta-WUO_ERR'!A355, ":"))))</f>
        <v/>
      </c>
    </row>
    <row r="356">
      <c r="A356" s="38">
        <f>IF('6 - TV Stands &amp; Enterta'!B356 = "", "", IF('6 - TV Stands &amp; Enterta-WUO_ERR'!A356 = "", "Validated", HYPERLINK("#" &amp; ADDRESS(356, '6 - TV Stands &amp; Enterta-WUO_TRK'!A356),_xlfn.TEXTAFTER('6 - TV Stands &amp; Enterta-WUO_ERR'!A356, ":"))))</f>
        <v/>
      </c>
    </row>
    <row r="357">
      <c r="A357" s="38">
        <f>IF('6 - TV Stands &amp; Enterta'!B357 = "", "", IF('6 - TV Stands &amp; Enterta-WUO_ERR'!A357 = "", "Validated", HYPERLINK("#" &amp; ADDRESS(357, '6 - TV Stands &amp; Enterta-WUO_TRK'!A357),_xlfn.TEXTAFTER('6 - TV Stands &amp; Enterta-WUO_ERR'!A357, ":"))))</f>
        <v/>
      </c>
    </row>
    <row r="358">
      <c r="A358" s="38">
        <f>IF('6 - TV Stands &amp; Enterta'!B358 = "", "", IF('6 - TV Stands &amp; Enterta-WUO_ERR'!A358 = "", "Validated", HYPERLINK("#" &amp; ADDRESS(358, '6 - TV Stands &amp; Enterta-WUO_TRK'!A358),_xlfn.TEXTAFTER('6 - TV Stands &amp; Enterta-WUO_ERR'!A358, ":"))))</f>
        <v/>
      </c>
    </row>
    <row r="359">
      <c r="A359" s="38">
        <f>IF('6 - TV Stands &amp; Enterta'!B359 = "", "", IF('6 - TV Stands &amp; Enterta-WUO_ERR'!A359 = "", "Validated", HYPERLINK("#" &amp; ADDRESS(359, '6 - TV Stands &amp; Enterta-WUO_TRK'!A359),_xlfn.TEXTAFTER('6 - TV Stands &amp; Enterta-WUO_ERR'!A359, ":"))))</f>
        <v/>
      </c>
    </row>
    <row r="360">
      <c r="A360" s="38">
        <f>IF('6 - TV Stands &amp; Enterta'!B360 = "", "", IF('6 - TV Stands &amp; Enterta-WUO_ERR'!A360 = "", "Validated", HYPERLINK("#" &amp; ADDRESS(360, '6 - TV Stands &amp; Enterta-WUO_TRK'!A360),_xlfn.TEXTAFTER('6 - TV Stands &amp; Enterta-WUO_ERR'!A360, ":"))))</f>
        <v/>
      </c>
    </row>
    <row r="361">
      <c r="A361" s="38">
        <f>IF('6 - TV Stands &amp; Enterta'!B361 = "", "", IF('6 - TV Stands &amp; Enterta-WUO_ERR'!A361 = "", "Validated", HYPERLINK("#" &amp; ADDRESS(361, '6 - TV Stands &amp; Enterta-WUO_TRK'!A361),_xlfn.TEXTAFTER('6 - TV Stands &amp; Enterta-WUO_ERR'!A361, ":"))))</f>
        <v/>
      </c>
    </row>
    <row r="362">
      <c r="A362" s="38">
        <f>IF('6 - TV Stands &amp; Enterta'!B362 = "", "", IF('6 - TV Stands &amp; Enterta-WUO_ERR'!A362 = "", "Validated", HYPERLINK("#" &amp; ADDRESS(362, '6 - TV Stands &amp; Enterta-WUO_TRK'!A362),_xlfn.TEXTAFTER('6 - TV Stands &amp; Enterta-WUO_ERR'!A362, ":"))))</f>
        <v/>
      </c>
    </row>
    <row r="363">
      <c r="A363" s="38">
        <f>IF('6 - TV Stands &amp; Enterta'!B363 = "", "", IF('6 - TV Stands &amp; Enterta-WUO_ERR'!A363 = "", "Validated", HYPERLINK("#" &amp; ADDRESS(363, '6 - TV Stands &amp; Enterta-WUO_TRK'!A363),_xlfn.TEXTAFTER('6 - TV Stands &amp; Enterta-WUO_ERR'!A363, ":"))))</f>
        <v/>
      </c>
    </row>
    <row r="364">
      <c r="A364" s="38">
        <f>IF('6 - TV Stands &amp; Enterta'!B364 = "", "", IF('6 - TV Stands &amp; Enterta-WUO_ERR'!A364 = "", "Validated", HYPERLINK("#" &amp; ADDRESS(364, '6 - TV Stands &amp; Enterta-WUO_TRK'!A364),_xlfn.TEXTAFTER('6 - TV Stands &amp; Enterta-WUO_ERR'!A364, ":"))))</f>
        <v/>
      </c>
    </row>
    <row r="365">
      <c r="A365" s="38">
        <f>IF('6 - TV Stands &amp; Enterta'!B365 = "", "", IF('6 - TV Stands &amp; Enterta-WUO_ERR'!A365 = "", "Validated", HYPERLINK("#" &amp; ADDRESS(365, '6 - TV Stands &amp; Enterta-WUO_TRK'!A365),_xlfn.TEXTAFTER('6 - TV Stands &amp; Enterta-WUO_ERR'!A365, ":"))))</f>
        <v/>
      </c>
    </row>
    <row r="366">
      <c r="A366" s="38">
        <f>IF('6 - TV Stands &amp; Enterta'!B366 = "", "", IF('6 - TV Stands &amp; Enterta-WUO_ERR'!A366 = "", "Validated", HYPERLINK("#" &amp; ADDRESS(366, '6 - TV Stands &amp; Enterta-WUO_TRK'!A366),_xlfn.TEXTAFTER('6 - TV Stands &amp; Enterta-WUO_ERR'!A366, ":"))))</f>
        <v/>
      </c>
    </row>
    <row r="367">
      <c r="A367" s="38">
        <f>IF('6 - TV Stands &amp; Enterta'!B367 = "", "", IF('6 - TV Stands &amp; Enterta-WUO_ERR'!A367 = "", "Validated", HYPERLINK("#" &amp; ADDRESS(367, '6 - TV Stands &amp; Enterta-WUO_TRK'!A367),_xlfn.TEXTAFTER('6 - TV Stands &amp; Enterta-WUO_ERR'!A367, ":"))))</f>
        <v/>
      </c>
    </row>
    <row r="368">
      <c r="A368" s="38">
        <f>IF('6 - TV Stands &amp; Enterta'!B368 = "", "", IF('6 - TV Stands &amp; Enterta-WUO_ERR'!A368 = "", "Validated", HYPERLINK("#" &amp; ADDRESS(368, '6 - TV Stands &amp; Enterta-WUO_TRK'!A368),_xlfn.TEXTAFTER('6 - TV Stands &amp; Enterta-WUO_ERR'!A368, ":"))))</f>
        <v/>
      </c>
    </row>
    <row r="369">
      <c r="A369" s="38">
        <f>IF('6 - TV Stands &amp; Enterta'!B369 = "", "", IF('6 - TV Stands &amp; Enterta-WUO_ERR'!A369 = "", "Validated", HYPERLINK("#" &amp; ADDRESS(369, '6 - TV Stands &amp; Enterta-WUO_TRK'!A369),_xlfn.TEXTAFTER('6 - TV Stands &amp; Enterta-WUO_ERR'!A369, ":"))))</f>
        <v/>
      </c>
    </row>
    <row r="370">
      <c r="A370" s="38">
        <f>IF('6 - TV Stands &amp; Enterta'!B370 = "", "", IF('6 - TV Stands &amp; Enterta-WUO_ERR'!A370 = "", "Validated", HYPERLINK("#" &amp; ADDRESS(370, '6 - TV Stands &amp; Enterta-WUO_TRK'!A370),_xlfn.TEXTAFTER('6 - TV Stands &amp; Enterta-WUO_ERR'!A370, ":"))))</f>
        <v/>
      </c>
    </row>
    <row r="371">
      <c r="A371" s="38">
        <f>IF('6 - TV Stands &amp; Enterta'!B371 = "", "", IF('6 - TV Stands &amp; Enterta-WUO_ERR'!A371 = "", "Validated", HYPERLINK("#" &amp; ADDRESS(371, '6 - TV Stands &amp; Enterta-WUO_TRK'!A371),_xlfn.TEXTAFTER('6 - TV Stands &amp; Enterta-WUO_ERR'!A371, ":"))))</f>
        <v/>
      </c>
    </row>
    <row r="372">
      <c r="A372" s="38">
        <f>IF('6 - TV Stands &amp; Enterta'!B372 = "", "", IF('6 - TV Stands &amp; Enterta-WUO_ERR'!A372 = "", "Validated", HYPERLINK("#" &amp; ADDRESS(372, '6 - TV Stands &amp; Enterta-WUO_TRK'!A372),_xlfn.TEXTAFTER('6 - TV Stands &amp; Enterta-WUO_ERR'!A372, ":"))))</f>
        <v/>
      </c>
    </row>
    <row r="373">
      <c r="A373" s="38">
        <f>IF('6 - TV Stands &amp; Enterta'!B373 = "", "", IF('6 - TV Stands &amp; Enterta-WUO_ERR'!A373 = "", "Validated", HYPERLINK("#" &amp; ADDRESS(373, '6 - TV Stands &amp; Enterta-WUO_TRK'!A373),_xlfn.TEXTAFTER('6 - TV Stands &amp; Enterta-WUO_ERR'!A373, ":"))))</f>
        <v/>
      </c>
    </row>
    <row r="374">
      <c r="A374" s="38">
        <f>IF('6 - TV Stands &amp; Enterta'!B374 = "", "", IF('6 - TV Stands &amp; Enterta-WUO_ERR'!A374 = "", "Validated", HYPERLINK("#" &amp; ADDRESS(374, '6 - TV Stands &amp; Enterta-WUO_TRK'!A374),_xlfn.TEXTAFTER('6 - TV Stands &amp; Enterta-WUO_ERR'!A374, ":"))))</f>
        <v/>
      </c>
    </row>
    <row r="375">
      <c r="A375" s="38">
        <f>IF('6 - TV Stands &amp; Enterta'!B375 = "", "", IF('6 - TV Stands &amp; Enterta-WUO_ERR'!A375 = "", "Validated", HYPERLINK("#" &amp; ADDRESS(375, '6 - TV Stands &amp; Enterta-WUO_TRK'!A375),_xlfn.TEXTAFTER('6 - TV Stands &amp; Enterta-WUO_ERR'!A375, ":"))))</f>
        <v/>
      </c>
    </row>
    <row r="376">
      <c r="A376" s="38">
        <f>IF('6 - TV Stands &amp; Enterta'!B376 = "", "", IF('6 - TV Stands &amp; Enterta-WUO_ERR'!A376 = "", "Validated", HYPERLINK("#" &amp; ADDRESS(376, '6 - TV Stands &amp; Enterta-WUO_TRK'!A376),_xlfn.TEXTAFTER('6 - TV Stands &amp; Enterta-WUO_ERR'!A376, ":"))))</f>
        <v/>
      </c>
    </row>
    <row r="377">
      <c r="A377" s="38">
        <f>IF('6 - TV Stands &amp; Enterta'!B377 = "", "", IF('6 - TV Stands &amp; Enterta-WUO_ERR'!A377 = "", "Validated", HYPERLINK("#" &amp; ADDRESS(377, '6 - TV Stands &amp; Enterta-WUO_TRK'!A377),_xlfn.TEXTAFTER('6 - TV Stands &amp; Enterta-WUO_ERR'!A377, ":"))))</f>
        <v/>
      </c>
    </row>
    <row r="378">
      <c r="A378" s="38">
        <f>IF('6 - TV Stands &amp; Enterta'!B378 = "", "", IF('6 - TV Stands &amp; Enterta-WUO_ERR'!A378 = "", "Validated", HYPERLINK("#" &amp; ADDRESS(378, '6 - TV Stands &amp; Enterta-WUO_TRK'!A378),_xlfn.TEXTAFTER('6 - TV Stands &amp; Enterta-WUO_ERR'!A378, ":"))))</f>
        <v/>
      </c>
    </row>
    <row r="379">
      <c r="A379" s="38">
        <f>IF('6 - TV Stands &amp; Enterta'!B379 = "", "", IF('6 - TV Stands &amp; Enterta-WUO_ERR'!A379 = "", "Validated", HYPERLINK("#" &amp; ADDRESS(379, '6 - TV Stands &amp; Enterta-WUO_TRK'!A379),_xlfn.TEXTAFTER('6 - TV Stands &amp; Enterta-WUO_ERR'!A379, ":"))))</f>
        <v/>
      </c>
    </row>
    <row r="380">
      <c r="A380" s="38">
        <f>IF('6 - TV Stands &amp; Enterta'!B380 = "", "", IF('6 - TV Stands &amp; Enterta-WUO_ERR'!A380 = "", "Validated", HYPERLINK("#" &amp; ADDRESS(380, '6 - TV Stands &amp; Enterta-WUO_TRK'!A380),_xlfn.TEXTAFTER('6 - TV Stands &amp; Enterta-WUO_ERR'!A380, ":"))))</f>
        <v/>
      </c>
    </row>
    <row r="381">
      <c r="A381" s="38">
        <f>IF('6 - TV Stands &amp; Enterta'!B381 = "", "", IF('6 - TV Stands &amp; Enterta-WUO_ERR'!A381 = "", "Validated", HYPERLINK("#" &amp; ADDRESS(381, '6 - TV Stands &amp; Enterta-WUO_TRK'!A381),_xlfn.TEXTAFTER('6 - TV Stands &amp; Enterta-WUO_ERR'!A381, ":"))))</f>
        <v/>
      </c>
    </row>
    <row r="382">
      <c r="A382" s="38">
        <f>IF('6 - TV Stands &amp; Enterta'!B382 = "", "", IF('6 - TV Stands &amp; Enterta-WUO_ERR'!A382 = "", "Validated", HYPERLINK("#" &amp; ADDRESS(382, '6 - TV Stands &amp; Enterta-WUO_TRK'!A382),_xlfn.TEXTAFTER('6 - TV Stands &amp; Enterta-WUO_ERR'!A382, ":"))))</f>
        <v/>
      </c>
    </row>
    <row r="383">
      <c r="A383" s="38">
        <f>IF('6 - TV Stands &amp; Enterta'!B383 = "", "", IF('6 - TV Stands &amp; Enterta-WUO_ERR'!A383 = "", "Validated", HYPERLINK("#" &amp; ADDRESS(383, '6 - TV Stands &amp; Enterta-WUO_TRK'!A383),_xlfn.TEXTAFTER('6 - TV Stands &amp; Enterta-WUO_ERR'!A383, ":"))))</f>
        <v/>
      </c>
    </row>
    <row r="384">
      <c r="A384" s="38">
        <f>IF('6 - TV Stands &amp; Enterta'!B384 = "", "", IF('6 - TV Stands &amp; Enterta-WUO_ERR'!A384 = "", "Validated", HYPERLINK("#" &amp; ADDRESS(384, '6 - TV Stands &amp; Enterta-WUO_TRK'!A384),_xlfn.TEXTAFTER('6 - TV Stands &amp; Enterta-WUO_ERR'!A384, ":"))))</f>
        <v/>
      </c>
    </row>
    <row r="385">
      <c r="A385" s="38">
        <f>IF('6 - TV Stands &amp; Enterta'!B385 = "", "", IF('6 - TV Stands &amp; Enterta-WUO_ERR'!A385 = "", "Validated", HYPERLINK("#" &amp; ADDRESS(385, '6 - TV Stands &amp; Enterta-WUO_TRK'!A385),_xlfn.TEXTAFTER('6 - TV Stands &amp; Enterta-WUO_ERR'!A385, ":"))))</f>
        <v/>
      </c>
    </row>
    <row r="386">
      <c r="A386" s="38">
        <f>IF('6 - TV Stands &amp; Enterta'!B386 = "", "", IF('6 - TV Stands &amp; Enterta-WUO_ERR'!A386 = "", "Validated", HYPERLINK("#" &amp; ADDRESS(386, '6 - TV Stands &amp; Enterta-WUO_TRK'!A386),_xlfn.TEXTAFTER('6 - TV Stands &amp; Enterta-WUO_ERR'!A386, ":"))))</f>
        <v/>
      </c>
    </row>
    <row r="387">
      <c r="A387" s="38">
        <f>IF('6 - TV Stands &amp; Enterta'!B387 = "", "", IF('6 - TV Stands &amp; Enterta-WUO_ERR'!A387 = "", "Validated", HYPERLINK("#" &amp; ADDRESS(387, '6 - TV Stands &amp; Enterta-WUO_TRK'!A387),_xlfn.TEXTAFTER('6 - TV Stands &amp; Enterta-WUO_ERR'!A387, ":"))))</f>
        <v/>
      </c>
    </row>
    <row r="388">
      <c r="A388" s="38">
        <f>IF('6 - TV Stands &amp; Enterta'!B388 = "", "", IF('6 - TV Stands &amp; Enterta-WUO_ERR'!A388 = "", "Validated", HYPERLINK("#" &amp; ADDRESS(388, '6 - TV Stands &amp; Enterta-WUO_TRK'!A388),_xlfn.TEXTAFTER('6 - TV Stands &amp; Enterta-WUO_ERR'!A388, ":"))))</f>
        <v/>
      </c>
    </row>
    <row r="389">
      <c r="A389" s="38">
        <f>IF('6 - TV Stands &amp; Enterta'!B389 = "", "", IF('6 - TV Stands &amp; Enterta-WUO_ERR'!A389 = "", "Validated", HYPERLINK("#" &amp; ADDRESS(389, '6 - TV Stands &amp; Enterta-WUO_TRK'!A389),_xlfn.TEXTAFTER('6 - TV Stands &amp; Enterta-WUO_ERR'!A389, ":"))))</f>
        <v/>
      </c>
    </row>
    <row r="390">
      <c r="A390" s="38">
        <f>IF('6 - TV Stands &amp; Enterta'!B390 = "", "", IF('6 - TV Stands &amp; Enterta-WUO_ERR'!A390 = "", "Validated", HYPERLINK("#" &amp; ADDRESS(390, '6 - TV Stands &amp; Enterta-WUO_TRK'!A390),_xlfn.TEXTAFTER('6 - TV Stands &amp; Enterta-WUO_ERR'!A390, ":"))))</f>
        <v/>
      </c>
    </row>
    <row r="391">
      <c r="A391" s="38">
        <f>IF('6 - TV Stands &amp; Enterta'!B391 = "", "", IF('6 - TV Stands &amp; Enterta-WUO_ERR'!A391 = "", "Validated", HYPERLINK("#" &amp; ADDRESS(391, '6 - TV Stands &amp; Enterta-WUO_TRK'!A391),_xlfn.TEXTAFTER('6 - TV Stands &amp; Enterta-WUO_ERR'!A391, ":"))))</f>
        <v/>
      </c>
    </row>
    <row r="392">
      <c r="A392" s="38">
        <f>IF('6 - TV Stands &amp; Enterta'!B392 = "", "", IF('6 - TV Stands &amp; Enterta-WUO_ERR'!A392 = "", "Validated", HYPERLINK("#" &amp; ADDRESS(392, '6 - TV Stands &amp; Enterta-WUO_TRK'!A392),_xlfn.TEXTAFTER('6 - TV Stands &amp; Enterta-WUO_ERR'!A392, ":"))))</f>
        <v/>
      </c>
    </row>
    <row r="393">
      <c r="A393" s="38">
        <f>IF('6 - TV Stands &amp; Enterta'!B393 = "", "", IF('6 - TV Stands &amp; Enterta-WUO_ERR'!A393 = "", "Validated", HYPERLINK("#" &amp; ADDRESS(393, '6 - TV Stands &amp; Enterta-WUO_TRK'!A393),_xlfn.TEXTAFTER('6 - TV Stands &amp; Enterta-WUO_ERR'!A393, ":"))))</f>
        <v/>
      </c>
    </row>
    <row r="394">
      <c r="A394" s="38">
        <f>IF('6 - TV Stands &amp; Enterta'!B394 = "", "", IF('6 - TV Stands &amp; Enterta-WUO_ERR'!A394 = "", "Validated", HYPERLINK("#" &amp; ADDRESS(394, '6 - TV Stands &amp; Enterta-WUO_TRK'!A394),_xlfn.TEXTAFTER('6 - TV Stands &amp; Enterta-WUO_ERR'!A394, ":"))))</f>
        <v/>
      </c>
    </row>
    <row r="395">
      <c r="A395" s="38">
        <f>IF('6 - TV Stands &amp; Enterta'!B395 = "", "", IF('6 - TV Stands &amp; Enterta-WUO_ERR'!A395 = "", "Validated", HYPERLINK("#" &amp; ADDRESS(395, '6 - TV Stands &amp; Enterta-WUO_TRK'!A395),_xlfn.TEXTAFTER('6 - TV Stands &amp; Enterta-WUO_ERR'!A395, ":"))))</f>
        <v/>
      </c>
    </row>
    <row r="396">
      <c r="A396" s="38">
        <f>IF('6 - TV Stands &amp; Enterta'!B396 = "", "", IF('6 - TV Stands &amp; Enterta-WUO_ERR'!A396 = "", "Validated", HYPERLINK("#" &amp; ADDRESS(396, '6 - TV Stands &amp; Enterta-WUO_TRK'!A396),_xlfn.TEXTAFTER('6 - TV Stands &amp; Enterta-WUO_ERR'!A396, ":"))))</f>
        <v/>
      </c>
    </row>
    <row r="397">
      <c r="A397" s="38">
        <f>IF('6 - TV Stands &amp; Enterta'!B397 = "", "", IF('6 - TV Stands &amp; Enterta-WUO_ERR'!A397 = "", "Validated", HYPERLINK("#" &amp; ADDRESS(397, '6 - TV Stands &amp; Enterta-WUO_TRK'!A397),_xlfn.TEXTAFTER('6 - TV Stands &amp; Enterta-WUO_ERR'!A397, ":"))))</f>
        <v/>
      </c>
    </row>
    <row r="398">
      <c r="A398" s="38">
        <f>IF('6 - TV Stands &amp; Enterta'!B398 = "", "", IF('6 - TV Stands &amp; Enterta-WUO_ERR'!A398 = "", "Validated", HYPERLINK("#" &amp; ADDRESS(398, '6 - TV Stands &amp; Enterta-WUO_TRK'!A398),_xlfn.TEXTAFTER('6 - TV Stands &amp; Enterta-WUO_ERR'!A398, ":"))))</f>
        <v/>
      </c>
    </row>
    <row r="399">
      <c r="A399" s="38">
        <f>IF('6 - TV Stands &amp; Enterta'!B399 = "", "", IF('6 - TV Stands &amp; Enterta-WUO_ERR'!A399 = "", "Validated", HYPERLINK("#" &amp; ADDRESS(399, '6 - TV Stands &amp; Enterta-WUO_TRK'!A399),_xlfn.TEXTAFTER('6 - TV Stands &amp; Enterta-WUO_ERR'!A399, ":"))))</f>
        <v/>
      </c>
    </row>
    <row r="400">
      <c r="A400" s="38">
        <f>IF('6 - TV Stands &amp; Enterta'!B400 = "", "", IF('6 - TV Stands &amp; Enterta-WUO_ERR'!A400 = "", "Validated", HYPERLINK("#" &amp; ADDRESS(400, '6 - TV Stands &amp; Enterta-WUO_TRK'!A400),_xlfn.TEXTAFTER('6 - TV Stands &amp; Enterta-WUO_ERR'!A400, ":"))))</f>
        <v/>
      </c>
    </row>
    <row r="401">
      <c r="A401" s="38">
        <f>IF('6 - TV Stands &amp; Enterta'!B401 = "", "", IF('6 - TV Stands &amp; Enterta-WUO_ERR'!A401 = "", "Validated", HYPERLINK("#" &amp; ADDRESS(401, '6 - TV Stands &amp; Enterta-WUO_TRK'!A401),_xlfn.TEXTAFTER('6 - TV Stands &amp; Enterta-WUO_ERR'!A401, ":"))))</f>
        <v/>
      </c>
    </row>
    <row r="402">
      <c r="A402" s="38">
        <f>IF('6 - TV Stands &amp; Enterta'!B402 = "", "", IF('6 - TV Stands &amp; Enterta-WUO_ERR'!A402 = "", "Validated", HYPERLINK("#" &amp; ADDRESS(402, '6 - TV Stands &amp; Enterta-WUO_TRK'!A402),_xlfn.TEXTAFTER('6 - TV Stands &amp; Enterta-WUO_ERR'!A402, ":"))))</f>
        <v/>
      </c>
    </row>
    <row r="403">
      <c r="A403" s="38">
        <f>IF('6 - TV Stands &amp; Enterta'!B403 = "", "", IF('6 - TV Stands &amp; Enterta-WUO_ERR'!A403 = "", "Validated", HYPERLINK("#" &amp; ADDRESS(403, '6 - TV Stands &amp; Enterta-WUO_TRK'!A403),_xlfn.TEXTAFTER('6 - TV Stands &amp; Enterta-WUO_ERR'!A403, ":"))))</f>
        <v/>
      </c>
    </row>
    <row r="404">
      <c r="A404" s="38">
        <f>IF('6 - TV Stands &amp; Enterta'!B404 = "", "", IF('6 - TV Stands &amp; Enterta-WUO_ERR'!A404 = "", "Validated", HYPERLINK("#" &amp; ADDRESS(404, '6 - TV Stands &amp; Enterta-WUO_TRK'!A404),_xlfn.TEXTAFTER('6 - TV Stands &amp; Enterta-WUO_ERR'!A404, ":"))))</f>
        <v/>
      </c>
    </row>
    <row r="405">
      <c r="A405" s="38">
        <f>IF('6 - TV Stands &amp; Enterta'!B405 = "", "", IF('6 - TV Stands &amp; Enterta-WUO_ERR'!A405 = "", "Validated", HYPERLINK("#" &amp; ADDRESS(405, '6 - TV Stands &amp; Enterta-WUO_TRK'!A405),_xlfn.TEXTAFTER('6 - TV Stands &amp; Enterta-WUO_ERR'!A405, ":"))))</f>
        <v/>
      </c>
    </row>
    <row r="406">
      <c r="A406" s="38">
        <f>IF('6 - TV Stands &amp; Enterta'!B406 = "", "", IF('6 - TV Stands &amp; Enterta-WUO_ERR'!A406 = "", "Validated", HYPERLINK("#" &amp; ADDRESS(406, '6 - TV Stands &amp; Enterta-WUO_TRK'!A406),_xlfn.TEXTAFTER('6 - TV Stands &amp; Enterta-WUO_ERR'!A406, ":"))))</f>
        <v/>
      </c>
    </row>
    <row r="407">
      <c r="A407" s="38">
        <f>IF('6 - TV Stands &amp; Enterta'!B407 = "", "", IF('6 - TV Stands &amp; Enterta-WUO_ERR'!A407 = "", "Validated", HYPERLINK("#" &amp; ADDRESS(407, '6 - TV Stands &amp; Enterta-WUO_TRK'!A407),_xlfn.TEXTAFTER('6 - TV Stands &amp; Enterta-WUO_ERR'!A407, ":"))))</f>
        <v/>
      </c>
    </row>
    <row r="408">
      <c r="A408" s="38">
        <f>IF('6 - TV Stands &amp; Enterta'!B408 = "", "", IF('6 - TV Stands &amp; Enterta-WUO_ERR'!A408 = "", "Validated", HYPERLINK("#" &amp; ADDRESS(408, '6 - TV Stands &amp; Enterta-WUO_TRK'!A408),_xlfn.TEXTAFTER('6 - TV Stands &amp; Enterta-WUO_ERR'!A408, ":"))))</f>
        <v/>
      </c>
    </row>
    <row r="409">
      <c r="A409" s="38">
        <f>IF('6 - TV Stands &amp; Enterta'!B409 = "", "", IF('6 - TV Stands &amp; Enterta-WUO_ERR'!A409 = "", "Validated", HYPERLINK("#" &amp; ADDRESS(409, '6 - TV Stands &amp; Enterta-WUO_TRK'!A409),_xlfn.TEXTAFTER('6 - TV Stands &amp; Enterta-WUO_ERR'!A409, ":"))))</f>
        <v/>
      </c>
    </row>
    <row r="410">
      <c r="A410" s="38">
        <f>IF('6 - TV Stands &amp; Enterta'!B410 = "", "", IF('6 - TV Stands &amp; Enterta-WUO_ERR'!A410 = "", "Validated", HYPERLINK("#" &amp; ADDRESS(410, '6 - TV Stands &amp; Enterta-WUO_TRK'!A410),_xlfn.TEXTAFTER('6 - TV Stands &amp; Enterta-WUO_ERR'!A410, ":"))))</f>
        <v/>
      </c>
    </row>
    <row r="411">
      <c r="A411" s="38">
        <f>IF('6 - TV Stands &amp; Enterta'!B411 = "", "", IF('6 - TV Stands &amp; Enterta-WUO_ERR'!A411 = "", "Validated", HYPERLINK("#" &amp; ADDRESS(411, '6 - TV Stands &amp; Enterta-WUO_TRK'!A411),_xlfn.TEXTAFTER('6 - TV Stands &amp; Enterta-WUO_ERR'!A411, ":"))))</f>
        <v/>
      </c>
    </row>
    <row r="412">
      <c r="A412" s="38">
        <f>IF('6 - TV Stands &amp; Enterta'!B412 = "", "", IF('6 - TV Stands &amp; Enterta-WUO_ERR'!A412 = "", "Validated", HYPERLINK("#" &amp; ADDRESS(412, '6 - TV Stands &amp; Enterta-WUO_TRK'!A412),_xlfn.TEXTAFTER('6 - TV Stands &amp; Enterta-WUO_ERR'!A412, ":"))))</f>
        <v/>
      </c>
    </row>
    <row r="413">
      <c r="A413" s="38">
        <f>IF('6 - TV Stands &amp; Enterta'!B413 = "", "", IF('6 - TV Stands &amp; Enterta-WUO_ERR'!A413 = "", "Validated", HYPERLINK("#" &amp; ADDRESS(413, '6 - TV Stands &amp; Enterta-WUO_TRK'!A413),_xlfn.TEXTAFTER('6 - TV Stands &amp; Enterta-WUO_ERR'!A413, ":"))))</f>
        <v/>
      </c>
    </row>
    <row r="414">
      <c r="A414" s="38">
        <f>IF('6 - TV Stands &amp; Enterta'!B414 = "", "", IF('6 - TV Stands &amp; Enterta-WUO_ERR'!A414 = "", "Validated", HYPERLINK("#" &amp; ADDRESS(414, '6 - TV Stands &amp; Enterta-WUO_TRK'!A414),_xlfn.TEXTAFTER('6 - TV Stands &amp; Enterta-WUO_ERR'!A414, ":"))))</f>
        <v/>
      </c>
    </row>
    <row r="415">
      <c r="A415" s="38">
        <f>IF('6 - TV Stands &amp; Enterta'!B415 = "", "", IF('6 - TV Stands &amp; Enterta-WUO_ERR'!A415 = "", "Validated", HYPERLINK("#" &amp; ADDRESS(415, '6 - TV Stands &amp; Enterta-WUO_TRK'!A415),_xlfn.TEXTAFTER('6 - TV Stands &amp; Enterta-WUO_ERR'!A415, ":"))))</f>
        <v/>
      </c>
    </row>
    <row r="416">
      <c r="A416" s="38">
        <f>IF('6 - TV Stands &amp; Enterta'!B416 = "", "", IF('6 - TV Stands &amp; Enterta-WUO_ERR'!A416 = "", "Validated", HYPERLINK("#" &amp; ADDRESS(416, '6 - TV Stands &amp; Enterta-WUO_TRK'!A416),_xlfn.TEXTAFTER('6 - TV Stands &amp; Enterta-WUO_ERR'!A416, ":"))))</f>
        <v/>
      </c>
    </row>
    <row r="417">
      <c r="A417" s="38">
        <f>IF('6 - TV Stands &amp; Enterta'!B417 = "", "", IF('6 - TV Stands &amp; Enterta-WUO_ERR'!A417 = "", "Validated", HYPERLINK("#" &amp; ADDRESS(417, '6 - TV Stands &amp; Enterta-WUO_TRK'!A417),_xlfn.TEXTAFTER('6 - TV Stands &amp; Enterta-WUO_ERR'!A417, ":"))))</f>
        <v/>
      </c>
    </row>
    <row r="418">
      <c r="A418" s="38">
        <f>IF('6 - TV Stands &amp; Enterta'!B418 = "", "", IF('6 - TV Stands &amp; Enterta-WUO_ERR'!A418 = "", "Validated", HYPERLINK("#" &amp; ADDRESS(418, '6 - TV Stands &amp; Enterta-WUO_TRK'!A418),_xlfn.TEXTAFTER('6 - TV Stands &amp; Enterta-WUO_ERR'!A418, ":"))))</f>
        <v/>
      </c>
    </row>
    <row r="419">
      <c r="A419" s="38">
        <f>IF('6 - TV Stands &amp; Enterta'!B419 = "", "", IF('6 - TV Stands &amp; Enterta-WUO_ERR'!A419 = "", "Validated", HYPERLINK("#" &amp; ADDRESS(419, '6 - TV Stands &amp; Enterta-WUO_TRK'!A419),_xlfn.TEXTAFTER('6 - TV Stands &amp; Enterta-WUO_ERR'!A419, ":"))))</f>
        <v/>
      </c>
    </row>
    <row r="420">
      <c r="A420" s="38">
        <f>IF('6 - TV Stands &amp; Enterta'!B420 = "", "", IF('6 - TV Stands &amp; Enterta-WUO_ERR'!A420 = "", "Validated", HYPERLINK("#" &amp; ADDRESS(420, '6 - TV Stands &amp; Enterta-WUO_TRK'!A420),_xlfn.TEXTAFTER('6 - TV Stands &amp; Enterta-WUO_ERR'!A420, ":"))))</f>
        <v/>
      </c>
    </row>
    <row r="421">
      <c r="A421" s="38">
        <f>IF('6 - TV Stands &amp; Enterta'!B421 = "", "", IF('6 - TV Stands &amp; Enterta-WUO_ERR'!A421 = "", "Validated", HYPERLINK("#" &amp; ADDRESS(421, '6 - TV Stands &amp; Enterta-WUO_TRK'!A421),_xlfn.TEXTAFTER('6 - TV Stands &amp; Enterta-WUO_ERR'!A421, ":"))))</f>
        <v/>
      </c>
    </row>
    <row r="422">
      <c r="A422" s="38">
        <f>IF('6 - TV Stands &amp; Enterta'!B422 = "", "", IF('6 - TV Stands &amp; Enterta-WUO_ERR'!A422 = "", "Validated", HYPERLINK("#" &amp; ADDRESS(422, '6 - TV Stands &amp; Enterta-WUO_TRK'!A422),_xlfn.TEXTAFTER('6 - TV Stands &amp; Enterta-WUO_ERR'!A422, ":"))))</f>
        <v/>
      </c>
    </row>
    <row r="423">
      <c r="A423" s="38">
        <f>IF('6 - TV Stands &amp; Enterta'!B423 = "", "", IF('6 - TV Stands &amp; Enterta-WUO_ERR'!A423 = "", "Validated", HYPERLINK("#" &amp; ADDRESS(423, '6 - TV Stands &amp; Enterta-WUO_TRK'!A423),_xlfn.TEXTAFTER('6 - TV Stands &amp; Enterta-WUO_ERR'!A423, ":"))))</f>
        <v/>
      </c>
    </row>
    <row r="424">
      <c r="A424" s="38">
        <f>IF('6 - TV Stands &amp; Enterta'!B424 = "", "", IF('6 - TV Stands &amp; Enterta-WUO_ERR'!A424 = "", "Validated", HYPERLINK("#" &amp; ADDRESS(424, '6 - TV Stands &amp; Enterta-WUO_TRK'!A424),_xlfn.TEXTAFTER('6 - TV Stands &amp; Enterta-WUO_ERR'!A424, ":"))))</f>
        <v/>
      </c>
    </row>
    <row r="425">
      <c r="A425" s="38">
        <f>IF('6 - TV Stands &amp; Enterta'!B425 = "", "", IF('6 - TV Stands &amp; Enterta-WUO_ERR'!A425 = "", "Validated", HYPERLINK("#" &amp; ADDRESS(425, '6 - TV Stands &amp; Enterta-WUO_TRK'!A425),_xlfn.TEXTAFTER('6 - TV Stands &amp; Enterta-WUO_ERR'!A425, ":"))))</f>
        <v/>
      </c>
    </row>
    <row r="426">
      <c r="A426" s="38">
        <f>IF('6 - TV Stands &amp; Enterta'!B426 = "", "", IF('6 - TV Stands &amp; Enterta-WUO_ERR'!A426 = "", "Validated", HYPERLINK("#" &amp; ADDRESS(426, '6 - TV Stands &amp; Enterta-WUO_TRK'!A426),_xlfn.TEXTAFTER('6 - TV Stands &amp; Enterta-WUO_ERR'!A426, ":"))))</f>
        <v/>
      </c>
    </row>
    <row r="427">
      <c r="A427" s="38">
        <f>IF('6 - TV Stands &amp; Enterta'!B427 = "", "", IF('6 - TV Stands &amp; Enterta-WUO_ERR'!A427 = "", "Validated", HYPERLINK("#" &amp; ADDRESS(427, '6 - TV Stands &amp; Enterta-WUO_TRK'!A427),_xlfn.TEXTAFTER('6 - TV Stands &amp; Enterta-WUO_ERR'!A427, ":"))))</f>
        <v/>
      </c>
    </row>
    <row r="428">
      <c r="A428" s="38">
        <f>IF('6 - TV Stands &amp; Enterta'!B428 = "", "", IF('6 - TV Stands &amp; Enterta-WUO_ERR'!A428 = "", "Validated", HYPERLINK("#" &amp; ADDRESS(428, '6 - TV Stands &amp; Enterta-WUO_TRK'!A428),_xlfn.TEXTAFTER('6 - TV Stands &amp; Enterta-WUO_ERR'!A428, ":"))))</f>
        <v/>
      </c>
    </row>
    <row r="429">
      <c r="A429" s="38">
        <f>IF('6 - TV Stands &amp; Enterta'!B429 = "", "", IF('6 - TV Stands &amp; Enterta-WUO_ERR'!A429 = "", "Validated", HYPERLINK("#" &amp; ADDRESS(429, '6 - TV Stands &amp; Enterta-WUO_TRK'!A429),_xlfn.TEXTAFTER('6 - TV Stands &amp; Enterta-WUO_ERR'!A429, ":"))))</f>
        <v/>
      </c>
    </row>
    <row r="430">
      <c r="A430" s="38">
        <f>IF('6 - TV Stands &amp; Enterta'!B430 = "", "", IF('6 - TV Stands &amp; Enterta-WUO_ERR'!A430 = "", "Validated", HYPERLINK("#" &amp; ADDRESS(430, '6 - TV Stands &amp; Enterta-WUO_TRK'!A430),_xlfn.TEXTAFTER('6 - TV Stands &amp; Enterta-WUO_ERR'!A430, ":"))))</f>
        <v/>
      </c>
    </row>
    <row r="431">
      <c r="A431" s="38">
        <f>IF('6 - TV Stands &amp; Enterta'!B431 = "", "", IF('6 - TV Stands &amp; Enterta-WUO_ERR'!A431 = "", "Validated", HYPERLINK("#" &amp; ADDRESS(431, '6 - TV Stands &amp; Enterta-WUO_TRK'!A431),_xlfn.TEXTAFTER('6 - TV Stands &amp; Enterta-WUO_ERR'!A431, ":"))))</f>
        <v/>
      </c>
    </row>
    <row r="432">
      <c r="A432" s="38">
        <f>IF('6 - TV Stands &amp; Enterta'!B432 = "", "", IF('6 - TV Stands &amp; Enterta-WUO_ERR'!A432 = "", "Validated", HYPERLINK("#" &amp; ADDRESS(432, '6 - TV Stands &amp; Enterta-WUO_TRK'!A432),_xlfn.TEXTAFTER('6 - TV Stands &amp; Enterta-WUO_ERR'!A432, ":"))))</f>
        <v/>
      </c>
    </row>
    <row r="433">
      <c r="A433" s="38">
        <f>IF('6 - TV Stands &amp; Enterta'!B433 = "", "", IF('6 - TV Stands &amp; Enterta-WUO_ERR'!A433 = "", "Validated", HYPERLINK("#" &amp; ADDRESS(433, '6 - TV Stands &amp; Enterta-WUO_TRK'!A433),_xlfn.TEXTAFTER('6 - TV Stands &amp; Enterta-WUO_ERR'!A433, ":"))))</f>
        <v/>
      </c>
    </row>
    <row r="434">
      <c r="A434" s="38">
        <f>IF('6 - TV Stands &amp; Enterta'!B434 = "", "", IF('6 - TV Stands &amp; Enterta-WUO_ERR'!A434 = "", "Validated", HYPERLINK("#" &amp; ADDRESS(434, '6 - TV Stands &amp; Enterta-WUO_TRK'!A434),_xlfn.TEXTAFTER('6 - TV Stands &amp; Enterta-WUO_ERR'!A434, ":"))))</f>
        <v/>
      </c>
    </row>
    <row r="435">
      <c r="A435" s="38">
        <f>IF('6 - TV Stands &amp; Enterta'!B435 = "", "", IF('6 - TV Stands &amp; Enterta-WUO_ERR'!A435 = "", "Validated", HYPERLINK("#" &amp; ADDRESS(435, '6 - TV Stands &amp; Enterta-WUO_TRK'!A435),_xlfn.TEXTAFTER('6 - TV Stands &amp; Enterta-WUO_ERR'!A435, ":"))))</f>
        <v/>
      </c>
    </row>
    <row r="436">
      <c r="A436" s="38">
        <f>IF('6 - TV Stands &amp; Enterta'!B436 = "", "", IF('6 - TV Stands &amp; Enterta-WUO_ERR'!A436 = "", "Validated", HYPERLINK("#" &amp; ADDRESS(436, '6 - TV Stands &amp; Enterta-WUO_TRK'!A436),_xlfn.TEXTAFTER('6 - TV Stands &amp; Enterta-WUO_ERR'!A436, ":"))))</f>
        <v/>
      </c>
    </row>
    <row r="437">
      <c r="A437" s="38">
        <f>IF('6 - TV Stands &amp; Enterta'!B437 = "", "", IF('6 - TV Stands &amp; Enterta-WUO_ERR'!A437 = "", "Validated", HYPERLINK("#" &amp; ADDRESS(437, '6 - TV Stands &amp; Enterta-WUO_TRK'!A437),_xlfn.TEXTAFTER('6 - TV Stands &amp; Enterta-WUO_ERR'!A437, ":"))))</f>
        <v/>
      </c>
    </row>
    <row r="438">
      <c r="A438" s="38">
        <f>IF('6 - TV Stands &amp; Enterta'!B438 = "", "", IF('6 - TV Stands &amp; Enterta-WUO_ERR'!A438 = "", "Validated", HYPERLINK("#" &amp; ADDRESS(438, '6 - TV Stands &amp; Enterta-WUO_TRK'!A438),_xlfn.TEXTAFTER('6 - TV Stands &amp; Enterta-WUO_ERR'!A438, ":"))))</f>
        <v/>
      </c>
    </row>
    <row r="439">
      <c r="A439" s="38">
        <f>IF('6 - TV Stands &amp; Enterta'!B439 = "", "", IF('6 - TV Stands &amp; Enterta-WUO_ERR'!A439 = "", "Validated", HYPERLINK("#" &amp; ADDRESS(439, '6 - TV Stands &amp; Enterta-WUO_TRK'!A439),_xlfn.TEXTAFTER('6 - TV Stands &amp; Enterta-WUO_ERR'!A439, ":"))))</f>
        <v/>
      </c>
    </row>
    <row r="440">
      <c r="A440" s="38">
        <f>IF('6 - TV Stands &amp; Enterta'!B440 = "", "", IF('6 - TV Stands &amp; Enterta-WUO_ERR'!A440 = "", "Validated", HYPERLINK("#" &amp; ADDRESS(440, '6 - TV Stands &amp; Enterta-WUO_TRK'!A440),_xlfn.TEXTAFTER('6 - TV Stands &amp; Enterta-WUO_ERR'!A440, ":"))))</f>
        <v/>
      </c>
    </row>
    <row r="441">
      <c r="A441" s="38">
        <f>IF('6 - TV Stands &amp; Enterta'!B441 = "", "", IF('6 - TV Stands &amp; Enterta-WUO_ERR'!A441 = "", "Validated", HYPERLINK("#" &amp; ADDRESS(441, '6 - TV Stands &amp; Enterta-WUO_TRK'!A441),_xlfn.TEXTAFTER('6 - TV Stands &amp; Enterta-WUO_ERR'!A441, ":"))))</f>
        <v/>
      </c>
    </row>
    <row r="442">
      <c r="A442" s="38">
        <f>IF('6 - TV Stands &amp; Enterta'!B442 = "", "", IF('6 - TV Stands &amp; Enterta-WUO_ERR'!A442 = "", "Validated", HYPERLINK("#" &amp; ADDRESS(442, '6 - TV Stands &amp; Enterta-WUO_TRK'!A442),_xlfn.TEXTAFTER('6 - TV Stands &amp; Enterta-WUO_ERR'!A442, ":"))))</f>
        <v/>
      </c>
    </row>
    <row r="443">
      <c r="A443" s="38">
        <f>IF('6 - TV Stands &amp; Enterta'!B443 = "", "", IF('6 - TV Stands &amp; Enterta-WUO_ERR'!A443 = "", "Validated", HYPERLINK("#" &amp; ADDRESS(443, '6 - TV Stands &amp; Enterta-WUO_TRK'!A443),_xlfn.TEXTAFTER('6 - TV Stands &amp; Enterta-WUO_ERR'!A443, ":"))))</f>
        <v/>
      </c>
    </row>
    <row r="444">
      <c r="A444" s="38">
        <f>IF('6 - TV Stands &amp; Enterta'!B444 = "", "", IF('6 - TV Stands &amp; Enterta-WUO_ERR'!A444 = "", "Validated", HYPERLINK("#" &amp; ADDRESS(444, '6 - TV Stands &amp; Enterta-WUO_TRK'!A444),_xlfn.TEXTAFTER('6 - TV Stands &amp; Enterta-WUO_ERR'!A444, ":"))))</f>
        <v/>
      </c>
    </row>
    <row r="445">
      <c r="A445" s="38">
        <f>IF('6 - TV Stands &amp; Enterta'!B445 = "", "", IF('6 - TV Stands &amp; Enterta-WUO_ERR'!A445 = "", "Validated", HYPERLINK("#" &amp; ADDRESS(445, '6 - TV Stands &amp; Enterta-WUO_TRK'!A445),_xlfn.TEXTAFTER('6 - TV Stands &amp; Enterta-WUO_ERR'!A445, ":"))))</f>
        <v/>
      </c>
    </row>
    <row r="446">
      <c r="A446" s="38">
        <f>IF('6 - TV Stands &amp; Enterta'!B446 = "", "", IF('6 - TV Stands &amp; Enterta-WUO_ERR'!A446 = "", "Validated", HYPERLINK("#" &amp; ADDRESS(446, '6 - TV Stands &amp; Enterta-WUO_TRK'!A446),_xlfn.TEXTAFTER('6 - TV Stands &amp; Enterta-WUO_ERR'!A446, ":"))))</f>
        <v/>
      </c>
    </row>
    <row r="447">
      <c r="A447" s="38">
        <f>IF('6 - TV Stands &amp; Enterta'!B447 = "", "", IF('6 - TV Stands &amp; Enterta-WUO_ERR'!A447 = "", "Validated", HYPERLINK("#" &amp; ADDRESS(447, '6 - TV Stands &amp; Enterta-WUO_TRK'!A447),_xlfn.TEXTAFTER('6 - TV Stands &amp; Enterta-WUO_ERR'!A447, ":"))))</f>
        <v/>
      </c>
    </row>
    <row r="448">
      <c r="A448" s="38">
        <f>IF('6 - TV Stands &amp; Enterta'!B448 = "", "", IF('6 - TV Stands &amp; Enterta-WUO_ERR'!A448 = "", "Validated", HYPERLINK("#" &amp; ADDRESS(448, '6 - TV Stands &amp; Enterta-WUO_TRK'!A448),_xlfn.TEXTAFTER('6 - TV Stands &amp; Enterta-WUO_ERR'!A448, ":"))))</f>
        <v/>
      </c>
    </row>
    <row r="449">
      <c r="A449" s="38">
        <f>IF('6 - TV Stands &amp; Enterta'!B449 = "", "", IF('6 - TV Stands &amp; Enterta-WUO_ERR'!A449 = "", "Validated", HYPERLINK("#" &amp; ADDRESS(449, '6 - TV Stands &amp; Enterta-WUO_TRK'!A449),_xlfn.TEXTAFTER('6 - TV Stands &amp; Enterta-WUO_ERR'!A449, ":"))))</f>
        <v/>
      </c>
    </row>
    <row r="450">
      <c r="A450" s="38">
        <f>IF('6 - TV Stands &amp; Enterta'!B450 = "", "", IF('6 - TV Stands &amp; Enterta-WUO_ERR'!A450 = "", "Validated", HYPERLINK("#" &amp; ADDRESS(450, '6 - TV Stands &amp; Enterta-WUO_TRK'!A450),_xlfn.TEXTAFTER('6 - TV Stands &amp; Enterta-WUO_ERR'!A450, ":"))))</f>
        <v/>
      </c>
    </row>
    <row r="451">
      <c r="A451" s="38">
        <f>IF('6 - TV Stands &amp; Enterta'!B451 = "", "", IF('6 - TV Stands &amp; Enterta-WUO_ERR'!A451 = "", "Validated", HYPERLINK("#" &amp; ADDRESS(451, '6 - TV Stands &amp; Enterta-WUO_TRK'!A451),_xlfn.TEXTAFTER('6 - TV Stands &amp; Enterta-WUO_ERR'!A451, ":"))))</f>
        <v/>
      </c>
    </row>
    <row r="452">
      <c r="A452" s="38">
        <f>IF('6 - TV Stands &amp; Enterta'!B452 = "", "", IF('6 - TV Stands &amp; Enterta-WUO_ERR'!A452 = "", "Validated", HYPERLINK("#" &amp; ADDRESS(452, '6 - TV Stands &amp; Enterta-WUO_TRK'!A452),_xlfn.TEXTAFTER('6 - TV Stands &amp; Enterta-WUO_ERR'!A452, ":"))))</f>
        <v/>
      </c>
    </row>
    <row r="453">
      <c r="A453" s="38">
        <f>IF('6 - TV Stands &amp; Enterta'!B453 = "", "", IF('6 - TV Stands &amp; Enterta-WUO_ERR'!A453 = "", "Validated", HYPERLINK("#" &amp; ADDRESS(453, '6 - TV Stands &amp; Enterta-WUO_TRK'!A453),_xlfn.TEXTAFTER('6 - TV Stands &amp; Enterta-WUO_ERR'!A453, ":"))))</f>
        <v/>
      </c>
    </row>
    <row r="454">
      <c r="A454" s="38">
        <f>IF('6 - TV Stands &amp; Enterta'!B454 = "", "", IF('6 - TV Stands &amp; Enterta-WUO_ERR'!A454 = "", "Validated", HYPERLINK("#" &amp; ADDRESS(454, '6 - TV Stands &amp; Enterta-WUO_TRK'!A454),_xlfn.TEXTAFTER('6 - TV Stands &amp; Enterta-WUO_ERR'!A454, ":"))))</f>
        <v/>
      </c>
    </row>
    <row r="455">
      <c r="A455" s="38">
        <f>IF('6 - TV Stands &amp; Enterta'!B455 = "", "", IF('6 - TV Stands &amp; Enterta-WUO_ERR'!A455 = "", "Validated", HYPERLINK("#" &amp; ADDRESS(455, '6 - TV Stands &amp; Enterta-WUO_TRK'!A455),_xlfn.TEXTAFTER('6 - TV Stands &amp; Enterta-WUO_ERR'!A455, ":"))))</f>
        <v/>
      </c>
    </row>
    <row r="456">
      <c r="A456" s="38">
        <f>IF('6 - TV Stands &amp; Enterta'!B456 = "", "", IF('6 - TV Stands &amp; Enterta-WUO_ERR'!A456 = "", "Validated", HYPERLINK("#" &amp; ADDRESS(456, '6 - TV Stands &amp; Enterta-WUO_TRK'!A456),_xlfn.TEXTAFTER('6 - TV Stands &amp; Enterta-WUO_ERR'!A456, ":"))))</f>
        <v/>
      </c>
    </row>
    <row r="457">
      <c r="A457" s="38">
        <f>IF('6 - TV Stands &amp; Enterta'!B457 = "", "", IF('6 - TV Stands &amp; Enterta-WUO_ERR'!A457 = "", "Validated", HYPERLINK("#" &amp; ADDRESS(457, '6 - TV Stands &amp; Enterta-WUO_TRK'!A457),_xlfn.TEXTAFTER('6 - TV Stands &amp; Enterta-WUO_ERR'!A457, ":"))))</f>
        <v/>
      </c>
    </row>
    <row r="458">
      <c r="A458" s="38">
        <f>IF('6 - TV Stands &amp; Enterta'!B458 = "", "", IF('6 - TV Stands &amp; Enterta-WUO_ERR'!A458 = "", "Validated", HYPERLINK("#" &amp; ADDRESS(458, '6 - TV Stands &amp; Enterta-WUO_TRK'!A458),_xlfn.TEXTAFTER('6 - TV Stands &amp; Enterta-WUO_ERR'!A458, ":"))))</f>
        <v/>
      </c>
    </row>
    <row r="459">
      <c r="A459" s="38">
        <f>IF('6 - TV Stands &amp; Enterta'!B459 = "", "", IF('6 - TV Stands &amp; Enterta-WUO_ERR'!A459 = "", "Validated", HYPERLINK("#" &amp; ADDRESS(459, '6 - TV Stands &amp; Enterta-WUO_TRK'!A459),_xlfn.TEXTAFTER('6 - TV Stands &amp; Enterta-WUO_ERR'!A459, ":"))))</f>
        <v/>
      </c>
    </row>
    <row r="460">
      <c r="A460" s="38">
        <f>IF('6 - TV Stands &amp; Enterta'!B460 = "", "", IF('6 - TV Stands &amp; Enterta-WUO_ERR'!A460 = "", "Validated", HYPERLINK("#" &amp; ADDRESS(460, '6 - TV Stands &amp; Enterta-WUO_TRK'!A460),_xlfn.TEXTAFTER('6 - TV Stands &amp; Enterta-WUO_ERR'!A460, ":"))))</f>
        <v/>
      </c>
    </row>
    <row r="461">
      <c r="A461" s="38">
        <f>IF('6 - TV Stands &amp; Enterta'!B461 = "", "", IF('6 - TV Stands &amp; Enterta-WUO_ERR'!A461 = "", "Validated", HYPERLINK("#" &amp; ADDRESS(461, '6 - TV Stands &amp; Enterta-WUO_TRK'!A461),_xlfn.TEXTAFTER('6 - TV Stands &amp; Enterta-WUO_ERR'!A461, ":"))))</f>
        <v/>
      </c>
    </row>
    <row r="462">
      <c r="A462" s="38">
        <f>IF('6 - TV Stands &amp; Enterta'!B462 = "", "", IF('6 - TV Stands &amp; Enterta-WUO_ERR'!A462 = "", "Validated", HYPERLINK("#" &amp; ADDRESS(462, '6 - TV Stands &amp; Enterta-WUO_TRK'!A462),_xlfn.TEXTAFTER('6 - TV Stands &amp; Enterta-WUO_ERR'!A462, ":"))))</f>
        <v/>
      </c>
    </row>
    <row r="463">
      <c r="A463" s="38">
        <f>IF('6 - TV Stands &amp; Enterta'!B463 = "", "", IF('6 - TV Stands &amp; Enterta-WUO_ERR'!A463 = "", "Validated", HYPERLINK("#" &amp; ADDRESS(463, '6 - TV Stands &amp; Enterta-WUO_TRK'!A463),_xlfn.TEXTAFTER('6 - TV Stands &amp; Enterta-WUO_ERR'!A463, ":"))))</f>
        <v/>
      </c>
    </row>
    <row r="464">
      <c r="A464" s="38">
        <f>IF('6 - TV Stands &amp; Enterta'!B464 = "", "", IF('6 - TV Stands &amp; Enterta-WUO_ERR'!A464 = "", "Validated", HYPERLINK("#" &amp; ADDRESS(464, '6 - TV Stands &amp; Enterta-WUO_TRK'!A464),_xlfn.TEXTAFTER('6 - TV Stands &amp; Enterta-WUO_ERR'!A464, ":"))))</f>
        <v/>
      </c>
    </row>
    <row r="465">
      <c r="A465" s="38">
        <f>IF('6 - TV Stands &amp; Enterta'!B465 = "", "", IF('6 - TV Stands &amp; Enterta-WUO_ERR'!A465 = "", "Validated", HYPERLINK("#" &amp; ADDRESS(465, '6 - TV Stands &amp; Enterta-WUO_TRK'!A465),_xlfn.TEXTAFTER('6 - TV Stands &amp; Enterta-WUO_ERR'!A465, ":"))))</f>
        <v/>
      </c>
    </row>
    <row r="466">
      <c r="A466" s="38">
        <f>IF('6 - TV Stands &amp; Enterta'!B466 = "", "", IF('6 - TV Stands &amp; Enterta-WUO_ERR'!A466 = "", "Validated", HYPERLINK("#" &amp; ADDRESS(466, '6 - TV Stands &amp; Enterta-WUO_TRK'!A466),_xlfn.TEXTAFTER('6 - TV Stands &amp; Enterta-WUO_ERR'!A466, ":"))))</f>
        <v/>
      </c>
    </row>
    <row r="467">
      <c r="A467" s="38">
        <f>IF('6 - TV Stands &amp; Enterta'!B467 = "", "", IF('6 - TV Stands &amp; Enterta-WUO_ERR'!A467 = "", "Validated", HYPERLINK("#" &amp; ADDRESS(467, '6 - TV Stands &amp; Enterta-WUO_TRK'!A467),_xlfn.TEXTAFTER('6 - TV Stands &amp; Enterta-WUO_ERR'!A467, ":"))))</f>
        <v/>
      </c>
    </row>
    <row r="468">
      <c r="A468" s="38">
        <f>IF('6 - TV Stands &amp; Enterta'!B468 = "", "", IF('6 - TV Stands &amp; Enterta-WUO_ERR'!A468 = "", "Validated", HYPERLINK("#" &amp; ADDRESS(468, '6 - TV Stands &amp; Enterta-WUO_TRK'!A468),_xlfn.TEXTAFTER('6 - TV Stands &amp; Enterta-WUO_ERR'!A468, ":"))))</f>
        <v/>
      </c>
    </row>
    <row r="469">
      <c r="A469" s="38">
        <f>IF('6 - TV Stands &amp; Enterta'!B469 = "", "", IF('6 - TV Stands &amp; Enterta-WUO_ERR'!A469 = "", "Validated", HYPERLINK("#" &amp; ADDRESS(469, '6 - TV Stands &amp; Enterta-WUO_TRK'!A469),_xlfn.TEXTAFTER('6 - TV Stands &amp; Enterta-WUO_ERR'!A469, ":"))))</f>
        <v/>
      </c>
    </row>
    <row r="470">
      <c r="A470" s="38">
        <f>IF('6 - TV Stands &amp; Enterta'!B470 = "", "", IF('6 - TV Stands &amp; Enterta-WUO_ERR'!A470 = "", "Validated", HYPERLINK("#" &amp; ADDRESS(470, '6 - TV Stands &amp; Enterta-WUO_TRK'!A470),_xlfn.TEXTAFTER('6 - TV Stands &amp; Enterta-WUO_ERR'!A470, ":"))))</f>
        <v/>
      </c>
    </row>
    <row r="471">
      <c r="A471" s="38">
        <f>IF('6 - TV Stands &amp; Enterta'!B471 = "", "", IF('6 - TV Stands &amp; Enterta-WUO_ERR'!A471 = "", "Validated", HYPERLINK("#" &amp; ADDRESS(471, '6 - TV Stands &amp; Enterta-WUO_TRK'!A471),_xlfn.TEXTAFTER('6 - TV Stands &amp; Enterta-WUO_ERR'!A471, ":"))))</f>
        <v/>
      </c>
    </row>
    <row r="472">
      <c r="A472" s="38">
        <f>IF('6 - TV Stands &amp; Enterta'!B472 = "", "", IF('6 - TV Stands &amp; Enterta-WUO_ERR'!A472 = "", "Validated", HYPERLINK("#" &amp; ADDRESS(472, '6 - TV Stands &amp; Enterta-WUO_TRK'!A472),_xlfn.TEXTAFTER('6 - TV Stands &amp; Enterta-WUO_ERR'!A472, ":"))))</f>
        <v/>
      </c>
    </row>
    <row r="473">
      <c r="A473" s="38">
        <f>IF('6 - TV Stands &amp; Enterta'!B473 = "", "", IF('6 - TV Stands &amp; Enterta-WUO_ERR'!A473 = "", "Validated", HYPERLINK("#" &amp; ADDRESS(473, '6 - TV Stands &amp; Enterta-WUO_TRK'!A473),_xlfn.TEXTAFTER('6 - TV Stands &amp; Enterta-WUO_ERR'!A473, ":"))))</f>
        <v/>
      </c>
    </row>
    <row r="474">
      <c r="A474" s="38">
        <f>IF('6 - TV Stands &amp; Enterta'!B474 = "", "", IF('6 - TV Stands &amp; Enterta-WUO_ERR'!A474 = "", "Validated", HYPERLINK("#" &amp; ADDRESS(474, '6 - TV Stands &amp; Enterta-WUO_TRK'!A474),_xlfn.TEXTAFTER('6 - TV Stands &amp; Enterta-WUO_ERR'!A474, ":"))))</f>
        <v/>
      </c>
    </row>
    <row r="475">
      <c r="A475" s="38">
        <f>IF('6 - TV Stands &amp; Enterta'!B475 = "", "", IF('6 - TV Stands &amp; Enterta-WUO_ERR'!A475 = "", "Validated", HYPERLINK("#" &amp; ADDRESS(475, '6 - TV Stands &amp; Enterta-WUO_TRK'!A475),_xlfn.TEXTAFTER('6 - TV Stands &amp; Enterta-WUO_ERR'!A475, ":"))))</f>
        <v/>
      </c>
    </row>
    <row r="476">
      <c r="A476" s="38">
        <f>IF('6 - TV Stands &amp; Enterta'!B476 = "", "", IF('6 - TV Stands &amp; Enterta-WUO_ERR'!A476 = "", "Validated", HYPERLINK("#" &amp; ADDRESS(476, '6 - TV Stands &amp; Enterta-WUO_TRK'!A476),_xlfn.TEXTAFTER('6 - TV Stands &amp; Enterta-WUO_ERR'!A476, ":"))))</f>
        <v/>
      </c>
    </row>
    <row r="477">
      <c r="A477" s="38">
        <f>IF('6 - TV Stands &amp; Enterta'!B477 = "", "", IF('6 - TV Stands &amp; Enterta-WUO_ERR'!A477 = "", "Validated", HYPERLINK("#" &amp; ADDRESS(477, '6 - TV Stands &amp; Enterta-WUO_TRK'!A477),_xlfn.TEXTAFTER('6 - TV Stands &amp; Enterta-WUO_ERR'!A477, ":"))))</f>
        <v/>
      </c>
    </row>
    <row r="478">
      <c r="A478" s="38">
        <f>IF('6 - TV Stands &amp; Enterta'!B478 = "", "", IF('6 - TV Stands &amp; Enterta-WUO_ERR'!A478 = "", "Validated", HYPERLINK("#" &amp; ADDRESS(478, '6 - TV Stands &amp; Enterta-WUO_TRK'!A478),_xlfn.TEXTAFTER('6 - TV Stands &amp; Enterta-WUO_ERR'!A478, ":"))))</f>
        <v/>
      </c>
    </row>
    <row r="479">
      <c r="A479" s="38">
        <f>IF('6 - TV Stands &amp; Enterta'!B479 = "", "", IF('6 - TV Stands &amp; Enterta-WUO_ERR'!A479 = "", "Validated", HYPERLINK("#" &amp; ADDRESS(479, '6 - TV Stands &amp; Enterta-WUO_TRK'!A479),_xlfn.TEXTAFTER('6 - TV Stands &amp; Enterta-WUO_ERR'!A479, ":"))))</f>
        <v/>
      </c>
    </row>
    <row r="480">
      <c r="A480" s="38">
        <f>IF('6 - TV Stands &amp; Enterta'!B480 = "", "", IF('6 - TV Stands &amp; Enterta-WUO_ERR'!A480 = "", "Validated", HYPERLINK("#" &amp; ADDRESS(480, '6 - TV Stands &amp; Enterta-WUO_TRK'!A480),_xlfn.TEXTAFTER('6 - TV Stands &amp; Enterta-WUO_ERR'!A480, ":"))))</f>
        <v/>
      </c>
    </row>
    <row r="481">
      <c r="A481" s="38">
        <f>IF('6 - TV Stands &amp; Enterta'!B481 = "", "", IF('6 - TV Stands &amp; Enterta-WUO_ERR'!A481 = "", "Validated", HYPERLINK("#" &amp; ADDRESS(481, '6 - TV Stands &amp; Enterta-WUO_TRK'!A481),_xlfn.TEXTAFTER('6 - TV Stands &amp; Enterta-WUO_ERR'!A481, ":"))))</f>
        <v/>
      </c>
    </row>
    <row r="482">
      <c r="A482" s="38">
        <f>IF('6 - TV Stands &amp; Enterta'!B482 = "", "", IF('6 - TV Stands &amp; Enterta-WUO_ERR'!A482 = "", "Validated", HYPERLINK("#" &amp; ADDRESS(482, '6 - TV Stands &amp; Enterta-WUO_TRK'!A482),_xlfn.TEXTAFTER('6 - TV Stands &amp; Enterta-WUO_ERR'!A482, ":"))))</f>
        <v/>
      </c>
    </row>
    <row r="483">
      <c r="A483" s="38">
        <f>IF('6 - TV Stands &amp; Enterta'!B483 = "", "", IF('6 - TV Stands &amp; Enterta-WUO_ERR'!A483 = "", "Validated", HYPERLINK("#" &amp; ADDRESS(483, '6 - TV Stands &amp; Enterta-WUO_TRK'!A483),_xlfn.TEXTAFTER('6 - TV Stands &amp; Enterta-WUO_ERR'!A483, ":"))))</f>
        <v/>
      </c>
    </row>
    <row r="484">
      <c r="A484" s="38">
        <f>IF('6 - TV Stands &amp; Enterta'!B484 = "", "", IF('6 - TV Stands &amp; Enterta-WUO_ERR'!A484 = "", "Validated", HYPERLINK("#" &amp; ADDRESS(484, '6 - TV Stands &amp; Enterta-WUO_TRK'!A484),_xlfn.TEXTAFTER('6 - TV Stands &amp; Enterta-WUO_ERR'!A484, ":"))))</f>
        <v/>
      </c>
    </row>
    <row r="485">
      <c r="A485" s="38">
        <f>IF('6 - TV Stands &amp; Enterta'!B485 = "", "", IF('6 - TV Stands &amp; Enterta-WUO_ERR'!A485 = "", "Validated", HYPERLINK("#" &amp; ADDRESS(485, '6 - TV Stands &amp; Enterta-WUO_TRK'!A485),_xlfn.TEXTAFTER('6 - TV Stands &amp; Enterta-WUO_ERR'!A485, ":"))))</f>
        <v/>
      </c>
    </row>
    <row r="486">
      <c r="A486" s="38">
        <f>IF('6 - TV Stands &amp; Enterta'!B486 = "", "", IF('6 - TV Stands &amp; Enterta-WUO_ERR'!A486 = "", "Validated", HYPERLINK("#" &amp; ADDRESS(486, '6 - TV Stands &amp; Enterta-WUO_TRK'!A486),_xlfn.TEXTAFTER('6 - TV Stands &amp; Enterta-WUO_ERR'!A486, ":"))))</f>
        <v/>
      </c>
    </row>
    <row r="487">
      <c r="A487" s="38">
        <f>IF('6 - TV Stands &amp; Enterta'!B487 = "", "", IF('6 - TV Stands &amp; Enterta-WUO_ERR'!A487 = "", "Validated", HYPERLINK("#" &amp; ADDRESS(487, '6 - TV Stands &amp; Enterta-WUO_TRK'!A487),_xlfn.TEXTAFTER('6 - TV Stands &amp; Enterta-WUO_ERR'!A487, ":"))))</f>
        <v/>
      </c>
    </row>
    <row r="488">
      <c r="A488" s="38">
        <f>IF('6 - TV Stands &amp; Enterta'!B488 = "", "", IF('6 - TV Stands &amp; Enterta-WUO_ERR'!A488 = "", "Validated", HYPERLINK("#" &amp; ADDRESS(488, '6 - TV Stands &amp; Enterta-WUO_TRK'!A488),_xlfn.TEXTAFTER('6 - TV Stands &amp; Enterta-WUO_ERR'!A488, ":"))))</f>
        <v/>
      </c>
    </row>
    <row r="489">
      <c r="A489" s="38">
        <f>IF('6 - TV Stands &amp; Enterta'!B489 = "", "", IF('6 - TV Stands &amp; Enterta-WUO_ERR'!A489 = "", "Validated", HYPERLINK("#" &amp; ADDRESS(489, '6 - TV Stands &amp; Enterta-WUO_TRK'!A489),_xlfn.TEXTAFTER('6 - TV Stands &amp; Enterta-WUO_ERR'!A489, ":"))))</f>
        <v/>
      </c>
    </row>
    <row r="490">
      <c r="A490" s="38">
        <f>IF('6 - TV Stands &amp; Enterta'!B490 = "", "", IF('6 - TV Stands &amp; Enterta-WUO_ERR'!A490 = "", "Validated", HYPERLINK("#" &amp; ADDRESS(490, '6 - TV Stands &amp; Enterta-WUO_TRK'!A490),_xlfn.TEXTAFTER('6 - TV Stands &amp; Enterta-WUO_ERR'!A490, ":"))))</f>
        <v/>
      </c>
    </row>
    <row r="491">
      <c r="A491" s="38">
        <f>IF('6 - TV Stands &amp; Enterta'!B491 = "", "", IF('6 - TV Stands &amp; Enterta-WUO_ERR'!A491 = "", "Validated", HYPERLINK("#" &amp; ADDRESS(491, '6 - TV Stands &amp; Enterta-WUO_TRK'!A491),_xlfn.TEXTAFTER('6 - TV Stands &amp; Enterta-WUO_ERR'!A491, ":"))))</f>
        <v/>
      </c>
    </row>
    <row r="492">
      <c r="A492" s="38">
        <f>IF('6 - TV Stands &amp; Enterta'!B492 = "", "", IF('6 - TV Stands &amp; Enterta-WUO_ERR'!A492 = "", "Validated", HYPERLINK("#" &amp; ADDRESS(492, '6 - TV Stands &amp; Enterta-WUO_TRK'!A492),_xlfn.TEXTAFTER('6 - TV Stands &amp; Enterta-WUO_ERR'!A492, ":"))))</f>
        <v/>
      </c>
    </row>
    <row r="493">
      <c r="A493" s="38">
        <f>IF('6 - TV Stands &amp; Enterta'!B493 = "", "", IF('6 - TV Stands &amp; Enterta-WUO_ERR'!A493 = "", "Validated", HYPERLINK("#" &amp; ADDRESS(493, '6 - TV Stands &amp; Enterta-WUO_TRK'!A493),_xlfn.TEXTAFTER('6 - TV Stands &amp; Enterta-WUO_ERR'!A493, ":"))))</f>
        <v/>
      </c>
    </row>
    <row r="494">
      <c r="A494" s="38">
        <f>IF('6 - TV Stands &amp; Enterta'!B494 = "", "", IF('6 - TV Stands &amp; Enterta-WUO_ERR'!A494 = "", "Validated", HYPERLINK("#" &amp; ADDRESS(494, '6 - TV Stands &amp; Enterta-WUO_TRK'!A494),_xlfn.TEXTAFTER('6 - TV Stands &amp; Enterta-WUO_ERR'!A494, ":"))))</f>
        <v/>
      </c>
    </row>
    <row r="495">
      <c r="A495" s="38">
        <f>IF('6 - TV Stands &amp; Enterta'!B495 = "", "", IF('6 - TV Stands &amp; Enterta-WUO_ERR'!A495 = "", "Validated", HYPERLINK("#" &amp; ADDRESS(495, '6 - TV Stands &amp; Enterta-WUO_TRK'!A495),_xlfn.TEXTAFTER('6 - TV Stands &amp; Enterta-WUO_ERR'!A495, ":"))))</f>
        <v/>
      </c>
    </row>
    <row r="496">
      <c r="A496" s="38">
        <f>IF('6 - TV Stands &amp; Enterta'!B496 = "", "", IF('6 - TV Stands &amp; Enterta-WUO_ERR'!A496 = "", "Validated", HYPERLINK("#" &amp; ADDRESS(496, '6 - TV Stands &amp; Enterta-WUO_TRK'!A496),_xlfn.TEXTAFTER('6 - TV Stands &amp; Enterta-WUO_ERR'!A496, ":"))))</f>
        <v/>
      </c>
    </row>
    <row r="497">
      <c r="A497" s="38">
        <f>IF('6 - TV Stands &amp; Enterta'!B497 = "", "", IF('6 - TV Stands &amp; Enterta-WUO_ERR'!A497 = "", "Validated", HYPERLINK("#" &amp; ADDRESS(497, '6 - TV Stands &amp; Enterta-WUO_TRK'!A497),_xlfn.TEXTAFTER('6 - TV Stands &amp; Enterta-WUO_ERR'!A497, ":"))))</f>
        <v/>
      </c>
    </row>
    <row r="498">
      <c r="A498" s="38">
        <f>IF('6 - TV Stands &amp; Enterta'!B498 = "", "", IF('6 - TV Stands &amp; Enterta-WUO_ERR'!A498 = "", "Validated", HYPERLINK("#" &amp; ADDRESS(498, '6 - TV Stands &amp; Enterta-WUO_TRK'!A498),_xlfn.TEXTAFTER('6 - TV Stands &amp; Enterta-WUO_ERR'!A498, ":"))))</f>
        <v/>
      </c>
    </row>
    <row r="499">
      <c r="A499" s="38">
        <f>IF('6 - TV Stands &amp; Enterta'!B499 = "", "", IF('6 - TV Stands &amp; Enterta-WUO_ERR'!A499 = "", "Validated", HYPERLINK("#" &amp; ADDRESS(499, '6 - TV Stands &amp; Enterta-WUO_TRK'!A499),_xlfn.TEXTAFTER('6 - TV Stands &amp; Enterta-WUO_ERR'!A499, ":"))))</f>
        <v/>
      </c>
    </row>
    <row r="500">
      <c r="A500" s="38">
        <f>IF('6 - TV Stands &amp; Enterta'!B500 = "", "", IF('6 - TV Stands &amp; Enterta-WUO_ERR'!A500 = "", "Validated", HYPERLINK("#" &amp; ADDRESS(500, '6 - TV Stands &amp; Enterta-WUO_TRK'!A500),_xlfn.TEXTAFTER('6 - TV Stands &amp; Enterta-WUO_ERR'!A500, ":"))))</f>
        <v/>
      </c>
    </row>
    <row r="501">
      <c r="A501" s="38">
        <f>IF('6 - TV Stands &amp; Enterta'!B501 = "", "", IF('6 - TV Stands &amp; Enterta-WUO_ERR'!A501 = "", "Validated", HYPERLINK("#" &amp; ADDRESS(501, '6 - TV Stands &amp; Enterta-WUO_TRK'!A501),_xlfn.TEXTAFTER('6 - TV Stands &amp; Enterta-WUO_ERR'!A501, ":"))))</f>
        <v/>
      </c>
    </row>
    <row r="502">
      <c r="A502" s="38">
        <f>IF('6 - TV Stands &amp; Enterta'!B502 = "", "", IF('6 - TV Stands &amp; Enterta-WUO_ERR'!A502 = "", "Validated", HYPERLINK("#" &amp; ADDRESS(502, '6 - TV Stands &amp; Enterta-WUO_TRK'!A502),_xlfn.TEXTAFTER('6 - TV Stands &amp; Enterta-WUO_ERR'!A502, ":"))))</f>
        <v/>
      </c>
    </row>
    <row r="503">
      <c r="A503" s="38">
        <f>IF('6 - TV Stands &amp; Enterta'!B503 = "", "", IF('6 - TV Stands &amp; Enterta-WUO_ERR'!A503 = "", "Validated", HYPERLINK("#" &amp; ADDRESS(503, '6 - TV Stands &amp; Enterta-WUO_TRK'!A503),_xlfn.TEXTAFTER('6 - TV Stands &amp; Enterta-WUO_ERR'!A503, ":"))))</f>
        <v/>
      </c>
    </row>
    <row r="504">
      <c r="A504" s="38">
        <f>IF('6 - TV Stands &amp; Enterta'!B504 = "", "", IF('6 - TV Stands &amp; Enterta-WUO_ERR'!A504 = "", "Validated", HYPERLINK("#" &amp; ADDRESS(504, '6 - TV Stands &amp; Enterta-WUO_TRK'!A504),_xlfn.TEXTAFTER('6 - TV Stands &amp; Enterta-WUO_ERR'!A504, ":"))))</f>
        <v/>
      </c>
    </row>
    <row r="505">
      <c r="A505" s="38">
        <f>IF('6 - TV Stands &amp; Enterta'!B505 = "", "", IF('6 - TV Stands &amp; Enterta-WUO_ERR'!A505 = "", "Validated", HYPERLINK("#" &amp; ADDRESS(505, '6 - TV Stands &amp; Enterta-WUO_TRK'!A505),_xlfn.TEXTAFTER('6 - TV Stands &amp; Enterta-WUO_ERR'!A505, ":"))))</f>
        <v/>
      </c>
    </row>
    <row r="506">
      <c r="A506" s="38">
        <f>IF('6 - TV Stands &amp; Enterta'!B506 = "", "", IF('6 - TV Stands &amp; Enterta-WUO_ERR'!A506 = "", "Validated", HYPERLINK("#" &amp; ADDRESS(506, '6 - TV Stands &amp; Enterta-WUO_TRK'!A506),_xlfn.TEXTAFTER('6 - TV Stands &amp; Enterta-WUO_ERR'!A506, ":"))))</f>
        <v/>
      </c>
    </row>
    <row r="507">
      <c r="A507" s="38">
        <f>IF('6 - TV Stands &amp; Enterta'!B507 = "", "", IF('6 - TV Stands &amp; Enterta-WUO_ERR'!A507 = "", "Validated", HYPERLINK("#" &amp; ADDRESS(507, '6 - TV Stands &amp; Enterta-WUO_TRK'!A507),_xlfn.TEXTAFTER('6 - TV Stands &amp; Enterta-WUO_ERR'!A507, ":"))))</f>
        <v/>
      </c>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507">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507">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75">
    <dataValidation sqref="B8:B250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C250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D2500" showDropDown="0" showInputMessage="1" showErrorMessage="1" allowBlank="1" errorTitle="Invalid Brand" error="The value provided is not a valid Brand." promptTitle="Brand" prompt="Please select a valid Brand" type="list">
      <formula1>'WAYFAIR_USE_ONLY'!$BK$7:$BK7</formula1>
    </dataValidation>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E8:E250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F250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AND(LEN(F8)&lt;32767, IF(F8&lt;&gt;"",COUNTIF($F$8:$F$2500,F8)=1,""))</formula1>
    </dataValidation>
    <dataValidation sqref="G8:G250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H250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I8:I250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J250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K250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8:L250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8:M250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8:N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8:O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8:P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8:Q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8:R250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8:S250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8:T250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8:U250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8:V250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8:W2500" showDropDown="0" showInputMessage="1" showErrorMessage="1" allowBlank="1" errorTitle="Invalid Ship Type" error="The value provided is not a valid Ship Type." promptTitle="Ship Type" prompt="Please select a valid Ship Type" type="list">
      <formula1>'WAYFAIR_USE_ONLY'!$BQ$7:$BQ9</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8:X250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8:Y2500" showDropDown="0" showInputMessage="1" showErrorMessage="1" allowBlank="1" errorTitle="Invalid Lead Time" error="The value provided is not a valid Lead Time." promptTitle="Lead Time" prompt="Please select a valid Lead Time" type="list">
      <formula1>'WAYFAIR_USE_ONLY'!$BS$7:$BS24</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8:Z2500" showDropDown="0" showInputMessage="1" showErrorMessage="1" allowBlank="1" errorTitle="Invalid Replacement Lead Time" error="The value provided is not a valid Replacement Lead Time." promptTitle="Replacement Lead Time" prompt="Please select a valid Replacement Lead Time" type="list">
      <formula1>'WAYFAIR_USE_ONLY'!$BT$7:$BT13</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8:AA250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8:AB250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8:AC250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8:AD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8:AE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8:AF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8:AG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8:AH250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8:AI250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8:AK2500" showDropDown="0" showInputMessage="1" showErrorMessage="1" allowBlank="1" errorTitle="Invalid Country Of Manufacturer" error="The value provided is not a valid Country Of Manufacturer." promptTitle="Country Of Manufacturer" prompt="Please select a valid Country Of Manufacturer" type="list">
      <formula1>'WAYFAIR_USE_ONLY'!$BP$7:$BP254</formula1>
    </dataValidation>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L8:AL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M8:AM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AN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AO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AP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AQ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AR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8:AU250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8:AV250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8:AW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8:AZ250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8:BA250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8:BB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8:BE250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8:BF250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8:BG2500" showDropDown="0" showInputMessage="1" showErrorMessage="1" allowBlank="1" errorTitle="Invalid Product Type" error="The value provided is not a valid Product Type. Would you like to provide a custom answer?" promptTitle="Product Type" prompt="Please select a valid Product Type" type="list" errorStyle="warning">
      <formula1>'WAYFAIR_USE_ONLY'!$B$7:$B9</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8:BH250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8:BI250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8:BJ250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8:BK250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8:BL250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8:BM250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8:BN250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8:BO250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8:BT250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8:BU2500" showDropDown="0" showInputMessage="1" showErrorMessage="1" allowBlank="1" errorTitle="Invalid Mirrored" error="The value provided is not a valid Mirrored." promptTitle="Mirrored" prompt="Please select a valid Mirrored" type="list">
      <formula1>'WAYFAIR_USE_ONLY'!$K$7:$K10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8:BV250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8:BW250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8:BX250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8:BY250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8:BZ250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8:CA250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8:CB2500" showDropDown="0" showInputMessage="1" showErrorMessage="1" allowBlank="1" errorTitle="Invalid Plug-In" error="The value provided is not a valid Plug-In." promptTitle="Plug-In" prompt="Please select a valid Plug-In" type="list">
      <formula1>'WAYFAIR_USE_ONLY'!$R$7:$R9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8:CC2500" showDropDown="0" showInputMessage="1" showErrorMessage="1" allowBlank="1" errorTitle="Invalid Tipover Restraint Device" error="The value provided is not a valid Tipover Restraint Device Included." promptTitle="Tipover Restraint Device Include" prompt="Please select a valid Tipover Restraint Device Included" type="list">
      <formula1>'WAYFAIR_USE_ONLY'!$S$7:$S9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8:CD250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8:CE250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8:CH250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8:CI250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8:CK250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8:CL2500"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8:CM2500"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8:CN250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8:CO250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8:CP250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8:CQ250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8:CR250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8:CS250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8:CT250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8:CU250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8:CW250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8:DA2500"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8:DD250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8:DE250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8:DG250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8:DH250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8:DJ250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8:DK250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8:DL250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8:DM250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8:DN2500"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8:DO2500" showDropDown="0" showInputMessage="1" showErrorMessage="1" allowBlank="1" errorTitle="Invalid Uniform Packaging and La" error="The value provided is not a valid Uniform Packaging and Labeling Regulations (UPLR) Compliant." promptTitle="Uniform Packaging and Labeling R" prompt="Please select a valid Uniform Packaging and Labeling Regulations (UPLR) Compliant" type="list">
      <formula1>'WAYFAIR_USE_ONLY'!$AR$7:$AR9</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8:DP2500" showDropDown="0" showInputMessage="1" showErrorMessage="1" allowBlank="1" errorTitle="Invalid Canada Product Restricti" error="The value provided is not a valid Canada Product Restriction." promptTitle="Canada Product Restriction" prompt="Please select a valid Canada Product Restriction" type="list">
      <formula1>'WAYFAIR_USE_ONLY'!$AS$7:$AS9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8:DR250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8:DS250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8:DU250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8:DV250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8:DW250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8:DX2500"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8:DZ2500"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8:EA2500"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8:EB250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8:EC250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8:ED250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8:EE250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8:EF250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8:EG250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8:EH250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8:EI250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8:EJ250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8:EK2500" showDropDown="0" showInputMessage="1" showErrorMessage="1" allowBlank="1" errorTitle="Invalid Maximum TV Screen Size A" error="The value provided is not a valid Maximum TV Screen Size Accommodated." promptTitle="Maximum TV Screen Size Accommoda" prompt="Please select a valid Maximum TV Screen Size Accommodated" type="list">
      <formula1>'WAYFAIR_USE_ONLY'!$BD$7:$BD26</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8:EL250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8:EM250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8:EN2500" showDropDown="0" showInputMessage="1" showErrorMessage="1" allowBlank="1" errorTitle="Invalid Level of Assembly" error="The value provided is not a valid Level of Assembly." promptTitle="Level of Assembly" prompt="Please select a valid Level of Assembly" type="list">
      <formula1>'WAYFAIR_USE_ONLY'!$BF$7:$BF11</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8:EP250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8:EQ250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8:ER250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8:ES250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4.7109375" customWidth="1" style="22" min="10" max="10"/>
    <col width="29.7109375" customWidth="1" style="22" min="11" max="11"/>
    <col width="40.7109375" customWidth="1" style="22" min="12" max="12"/>
    <col width="19.7109375" customWidth="1" style="22" min="13" max="13"/>
    <col width="21.7109375" customWidth="1" style="22" min="14" max="18"/>
    <col width="27.7109375" customWidth="1" style="22" min="19" max="19"/>
    <col width="30.7109375" customWidth="1" style="22" min="20" max="20"/>
    <col width="25.7109375" customWidth="1" style="22" min="21" max="21"/>
    <col width="19.7109375" customWidth="1" style="22" min="22" max="22"/>
    <col width="14.7109375" customWidth="1" style="22" min="23" max="23"/>
    <col width="18.7109375" customWidth="1" style="22" min="24" max="24"/>
    <col width="14.7109375" customWidth="1" style="22" min="25" max="25"/>
    <col width="26.7109375" customWidth="1" style="22" min="26" max="26"/>
    <col width="33.7109375" customWidth="1" style="22" min="27" max="27"/>
    <col width="14.7109375" customWidth="1" style="22" min="28" max="28"/>
    <col width="20.7109375" customWidth="1" style="22" min="29" max="31"/>
    <col width="19.7109375" customWidth="1" style="22" min="32" max="33"/>
    <col width="21.7109375" customWidth="1" style="22" min="34" max="34"/>
    <col width="15.7109375" customWidth="1" style="22" min="35" max="36"/>
    <col width="28.7109375" customWidth="1" style="22" min="37" max="37"/>
    <col width="29.7109375" customWidth="1" style="22" min="38" max="43"/>
    <col width="32.7109375" customWidth="1" style="22" min="44" max="44"/>
    <col width="20.7109375" customWidth="1" style="22" min="45" max="45"/>
    <col width="26.7109375" customWidth="1" style="22" min="46" max="46"/>
    <col width="22.7109375" customWidth="1" style="22" min="47" max="47"/>
    <col width="24.7109375" customWidth="1" style="22" min="48" max="48"/>
    <col width="32.7109375" customWidth="1" style="22" min="49" max="49"/>
    <col width="20.7109375" customWidth="1" style="22" min="50" max="50"/>
    <col width="26.7109375" customWidth="1" style="22" min="51" max="51"/>
    <col width="22.7109375" customWidth="1" style="22" min="52" max="52"/>
    <col width="24.7109375" customWidth="1" style="22" min="53" max="53"/>
    <col width="32.7109375" customWidth="1" style="22" min="54" max="54"/>
    <col width="20.7109375" customWidth="1" style="22" min="55" max="55"/>
    <col width="26.7109375" customWidth="1" style="22" min="56" max="56"/>
    <col width="22.7109375" customWidth="1" style="22" min="57" max="57"/>
    <col width="24.7109375" customWidth="1" style="22" min="58" max="58"/>
    <col width="17.7109375" customWidth="1" style="22" min="59" max="59"/>
    <col width="29.7109375" customWidth="1" style="22" min="60" max="60"/>
    <col width="21.7109375" customWidth="1" style="22" min="61" max="61"/>
    <col width="22.7109375" customWidth="1" style="22" min="62" max="63"/>
    <col width="21.7109375" customWidth="1" style="22" min="64" max="64"/>
    <col width="30.7109375" customWidth="1" style="22" min="65" max="66"/>
    <col width="20.7109375" customWidth="1" style="22" min="67" max="67"/>
    <col width="21.7109375" customWidth="1" style="22" min="68" max="68"/>
    <col width="13.7109375" customWidth="1" style="22" min="69" max="69"/>
    <col width="32.7109375" customWidth="1" style="22" min="70" max="70"/>
    <col width="27.7109375" customWidth="1" style="22" min="71" max="71"/>
    <col width="17.7109375" customWidth="1" style="22" min="72" max="72"/>
    <col width="13.7109375" customWidth="1" style="22" min="73" max="73"/>
    <col width="29.7109375" customWidth="1" style="22" min="74" max="74"/>
    <col width="23.7109375" customWidth="1" style="22" min="75" max="75"/>
    <col width="27.7109375" customWidth="1" style="22" min="76" max="76"/>
    <col width="21.7109375" customWidth="1" style="22" min="77" max="77"/>
    <col width="30.7109375" customWidth="1" style="22" min="78" max="78"/>
    <col width="23.7109375" customWidth="1" style="22" min="79" max="79"/>
    <col width="12.7109375" customWidth="1" style="22" min="80" max="80"/>
    <col width="38.7109375" customWidth="1" style="22" min="81" max="81"/>
    <col width="33.7109375" customWidth="1" style="22" min="82" max="82"/>
    <col width="22.7109375" customWidth="1" style="22" min="83" max="83"/>
    <col width="39.7109375" customWidth="1" style="22" min="84" max="84"/>
    <col width="43.7109375" customWidth="1" style="22" min="85" max="85"/>
    <col width="29.7109375" customWidth="1" style="22" min="86" max="86"/>
    <col width="20.7109375" customWidth="1" style="22" min="87" max="87"/>
    <col width="17.7109375" customWidth="1" style="22" min="88" max="88"/>
    <col width="34.7109375" customWidth="1" style="22" min="89" max="89"/>
    <col width="24.7109375" customWidth="1" style="22" min="90" max="90"/>
    <col width="17.7109375" customWidth="1" style="22" min="91" max="91"/>
    <col width="24.7109375" customWidth="1" style="22" min="92" max="92"/>
    <col width="21.7109375" customWidth="1" style="22" min="93" max="93"/>
    <col width="20.7109375" customWidth="1" style="22" min="94" max="94"/>
    <col width="35.7109375" customWidth="1" style="22" min="95" max="95"/>
    <col width="30.7109375" customWidth="1" style="22" min="96" max="96"/>
    <col width="27.7109375" customWidth="1" style="22" min="97" max="97"/>
    <col width="21.7109375" customWidth="1" style="22" min="98" max="98"/>
    <col width="20.7109375" customWidth="1" style="22" min="99" max="99"/>
    <col width="17.7109375" customWidth="1" style="22" min="100" max="100"/>
    <col width="15.7109375" customWidth="1" style="22" min="101" max="101"/>
    <col width="19.7109375" customWidth="1" style="22" min="102" max="103"/>
    <col width="34.7109375" customWidth="1" style="22" min="104" max="104"/>
    <col width="14.7109375" customWidth="1" style="22" min="105" max="106"/>
    <col width="16.7109375" customWidth="1" style="22" min="107" max="107"/>
    <col width="21.7109375" customWidth="1" style="22" min="108" max="109"/>
    <col width="20.7109375" customWidth="1" style="22" min="110" max="110"/>
    <col width="23.7109375" customWidth="1" style="22" min="111" max="112"/>
    <col width="19.7109375" customWidth="1" style="22" min="113" max="113"/>
    <col width="44.7109375" customWidth="1" style="22" min="114" max="114"/>
    <col width="33.7109375" customWidth="1" style="22" min="115" max="115"/>
    <col width="53.7109375" customWidth="1" style="22" min="116" max="117"/>
    <col width="21.7109375" customWidth="1" style="22" min="118" max="118"/>
    <col width="64.7109375" customWidth="1" style="22" min="119" max="119"/>
    <col width="31.7109375" customWidth="1" style="22" min="120" max="120"/>
    <col width="27.7109375" customWidth="1" style="22" min="121" max="121"/>
    <col width="19.7109375" customWidth="1" style="22" min="122" max="122"/>
    <col width="41.7109375" customWidth="1" style="22" min="123" max="123"/>
    <col width="20.7109375" customWidth="1" style="22" min="124" max="124"/>
    <col width="21.7109375" customWidth="1" style="22" min="125" max="125"/>
    <col width="18.7109375" customWidth="1" style="22" min="126" max="126"/>
    <col width="30.7109375" customWidth="1" style="22" min="127" max="127"/>
    <col width="44.7109375" customWidth="1" style="22" min="128" max="128"/>
    <col width="22.7109375" customWidth="1" style="22" min="129" max="129"/>
    <col width="42.7109375" customWidth="1" style="22" min="130" max="130"/>
    <col width="47.7109375" customWidth="1" style="22" min="131" max="131"/>
    <col width="19.7109375" customWidth="1" style="22" min="132" max="132"/>
    <col width="79.7109375" customWidth="1" style="22" min="133" max="133"/>
    <col width="30.7109375" customWidth="1" style="22" min="134" max="134"/>
    <col width="34.7109375" customWidth="1" style="22" min="135" max="135"/>
    <col width="35.7109375" customWidth="1" style="22" min="136" max="136"/>
    <col width="56.7109375" customWidth="1" style="22" min="137" max="137"/>
    <col width="54.7109375" customWidth="1" style="22" min="138" max="138"/>
    <col width="55.7109375" customWidth="1" style="22" min="139" max="139"/>
    <col width="27.7109375" customWidth="1" style="22" min="140" max="140"/>
    <col width="40.7109375" customWidth="1" style="22" min="141" max="141"/>
    <col width="44.7109375" customWidth="1" style="22" min="142" max="142"/>
    <col width="22.7109375" customWidth="1" style="22" min="143" max="144"/>
    <col width="45.7109375" customWidth="1" style="22" min="145" max="145"/>
    <col width="24.7109375" customWidth="1" style="22" min="146" max="146"/>
    <col width="31.7109375" customWidth="1" style="22" min="147" max="147"/>
    <col width="21.7109375" customWidth="1" style="22" min="148" max="148"/>
    <col width="29.7109375" customWidth="1" style="22" min="149" max="149"/>
    <col width="20.7109375" customWidth="1" style="22" min="150" max="150"/>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price::wholesalePrice</t>
        </is>
      </c>
      <c r="K1" s="22" t="inlineStr">
        <is>
          <t>price::minimumAdvertizedPrice</t>
        </is>
      </c>
      <c r="L1" s="22" t="inlineStr">
        <is>
          <t>price::manufacturerSuggestedRetailPrice</t>
        </is>
      </c>
      <c r="M1" s="22" t="inlineStr">
        <is>
          <t>featureDescription::romanceCopy</t>
        </is>
      </c>
      <c r="N1" s="22" t="inlineStr">
        <is>
          <t>featureDescription::genericFeatures</t>
        </is>
      </c>
      <c r="O1" s="22" t="inlineStr">
        <is>
          <t>featureDescription::genericFeatures</t>
        </is>
      </c>
      <c r="P1" s="22" t="inlineStr">
        <is>
          <t>featureDescription::genericFeatures</t>
        </is>
      </c>
      <c r="Q1" s="22" t="inlineStr">
        <is>
          <t>featureDescription::genericFeatures</t>
        </is>
      </c>
      <c r="R1" s="22" t="inlineStr">
        <is>
          <t>featureDescription::genericFeatures</t>
        </is>
      </c>
      <c r="S1" s="22" t="inlineStr">
        <is>
          <t>shippingAndFulfillment::minimumOrderQuantity</t>
        </is>
      </c>
      <c r="T1" s="22" t="inlineStr">
        <is>
          <t>shippingAndFulfillment::forceQuantityMultiplier</t>
        </is>
      </c>
      <c r="U1" s="22" t="inlineStr">
        <is>
          <t>shippingAndFulfillment::displaySetQuantity</t>
        </is>
      </c>
      <c r="V1" s="22" t="inlineStr">
        <is>
          <t>shippingAndFulfillment::productWeight</t>
        </is>
      </c>
      <c r="W1" s="22" t="inlineStr">
        <is>
          <t>shippingAndFulfillment::shipType</t>
        </is>
      </c>
      <c r="X1" s="22" t="inlineStr">
        <is>
          <t>shippingAndFulfillment::freightClass</t>
        </is>
      </c>
      <c r="Y1" s="22" t="inlineStr">
        <is>
          <t>shippingAndFulfillment::leadTime</t>
        </is>
      </c>
      <c r="Z1" s="22" t="inlineStr">
        <is>
          <t>shippingAndFulfillment::replacementLeadTime</t>
        </is>
      </c>
      <c r="AA1" s="22" t="inlineStr">
        <is>
          <t>shippingAndFulfillment::nationalMotorFreightClass</t>
        </is>
      </c>
      <c r="AB1" s="22" t="inlineStr">
        <is>
          <t>shippingAndFulfillment::flatPack</t>
        </is>
      </c>
      <c r="AC1" s="22" t="inlineStr">
        <is>
          <t>shippingAndFulfillment::shipPalletized</t>
        </is>
      </c>
      <c r="AD1" s="22" t="inlineStr">
        <is>
          <t>shippingAndFulfillment::weight</t>
        </is>
      </c>
      <c r="AE1" s="22" t="inlineStr">
        <is>
          <t>shippingAndFulfillment::height</t>
        </is>
      </c>
      <c r="AF1" s="22" t="inlineStr">
        <is>
          <t>shippingAndFulfillment::width</t>
        </is>
      </c>
      <c r="AG1" s="22" t="inlineStr">
        <is>
          <t>shippingAndFulfillment::depth</t>
        </is>
      </c>
      <c r="AH1" s="22" t="inlineStr">
        <is>
          <t>propSixtyFive::warningRequired</t>
        </is>
      </c>
      <c r="AI1" s="22" t="inlineStr">
        <is>
          <t>propSixtyFive::chemicalId</t>
        </is>
      </c>
      <c r="AJ1" s="22" t="inlineStr">
        <is>
          <t>propSixtyFive::toxicity</t>
        </is>
      </c>
      <c r="AK1" s="22" t="inlineStr">
        <is>
          <t>propSixtyFive::countryOfManufacturer</t>
        </is>
      </c>
      <c r="AL1" s="22" t="inlineStr">
        <is>
          <t>media::imageValue</t>
        </is>
      </c>
      <c r="AM1" s="22" t="inlineStr">
        <is>
          <t>media::imageValue</t>
        </is>
      </c>
      <c r="AN1" s="22" t="inlineStr">
        <is>
          <t>media::imageValue</t>
        </is>
      </c>
      <c r="AO1" s="22" t="inlineStr">
        <is>
          <t>media::imageValue</t>
        </is>
      </c>
      <c r="AP1" s="22" t="inlineStr">
        <is>
          <t>media::imageValue</t>
        </is>
      </c>
      <c r="AQ1" s="22" t="inlineStr">
        <is>
          <t>media::videoValue</t>
        </is>
      </c>
      <c r="AR1" s="22" t="inlineStr">
        <is>
          <t>media::documentValue</t>
        </is>
      </c>
      <c r="AS1" s="22" t="inlineStr">
        <is>
          <t>media::documentType</t>
        </is>
      </c>
      <c r="AT1" s="22" t="inlineStr">
        <is>
          <t>media::legalDocumentType</t>
        </is>
      </c>
      <c r="AU1" s="22" t="inlineStr">
        <is>
          <t>media::regionType</t>
        </is>
      </c>
      <c r="AV1" s="22" t="inlineStr">
        <is>
          <t>media::language</t>
        </is>
      </c>
      <c r="AW1" s="22" t="inlineStr">
        <is>
          <t>media::documentValue</t>
        </is>
      </c>
      <c r="AX1" s="22" t="inlineStr">
        <is>
          <t>media::documentType</t>
        </is>
      </c>
      <c r="AY1" s="22" t="inlineStr">
        <is>
          <t>media::legalDocumentType</t>
        </is>
      </c>
      <c r="AZ1" s="22" t="inlineStr">
        <is>
          <t>media::regionType</t>
        </is>
      </c>
      <c r="BA1" s="22" t="inlineStr">
        <is>
          <t>media::language</t>
        </is>
      </c>
      <c r="BB1" s="22" t="inlineStr">
        <is>
          <t>media::documentValue</t>
        </is>
      </c>
      <c r="BC1" s="22" t="inlineStr">
        <is>
          <t>media::documentType</t>
        </is>
      </c>
      <c r="BD1" s="22" t="inlineStr">
        <is>
          <t>media::legalDocumentType</t>
        </is>
      </c>
      <c r="BE1" s="22" t="inlineStr">
        <is>
          <t>media::regionType</t>
        </is>
      </c>
      <c r="BF1" s="22" t="inlineStr">
        <is>
          <t>media::language</t>
        </is>
      </c>
      <c r="BG1" s="22" t="inlineStr">
        <is>
          <t>5620</t>
        </is>
      </c>
      <c r="BH1" s="22" t="inlineStr">
        <is>
          <t>252622</t>
        </is>
      </c>
      <c r="BI1" s="22" t="inlineStr">
        <is>
          <t>5635</t>
        </is>
      </c>
      <c r="BJ1" s="22" t="inlineStr">
        <is>
          <t>5911</t>
        </is>
      </c>
      <c r="BK1" s="22" t="inlineStr">
        <is>
          <t>5636</t>
        </is>
      </c>
      <c r="BL1" s="22" t="inlineStr">
        <is>
          <t>382543</t>
        </is>
      </c>
      <c r="BM1" s="22" t="inlineStr">
        <is>
          <t>5634</t>
        </is>
      </c>
      <c r="BN1" s="22" t="inlineStr">
        <is>
          <t>5678</t>
        </is>
      </c>
      <c r="BO1" s="22" t="inlineStr">
        <is>
          <t>252625</t>
        </is>
      </c>
      <c r="BP1" s="22" t="inlineStr">
        <is>
          <t>5621</t>
        </is>
      </c>
      <c r="BQ1" s="22" t="inlineStr">
        <is>
          <t>5625</t>
        </is>
      </c>
      <c r="BR1" s="22" t="inlineStr">
        <is>
          <t>222860</t>
        </is>
      </c>
      <c r="BS1" s="22" t="inlineStr">
        <is>
          <t>222861</t>
        </is>
      </c>
      <c r="BT1" s="22" t="inlineStr">
        <is>
          <t>5624</t>
        </is>
      </c>
      <c r="BU1" s="22" t="inlineStr">
        <is>
          <t>220722</t>
        </is>
      </c>
      <c r="BV1" s="22" t="inlineStr">
        <is>
          <t>221251</t>
        </is>
      </c>
      <c r="BW1" s="22" t="inlineStr">
        <is>
          <t>218007</t>
        </is>
      </c>
      <c r="BX1" s="22" t="inlineStr">
        <is>
          <t>5648</t>
        </is>
      </c>
      <c r="BY1" s="22" t="inlineStr">
        <is>
          <t>5649</t>
        </is>
      </c>
      <c r="BZ1" s="22" t="inlineStr">
        <is>
          <t>5643</t>
        </is>
      </c>
      <c r="CA1" s="22" t="inlineStr">
        <is>
          <t>5645</t>
        </is>
      </c>
      <c r="CB1" s="22" t="inlineStr">
        <is>
          <t>189876</t>
        </is>
      </c>
      <c r="CC1" s="22" t="inlineStr">
        <is>
          <t>201479</t>
        </is>
      </c>
      <c r="CD1" s="22" t="inlineStr">
        <is>
          <t>5663</t>
        </is>
      </c>
      <c r="CE1" s="22" t="inlineStr">
        <is>
          <t>242478</t>
        </is>
      </c>
      <c r="CF1" s="22" t="inlineStr">
        <is>
          <t>227966</t>
        </is>
      </c>
      <c r="CG1" s="22" t="inlineStr">
        <is>
          <t>244566</t>
        </is>
      </c>
      <c r="CH1" s="22" t="inlineStr">
        <is>
          <t>293480</t>
        </is>
      </c>
      <c r="CI1" s="22" t="inlineStr">
        <is>
          <t>293547</t>
        </is>
      </c>
      <c r="CJ1" s="22" t="inlineStr">
        <is>
          <t>185254</t>
        </is>
      </c>
      <c r="CK1" s="22" t="inlineStr">
        <is>
          <t>344955</t>
        </is>
      </c>
      <c r="CL1" s="22" t="inlineStr">
        <is>
          <t>346869</t>
        </is>
      </c>
      <c r="CM1" s="22" t="inlineStr">
        <is>
          <t>351619</t>
        </is>
      </c>
      <c r="CN1" s="22" t="inlineStr">
        <is>
          <t>367149</t>
        </is>
      </c>
      <c r="CO1" s="22" t="inlineStr">
        <is>
          <t>351641</t>
        </is>
      </c>
      <c r="CP1" s="22" t="inlineStr">
        <is>
          <t>352351</t>
        </is>
      </c>
      <c r="CQ1" s="22" t="inlineStr">
        <is>
          <t>352342</t>
        </is>
      </c>
      <c r="CR1" s="22" t="inlineStr">
        <is>
          <t>351649</t>
        </is>
      </c>
      <c r="CS1" s="22" t="inlineStr">
        <is>
          <t>5949</t>
        </is>
      </c>
      <c r="CT1" s="22" t="inlineStr">
        <is>
          <t>5950</t>
        </is>
      </c>
      <c r="CU1" s="22" t="inlineStr">
        <is>
          <t>5654</t>
        </is>
      </c>
      <c r="CV1" s="22" t="inlineStr">
        <is>
          <t>368645</t>
        </is>
      </c>
      <c r="CW1" s="22" t="inlineStr">
        <is>
          <t>370848</t>
        </is>
      </c>
      <c r="CX1" s="22" t="inlineStr">
        <is>
          <t>5910</t>
        </is>
      </c>
      <c r="CY1" s="22" t="inlineStr">
        <is>
          <t>379875</t>
        </is>
      </c>
      <c r="CZ1" s="22" t="inlineStr">
        <is>
          <t>292794</t>
        </is>
      </c>
      <c r="DA1" s="22" t="inlineStr">
        <is>
          <t>220267</t>
        </is>
      </c>
      <c r="DB1" s="22" t="inlineStr">
        <is>
          <t>220265</t>
        </is>
      </c>
      <c r="DC1" s="22" t="inlineStr">
        <is>
          <t>384286</t>
        </is>
      </c>
      <c r="DD1" s="22" t="inlineStr">
        <is>
          <t>393970</t>
        </is>
      </c>
      <c r="DE1" s="22" t="inlineStr">
        <is>
          <t>400764</t>
        </is>
      </c>
      <c r="DF1" s="22" t="inlineStr">
        <is>
          <t>420139</t>
        </is>
      </c>
      <c r="DG1" s="22" t="inlineStr">
        <is>
          <t>5920</t>
        </is>
      </c>
      <c r="DH1" s="22" t="inlineStr">
        <is>
          <t>5916</t>
        </is>
      </c>
      <c r="DI1" s="22" t="inlineStr">
        <is>
          <t>5938</t>
        </is>
      </c>
      <c r="DJ1" s="22" t="inlineStr">
        <is>
          <t>5671</t>
        </is>
      </c>
      <c r="DK1" s="22" t="inlineStr">
        <is>
          <t>201426</t>
        </is>
      </c>
      <c r="DL1" s="22" t="inlineStr">
        <is>
          <t>224759</t>
        </is>
      </c>
      <c r="DM1" s="22" t="inlineStr">
        <is>
          <t>224980</t>
        </is>
      </c>
      <c r="DN1" s="22" t="inlineStr">
        <is>
          <t>364708</t>
        </is>
      </c>
      <c r="DO1" s="22" t="inlineStr">
        <is>
          <t>236083</t>
        </is>
      </c>
      <c r="DP1" s="22" t="inlineStr">
        <is>
          <t>249364</t>
        </is>
      </c>
      <c r="DQ1" s="22" t="inlineStr">
        <is>
          <t>251110</t>
        </is>
      </c>
      <c r="DR1" s="22" t="inlineStr">
        <is>
          <t>310560</t>
        </is>
      </c>
      <c r="DS1" s="22" t="inlineStr">
        <is>
          <t>339330</t>
        </is>
      </c>
      <c r="DT1" s="22" t="inlineStr">
        <is>
          <t>373560</t>
        </is>
      </c>
      <c r="DU1" s="22" t="inlineStr">
        <is>
          <t>340810</t>
        </is>
      </c>
      <c r="DV1" s="22" t="inlineStr">
        <is>
          <t>341070</t>
        </is>
      </c>
      <c r="DW1" s="22" t="inlineStr">
        <is>
          <t>369614</t>
        </is>
      </c>
      <c r="DX1" s="22" t="inlineStr">
        <is>
          <t>368262</t>
        </is>
      </c>
      <c r="DY1" s="22" t="inlineStr">
        <is>
          <t>375302</t>
        </is>
      </c>
      <c r="DZ1" s="22" t="inlineStr">
        <is>
          <t>376202</t>
        </is>
      </c>
      <c r="EA1" s="22" t="inlineStr">
        <is>
          <t>382060</t>
        </is>
      </c>
      <c r="EB1" s="22" t="inlineStr">
        <is>
          <t>385921</t>
        </is>
      </c>
      <c r="EC1" s="22" t="inlineStr">
        <is>
          <t>415242</t>
        </is>
      </c>
      <c r="ED1" s="22" t="inlineStr">
        <is>
          <t>421601</t>
        </is>
      </c>
      <c r="EE1" s="22" t="inlineStr">
        <is>
          <t>5675</t>
        </is>
      </c>
      <c r="EF1" s="22" t="inlineStr">
        <is>
          <t>5676</t>
        </is>
      </c>
      <c r="EG1" s="22" t="inlineStr">
        <is>
          <t>252485</t>
        </is>
      </c>
      <c r="EH1" s="22" t="inlineStr">
        <is>
          <t>252486</t>
        </is>
      </c>
      <c r="EI1" s="22" t="inlineStr">
        <is>
          <t>252487</t>
        </is>
      </c>
      <c r="EJ1" s="22" t="inlineStr">
        <is>
          <t>5681</t>
        </is>
      </c>
      <c r="EK1" s="22" t="inlineStr">
        <is>
          <t>217965</t>
        </is>
      </c>
      <c r="EL1" s="22" t="inlineStr">
        <is>
          <t>5674</t>
        </is>
      </c>
      <c r="EM1" s="22" t="inlineStr">
        <is>
          <t>5682</t>
        </is>
      </c>
      <c r="EN1" s="22" t="inlineStr">
        <is>
          <t>222775</t>
        </is>
      </c>
      <c r="EO1" s="22" t="inlineStr">
        <is>
          <t>222778</t>
        </is>
      </c>
      <c r="EP1" s="22" t="inlineStr">
        <is>
          <t>228934</t>
        </is>
      </c>
      <c r="EQ1" s="22" t="inlineStr">
        <is>
          <t>333812</t>
        </is>
      </c>
      <c r="ER1" s="22" t="inlineStr">
        <is>
          <t>254186</t>
        </is>
      </c>
      <c r="ES1" s="22" t="inlineStr">
        <is>
          <t>255305</t>
        </is>
      </c>
      <c r="ET1" s="22" t="inlineStr">
        <is>
          <t>256090</t>
        </is>
      </c>
    </row>
    <row r="2">
      <c r="B2" s="23" t="inlineStr">
        <is>
          <t>Basic Information</t>
        </is>
      </c>
      <c r="C2" s="40" t="n"/>
      <c r="D2" s="40" t="n"/>
      <c r="E2" s="40" t="n"/>
      <c r="F2" s="40" t="n"/>
      <c r="G2" s="40" t="n"/>
      <c r="H2" s="40" t="n"/>
      <c r="I2" s="41" t="n"/>
      <c r="J2" s="24" t="inlineStr">
        <is>
          <t>Pricing</t>
        </is>
      </c>
      <c r="K2" s="40" t="n"/>
      <c r="L2" s="41" t="n"/>
      <c r="M2" s="25" t="inlineStr">
        <is>
          <t>Marketing Information</t>
        </is>
      </c>
      <c r="N2" s="40" t="n"/>
      <c r="O2" s="40" t="n"/>
      <c r="P2" s="40" t="n"/>
      <c r="Q2" s="40" t="n"/>
      <c r="R2" s="41" t="n"/>
      <c r="S2" s="26" t="inlineStr">
        <is>
          <t>Fulfillment Information</t>
        </is>
      </c>
      <c r="T2" s="40" t="n"/>
      <c r="U2" s="40" t="n"/>
      <c r="V2" s="40" t="n"/>
      <c r="W2" s="40" t="n"/>
      <c r="X2" s="40" t="n"/>
      <c r="Y2" s="40" t="n"/>
      <c r="Z2" s="40" t="n"/>
      <c r="AA2" s="40" t="n"/>
      <c r="AB2" s="40" t="n"/>
      <c r="AC2" s="41" t="n"/>
      <c r="AD2" s="27" t="inlineStr">
        <is>
          <t>Carton Details</t>
        </is>
      </c>
      <c r="AE2" s="40" t="n"/>
      <c r="AF2" s="40" t="n"/>
      <c r="AG2" s="41" t="n"/>
      <c r="AH2" s="28" t="inlineStr">
        <is>
          <t>Compliance</t>
        </is>
      </c>
      <c r="AI2" s="40" t="n"/>
      <c r="AJ2" s="40" t="n"/>
      <c r="AK2" s="41" t="n"/>
      <c r="AL2" s="29" t="inlineStr">
        <is>
          <t>Media</t>
        </is>
      </c>
      <c r="AM2" s="40" t="n"/>
      <c r="AN2" s="40" t="n"/>
      <c r="AO2" s="40" t="n"/>
      <c r="AP2" s="40" t="n"/>
      <c r="AQ2" s="40" t="n"/>
      <c r="AR2" s="40" t="n"/>
      <c r="AS2" s="40" t="n"/>
      <c r="AT2" s="40" t="n"/>
      <c r="AU2" s="40" t="n"/>
      <c r="AV2" s="40" t="n"/>
      <c r="AW2" s="40" t="n"/>
      <c r="AX2" s="40" t="n"/>
      <c r="AY2" s="40" t="n"/>
      <c r="AZ2" s="40" t="n"/>
      <c r="BA2" s="40" t="n"/>
      <c r="BB2" s="40" t="n"/>
      <c r="BC2" s="40" t="n"/>
      <c r="BD2" s="40" t="n"/>
      <c r="BE2" s="40" t="n"/>
      <c r="BF2" s="41" t="n"/>
      <c r="BG2" s="30" t="inlineStr">
        <is>
          <t>Attributes</t>
        </is>
      </c>
      <c r="BH2" s="40" t="n"/>
      <c r="BI2" s="40" t="n"/>
      <c r="BJ2" s="40" t="n"/>
      <c r="BK2" s="40" t="n"/>
      <c r="BL2" s="40" t="n"/>
      <c r="BM2" s="40" t="n"/>
      <c r="BN2" s="40" t="n"/>
      <c r="BO2" s="40" t="n"/>
      <c r="BP2" s="40" t="n"/>
      <c r="BQ2" s="40" t="n"/>
      <c r="BR2" s="40" t="n"/>
      <c r="BS2" s="40" t="n"/>
      <c r="BT2" s="40" t="n"/>
      <c r="BU2" s="40" t="n"/>
      <c r="BV2" s="40" t="n"/>
      <c r="BW2" s="40" t="n"/>
      <c r="BX2" s="40" t="n"/>
      <c r="BY2" s="40" t="n"/>
      <c r="BZ2" s="40" t="n"/>
      <c r="CA2" s="40" t="n"/>
      <c r="CB2" s="40" t="n"/>
      <c r="CC2" s="40" t="n"/>
      <c r="CD2" s="40" t="n"/>
      <c r="CE2" s="40" t="n"/>
      <c r="CF2" s="40" t="n"/>
      <c r="CG2" s="40" t="n"/>
      <c r="CH2" s="40" t="n"/>
      <c r="CI2" s="40" t="n"/>
      <c r="CJ2" s="40" t="n"/>
      <c r="CK2" s="40" t="n"/>
      <c r="CL2" s="40" t="n"/>
      <c r="CM2" s="40" t="n"/>
      <c r="CN2" s="40" t="n"/>
      <c r="CO2" s="40" t="n"/>
      <c r="CP2" s="40" t="n"/>
      <c r="CQ2" s="40" t="n"/>
      <c r="CR2" s="40" t="n"/>
      <c r="CS2" s="40" t="n"/>
      <c r="CT2" s="40" t="n"/>
      <c r="CU2" s="40" t="n"/>
      <c r="CV2" s="40" t="n"/>
      <c r="CW2" s="40" t="n"/>
      <c r="CX2" s="40" t="n"/>
      <c r="CY2" s="40" t="n"/>
      <c r="CZ2" s="40" t="n"/>
      <c r="DA2" s="40" t="n"/>
      <c r="DB2" s="40" t="n"/>
      <c r="DC2" s="40" t="n"/>
      <c r="DD2" s="40" t="n"/>
      <c r="DE2" s="40" t="n"/>
      <c r="DF2" s="40" t="n"/>
      <c r="DG2" s="40" t="n"/>
      <c r="DH2" s="40" t="n"/>
      <c r="DI2" s="40" t="n"/>
      <c r="DJ2" s="40" t="n"/>
      <c r="DK2" s="40" t="n"/>
      <c r="DL2" s="40" t="n"/>
      <c r="DM2" s="40" t="n"/>
      <c r="DN2" s="40" t="n"/>
      <c r="DO2" s="40" t="n"/>
      <c r="DP2" s="40" t="n"/>
      <c r="DQ2" s="40" t="n"/>
      <c r="DR2" s="40" t="n"/>
      <c r="DS2" s="40" t="n"/>
      <c r="DT2" s="40" t="n"/>
      <c r="DU2" s="40" t="n"/>
      <c r="DV2" s="40" t="n"/>
      <c r="DW2" s="40" t="n"/>
      <c r="DX2" s="40" t="n"/>
      <c r="DY2" s="40" t="n"/>
      <c r="DZ2" s="40" t="n"/>
      <c r="EA2" s="40" t="n"/>
      <c r="EB2" s="40" t="n"/>
      <c r="EC2" s="40" t="n"/>
      <c r="ED2" s="40" t="n"/>
      <c r="EE2" s="40" t="n"/>
      <c r="EF2" s="40" t="n"/>
      <c r="EG2" s="40" t="n"/>
      <c r="EH2" s="40" t="n"/>
      <c r="EI2" s="40" t="n"/>
      <c r="EJ2" s="40" t="n"/>
      <c r="EK2" s="40" t="n"/>
      <c r="EL2" s="40" t="n"/>
      <c r="EM2" s="40" t="n"/>
      <c r="EN2" s="40" t="n"/>
      <c r="EO2" s="40" t="n"/>
      <c r="EP2" s="40" t="n"/>
      <c r="EQ2" s="40" t="n"/>
      <c r="ER2" s="40" t="n"/>
      <c r="ES2" s="40" t="n"/>
      <c r="ET2" s="41" t="n"/>
    </row>
    <row r="3">
      <c r="B3" s="31" t="inlineStr">
        <is>
          <t>Required</t>
        </is>
      </c>
      <c r="C3" s="31" t="inlineStr">
        <is>
          <t>Additional</t>
        </is>
      </c>
      <c r="D3" s="31" t="inlineStr">
        <is>
          <t>Required</t>
        </is>
      </c>
      <c r="E3" s="31" t="inlineStr">
        <is>
          <t>Required</t>
        </is>
      </c>
      <c r="F3" s="31" t="inlineStr">
        <is>
          <t>Recommended</t>
        </is>
      </c>
      <c r="G3" s="31" t="inlineStr">
        <is>
          <t>Required</t>
        </is>
      </c>
      <c r="H3" s="31" t="inlineStr">
        <is>
          <t>Additional</t>
        </is>
      </c>
      <c r="I3" s="31" t="inlineStr">
        <is>
          <t>Additional</t>
        </is>
      </c>
      <c r="J3" s="31" t="inlineStr">
        <is>
          <t>Required</t>
        </is>
      </c>
      <c r="K3" s="31" t="inlineStr">
        <is>
          <t>Additional</t>
        </is>
      </c>
      <c r="L3" s="31" t="inlineStr">
        <is>
          <t>Additional</t>
        </is>
      </c>
      <c r="M3" s="31" t="inlineStr">
        <is>
          <t>Conditional</t>
        </is>
      </c>
      <c r="N3" s="31" t="inlineStr">
        <is>
          <t>Conditional</t>
        </is>
      </c>
      <c r="O3" s="31" t="inlineStr">
        <is>
          <t>Conditional</t>
        </is>
      </c>
      <c r="P3" s="31" t="inlineStr">
        <is>
          <t>Conditional</t>
        </is>
      </c>
      <c r="Q3" s="31" t="inlineStr">
        <is>
          <t>Conditional</t>
        </is>
      </c>
      <c r="R3" s="31" t="inlineStr">
        <is>
          <t>Conditional</t>
        </is>
      </c>
      <c r="S3" s="31" t="inlineStr">
        <is>
          <t>Required</t>
        </is>
      </c>
      <c r="T3" s="31" t="inlineStr">
        <is>
          <t>Required</t>
        </is>
      </c>
      <c r="U3" s="31" t="inlineStr">
        <is>
          <t>Required</t>
        </is>
      </c>
      <c r="V3" s="31" t="inlineStr">
        <is>
          <t>Required</t>
        </is>
      </c>
      <c r="W3" s="31" t="inlineStr">
        <is>
          <t>Required</t>
        </is>
      </c>
      <c r="X3" s="31" t="inlineStr">
        <is>
          <t>Conditional</t>
        </is>
      </c>
      <c r="Y3" s="31" t="inlineStr">
        <is>
          <t>Required</t>
        </is>
      </c>
      <c r="Z3" s="31" t="inlineStr">
        <is>
          <t>Required</t>
        </is>
      </c>
      <c r="AA3" s="31" t="inlineStr">
        <is>
          <t>Additional</t>
        </is>
      </c>
      <c r="AB3" s="31" t="inlineStr">
        <is>
          <t>Additional</t>
        </is>
      </c>
      <c r="AC3" s="31" t="inlineStr">
        <is>
          <t>Additional</t>
        </is>
      </c>
      <c r="AD3" s="31" t="inlineStr">
        <is>
          <t>Required</t>
        </is>
      </c>
      <c r="AE3" s="31" t="inlineStr">
        <is>
          <t>Required</t>
        </is>
      </c>
      <c r="AF3" s="31" t="inlineStr">
        <is>
          <t>Required</t>
        </is>
      </c>
      <c r="AG3" s="31" t="inlineStr">
        <is>
          <t>Required</t>
        </is>
      </c>
      <c r="AH3" s="31" t="inlineStr">
        <is>
          <t>Required</t>
        </is>
      </c>
      <c r="AI3" s="31" t="inlineStr">
        <is>
          <t>Conditional</t>
        </is>
      </c>
      <c r="AJ3" s="31" t="inlineStr">
        <is>
          <t>Conditional</t>
        </is>
      </c>
      <c r="AK3" s="31" t="inlineStr">
        <is>
          <t>Required</t>
        </is>
      </c>
      <c r="AL3" s="31" t="inlineStr">
        <is>
          <t>Required</t>
        </is>
      </c>
      <c r="AM3" s="31" t="inlineStr">
        <is>
          <t>Additional</t>
        </is>
      </c>
      <c r="AN3" s="31" t="inlineStr">
        <is>
          <t>Additional</t>
        </is>
      </c>
      <c r="AO3" s="31" t="inlineStr">
        <is>
          <t>Additional</t>
        </is>
      </c>
      <c r="AP3" s="31" t="inlineStr">
        <is>
          <t>Additional</t>
        </is>
      </c>
      <c r="AQ3" s="31" t="inlineStr">
        <is>
          <t>Additional</t>
        </is>
      </c>
      <c r="AR3" s="31" t="inlineStr">
        <is>
          <t>Conditional</t>
        </is>
      </c>
      <c r="AS3" s="31" t="inlineStr">
        <is>
          <t>Conditional</t>
        </is>
      </c>
      <c r="AT3" s="31" t="inlineStr">
        <is>
          <t>Conditional</t>
        </is>
      </c>
      <c r="AU3" s="31" t="inlineStr">
        <is>
          <t>Conditional</t>
        </is>
      </c>
      <c r="AV3" s="31" t="inlineStr">
        <is>
          <t>Conditional</t>
        </is>
      </c>
      <c r="AW3" s="31" t="inlineStr">
        <is>
          <t>Conditional</t>
        </is>
      </c>
      <c r="AX3" s="31" t="inlineStr">
        <is>
          <t>Conditional</t>
        </is>
      </c>
      <c r="AY3" s="31" t="inlineStr">
        <is>
          <t>Conditional</t>
        </is>
      </c>
      <c r="AZ3" s="31" t="inlineStr">
        <is>
          <t>Conditional</t>
        </is>
      </c>
      <c r="BA3" s="31" t="inlineStr">
        <is>
          <t>Conditional</t>
        </is>
      </c>
      <c r="BB3" s="31" t="inlineStr">
        <is>
          <t>Conditional</t>
        </is>
      </c>
      <c r="BC3" s="31" t="inlineStr">
        <is>
          <t>Conditional</t>
        </is>
      </c>
      <c r="BD3" s="31" t="inlineStr">
        <is>
          <t>Conditional</t>
        </is>
      </c>
      <c r="BE3" s="31" t="inlineStr">
        <is>
          <t>Conditional</t>
        </is>
      </c>
      <c r="BF3" s="31" t="inlineStr">
        <is>
          <t>Conditional</t>
        </is>
      </c>
      <c r="BG3" s="31" t="inlineStr">
        <is>
          <t>Required</t>
        </is>
      </c>
      <c r="BH3" s="31" t="inlineStr">
        <is>
          <t>Recommended</t>
        </is>
      </c>
      <c r="BI3" s="31" t="inlineStr">
        <is>
          <t>Required</t>
        </is>
      </c>
      <c r="BJ3" s="31" t="inlineStr">
        <is>
          <t>Required</t>
        </is>
      </c>
      <c r="BK3" s="31" t="inlineStr">
        <is>
          <t>Required</t>
        </is>
      </c>
      <c r="BL3" s="31" t="inlineStr">
        <is>
          <t>Recommended</t>
        </is>
      </c>
      <c r="BM3" s="31" t="inlineStr">
        <is>
          <t>Recommended</t>
        </is>
      </c>
      <c r="BN3" s="31" t="inlineStr">
        <is>
          <t>Recommended</t>
        </is>
      </c>
      <c r="BO3" s="31" t="inlineStr">
        <is>
          <t>Recommended</t>
        </is>
      </c>
      <c r="BP3" s="31" t="inlineStr">
        <is>
          <t>Required</t>
        </is>
      </c>
      <c r="BQ3" s="31" t="inlineStr">
        <is>
          <t>Required</t>
        </is>
      </c>
      <c r="BR3" s="31" t="inlineStr">
        <is>
          <t>Recommended</t>
        </is>
      </c>
      <c r="BS3" s="31" t="inlineStr">
        <is>
          <t>Recommended</t>
        </is>
      </c>
      <c r="BT3" s="31" t="inlineStr">
        <is>
          <t>Recommended</t>
        </is>
      </c>
      <c r="BU3" s="31" t="inlineStr">
        <is>
          <t>Recommended</t>
        </is>
      </c>
      <c r="BV3" s="31" t="inlineStr">
        <is>
          <t>Recommended</t>
        </is>
      </c>
      <c r="BW3" s="31" t="inlineStr">
        <is>
          <t>Recommended</t>
        </is>
      </c>
      <c r="BX3" s="31" t="inlineStr">
        <is>
          <t>Recommended</t>
        </is>
      </c>
      <c r="BY3" s="31" t="inlineStr">
        <is>
          <t>Recommended</t>
        </is>
      </c>
      <c r="BZ3" s="31" t="inlineStr">
        <is>
          <t>Recommended</t>
        </is>
      </c>
      <c r="CA3" s="31" t="inlineStr">
        <is>
          <t>Required</t>
        </is>
      </c>
      <c r="CB3" s="31" t="inlineStr">
        <is>
          <t>Required</t>
        </is>
      </c>
      <c r="CC3" s="31" t="inlineStr">
        <is>
          <t>Required</t>
        </is>
      </c>
      <c r="CD3" s="31" t="inlineStr">
        <is>
          <t>Recommended</t>
        </is>
      </c>
      <c r="CE3" s="31" t="inlineStr">
        <is>
          <t>Recommended</t>
        </is>
      </c>
      <c r="CF3" s="31" t="inlineStr">
        <is>
          <t>Required</t>
        </is>
      </c>
      <c r="CG3" s="31" t="inlineStr">
        <is>
          <t>Additional</t>
        </is>
      </c>
      <c r="CH3" s="31" t="inlineStr">
        <is>
          <t>Recommended</t>
        </is>
      </c>
      <c r="CI3" s="31" t="inlineStr">
        <is>
          <t>Recommended</t>
        </is>
      </c>
      <c r="CJ3" s="31" t="inlineStr">
        <is>
          <t>Recommended</t>
        </is>
      </c>
      <c r="CK3" s="31" t="inlineStr">
        <is>
          <t>Required</t>
        </is>
      </c>
      <c r="CL3" s="31" t="inlineStr">
        <is>
          <t>Required</t>
        </is>
      </c>
      <c r="CM3" s="31" t="inlineStr">
        <is>
          <t>Required</t>
        </is>
      </c>
      <c r="CN3" s="31" t="inlineStr">
        <is>
          <t>Required</t>
        </is>
      </c>
      <c r="CO3" s="31" t="inlineStr">
        <is>
          <t>Additional</t>
        </is>
      </c>
      <c r="CP3" s="31" t="inlineStr">
        <is>
          <t>Additional</t>
        </is>
      </c>
      <c r="CQ3" s="31" t="inlineStr">
        <is>
          <t>Additional</t>
        </is>
      </c>
      <c r="CR3" s="31" t="inlineStr">
        <is>
          <t>Additional</t>
        </is>
      </c>
      <c r="CS3" s="31" t="inlineStr">
        <is>
          <t>Recommended</t>
        </is>
      </c>
      <c r="CT3" s="31" t="inlineStr">
        <is>
          <t>Recommended</t>
        </is>
      </c>
      <c r="CU3" s="31" t="inlineStr">
        <is>
          <t>Required</t>
        </is>
      </c>
      <c r="CV3" s="31" t="inlineStr">
        <is>
          <t>Recommended</t>
        </is>
      </c>
      <c r="CW3" s="31" t="inlineStr">
        <is>
          <t>Recommended</t>
        </is>
      </c>
      <c r="CX3" s="31" t="inlineStr">
        <is>
          <t>Recommended</t>
        </is>
      </c>
      <c r="CY3" s="31" t="inlineStr">
        <is>
          <t>Required</t>
        </is>
      </c>
      <c r="CZ3" s="31" t="inlineStr">
        <is>
          <t>Recommended</t>
        </is>
      </c>
      <c r="DA3" s="31" t="inlineStr">
        <is>
          <t>Required</t>
        </is>
      </c>
      <c r="DB3" s="31" t="inlineStr">
        <is>
          <t>Required</t>
        </is>
      </c>
      <c r="DC3" s="31" t="inlineStr">
        <is>
          <t>Recommended</t>
        </is>
      </c>
      <c r="DD3" s="31" t="inlineStr">
        <is>
          <t>Recommended</t>
        </is>
      </c>
      <c r="DE3" s="31" t="inlineStr">
        <is>
          <t>Recommended</t>
        </is>
      </c>
      <c r="DF3" s="31" t="inlineStr">
        <is>
          <t>Required</t>
        </is>
      </c>
      <c r="DG3" s="31" t="inlineStr">
        <is>
          <t>Required</t>
        </is>
      </c>
      <c r="DH3" s="31" t="inlineStr">
        <is>
          <t>Recommended</t>
        </is>
      </c>
      <c r="DI3" s="31" t="inlineStr">
        <is>
          <t>Recommended</t>
        </is>
      </c>
      <c r="DJ3" s="31" t="inlineStr">
        <is>
          <t>Required</t>
        </is>
      </c>
      <c r="DK3" s="31" t="inlineStr">
        <is>
          <t>Required</t>
        </is>
      </c>
      <c r="DL3" s="31" t="inlineStr">
        <is>
          <t>Required</t>
        </is>
      </c>
      <c r="DM3" s="31" t="inlineStr">
        <is>
          <t>Required</t>
        </is>
      </c>
      <c r="DN3" s="31" t="inlineStr">
        <is>
          <t>Required</t>
        </is>
      </c>
      <c r="DO3" s="31" t="inlineStr">
        <is>
          <t>Required</t>
        </is>
      </c>
      <c r="DP3" s="31" t="inlineStr">
        <is>
          <t>Required</t>
        </is>
      </c>
      <c r="DQ3" s="31" t="inlineStr">
        <is>
          <t>Required</t>
        </is>
      </c>
      <c r="DR3" s="31" t="inlineStr">
        <is>
          <t>Recommended</t>
        </is>
      </c>
      <c r="DS3" s="31" t="inlineStr">
        <is>
          <t>Recommended</t>
        </is>
      </c>
      <c r="DT3" s="31" t="inlineStr">
        <is>
          <t>Recommended</t>
        </is>
      </c>
      <c r="DU3" s="31" t="inlineStr">
        <is>
          <t>Recommended</t>
        </is>
      </c>
      <c r="DV3" s="31" t="inlineStr">
        <is>
          <t>Recommended</t>
        </is>
      </c>
      <c r="DW3" s="31" t="inlineStr">
        <is>
          <t>Recommended</t>
        </is>
      </c>
      <c r="DX3" s="31" t="inlineStr">
        <is>
          <t>Required</t>
        </is>
      </c>
      <c r="DY3" s="31" t="inlineStr">
        <is>
          <t>Required</t>
        </is>
      </c>
      <c r="DZ3" s="31" t="inlineStr">
        <is>
          <t>Required</t>
        </is>
      </c>
      <c r="EA3" s="31" t="inlineStr">
        <is>
          <t>Required</t>
        </is>
      </c>
      <c r="EB3" s="31" t="inlineStr">
        <is>
          <t>Recommended</t>
        </is>
      </c>
      <c r="EC3" s="31" t="inlineStr">
        <is>
          <t>Recommended</t>
        </is>
      </c>
      <c r="ED3" s="31" t="inlineStr">
        <is>
          <t>Recommended</t>
        </is>
      </c>
      <c r="EE3" s="31" t="inlineStr">
        <is>
          <t>Required</t>
        </is>
      </c>
      <c r="EF3" s="31" t="inlineStr">
        <is>
          <t>Required</t>
        </is>
      </c>
      <c r="EG3" s="31" t="inlineStr">
        <is>
          <t>Required</t>
        </is>
      </c>
      <c r="EH3" s="31" t="inlineStr">
        <is>
          <t>Required</t>
        </is>
      </c>
      <c r="EI3" s="31" t="inlineStr">
        <is>
          <t>Required</t>
        </is>
      </c>
      <c r="EJ3" s="31" t="inlineStr">
        <is>
          <t>Recommended</t>
        </is>
      </c>
      <c r="EK3" s="31" t="inlineStr">
        <is>
          <t>Required</t>
        </is>
      </c>
      <c r="EL3" s="31" t="inlineStr">
        <is>
          <t>Required</t>
        </is>
      </c>
      <c r="EM3" s="31" t="inlineStr">
        <is>
          <t>Required</t>
        </is>
      </c>
      <c r="EN3" s="31" t="inlineStr">
        <is>
          <t>Required</t>
        </is>
      </c>
      <c r="EO3" s="31" t="inlineStr">
        <is>
          <t>Recommended</t>
        </is>
      </c>
      <c r="EP3" s="31" t="inlineStr">
        <is>
          <t>Required</t>
        </is>
      </c>
      <c r="EQ3" s="31" t="inlineStr">
        <is>
          <t>Recommended</t>
        </is>
      </c>
      <c r="ER3" s="31" t="inlineStr">
        <is>
          <t>Recommended</t>
        </is>
      </c>
      <c r="ES3" s="31" t="inlineStr">
        <is>
          <t>Recommended</t>
        </is>
      </c>
      <c r="ET3" s="31"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2" t="inlineStr">
        <is>
          <t>Battery or Batteries Included</t>
        </is>
      </c>
      <c r="CL4" s="33" t="inlineStr">
        <is>
          <t>Battery Composition</t>
        </is>
      </c>
      <c r="CM4" s="33" t="inlineStr">
        <is>
          <t>Battery Type</t>
        </is>
      </c>
      <c r="CN4" s="33" t="inlineStr">
        <is>
          <t>Number of Batteries</t>
        </is>
      </c>
      <c r="CO4" s="33" t="inlineStr">
        <is>
          <t>Battery Shipment</t>
        </is>
      </c>
      <c r="CP4" s="33" t="inlineStr">
        <is>
          <t>Lithium Content</t>
        </is>
      </c>
      <c r="CQ4" s="33" t="inlineStr">
        <is>
          <t>Watt Rating of Cells / Battery</t>
        </is>
      </c>
      <c r="CR4" s="33"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2" t="inlineStr">
        <is>
          <t>Composite Wood Product (CWP)</t>
        </is>
      </c>
      <c r="DL4" s="33" t="inlineStr">
        <is>
          <t>CARB Phase II Compliant (formaldehyde emissions)</t>
        </is>
      </c>
      <c r="DM4" s="33" t="inlineStr">
        <is>
          <t>TSCA Title VI Compliant (formaldehyde emissions)</t>
        </is>
      </c>
      <c r="DN4" s="33" t="inlineStr">
        <is>
          <t>CANFER Compliant</t>
        </is>
      </c>
      <c r="DO4" s="19" t="inlineStr">
        <is>
          <t>Uniform Packaging and Labeling Regulations (UPLR) Compliant</t>
        </is>
      </c>
      <c r="DP4" s="32" t="inlineStr">
        <is>
          <t>Canada Product Restriction</t>
        </is>
      </c>
      <c r="DQ4" s="33" t="inlineStr">
        <is>
          <t>Reason for Restriction</t>
        </is>
      </c>
      <c r="DR4" s="19" t="inlineStr">
        <is>
          <t>UL 1678 Listed</t>
        </is>
      </c>
      <c r="DS4" s="32" t="inlineStr">
        <is>
          <t>Hazardous Material / Dangerous Goods</t>
        </is>
      </c>
      <c r="DT4" s="33" t="inlineStr">
        <is>
          <t>UN or ID number</t>
        </is>
      </c>
      <c r="DU4" s="33" t="inlineStr">
        <is>
          <t>Hazard Class(es)</t>
        </is>
      </c>
      <c r="DV4" s="33" t="inlineStr">
        <is>
          <t>Packing Group</t>
        </is>
      </c>
      <c r="DW4" s="33" t="inlineStr">
        <is>
          <t>Hazardous Material Weight</t>
        </is>
      </c>
      <c r="DX4" s="19" t="inlineStr">
        <is>
          <t>Energy Efficiency Regulations Compliant</t>
        </is>
      </c>
      <c r="DY4" s="32" t="inlineStr">
        <is>
          <t>Safety Listing(s)</t>
        </is>
      </c>
      <c r="DZ4" s="33"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2" t="inlineStr">
        <is>
          <t>Commercial Warranty</t>
        </is>
      </c>
      <c r="EQ4" s="33" t="inlineStr">
        <is>
          <t>Commercial Warranty Length</t>
        </is>
      </c>
      <c r="ER4" s="19" t="inlineStr">
        <is>
          <t>Product Warranty</t>
        </is>
      </c>
      <c r="ES4" s="19" t="inlineStr">
        <is>
          <t>Full or Limited Warranty</t>
        </is>
      </c>
      <c r="ET4" s="19" t="inlineStr">
        <is>
          <t>Warranty Length</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4" t="inlineStr">
        <is>
          <t>Enter your product's brand (may be the same as the product's manufacturer). New brands must be created in the brand management tool in Partner Home before they can be selected here.</t>
        </is>
      </c>
      <c r="E5" s="34" t="inlineStr">
        <is>
          <t>Must be less than 64 characters and must be a unique value (products cannot be added if they have the same part number as something you already have in your catalog). This is the part number provided by the manufacturer.</t>
        </is>
      </c>
      <c r="F5" s="34" t="inlineStr">
        <is>
          <t>Must follow the standard UPC format and must be a unique value (products cannot be added if they have the same UPC as something you already have in your catalog).</t>
        </is>
      </c>
      <c r="G5" s="34" t="inlineStr">
        <is>
          <t>Please do not use abbreviations or exceed the 255 character limit. Wayfair may adjust the provided name based on marketing standards per class.</t>
        </is>
      </c>
      <c r="H5" s="34"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4" t="inlineStr">
        <is>
          <t>Enter the URL for the specific manufacturer product page of your product.</t>
        </is>
      </c>
      <c r="J5" s="34" t="inlineStr">
        <is>
          <t>Your supplier profile preference for currency is used to determine the currency of the base (wholesale) cost provided.</t>
        </is>
      </c>
      <c r="K5" s="34" t="inlineStr">
        <is>
          <t>The region selected for this sheet is used to determine the currency of the MAP provided. This may differ from the currency of your base cost.</t>
        </is>
      </c>
      <c r="L5" s="34" t="inlineStr">
        <is>
          <t>The region selected for this sheet is used to determine the currency of the MSRP provided. This may differ from the currency of your base cost.</t>
        </is>
      </c>
      <c r="M5" s="34" t="inlineStr">
        <is>
          <t>Please do not use special symbols (trademark, copyright, etc.) or extra lines/spacing. This should be a short, single paragraph product description in complete sentences highlighting details about key product information.</t>
        </is>
      </c>
      <c r="N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4" t="inlineStr">
        <is>
          <t>The minimum count of items a customer must choose to purchase the product.</t>
        </is>
      </c>
      <c r="T5" s="34" t="inlineStr">
        <is>
          <t>This represents how many items the customer must buy in increments of, or in addition to. For example, a multiplier of 2 would mean a custom must buy 1 quantity, 3 quantity, 5 quantity, or some other multiple of 2.</t>
        </is>
      </c>
      <c r="U5" s="34"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4" t="inlineStr">
        <is>
          <t>[Pounds] What is the total weight of this product once assembled? Please enter just the number (i.e. 45.5) without a unit of measurement.</t>
        </is>
      </c>
      <c r="W5" s="34" t="inlineStr">
        <is>
          <t>Enter small parcel or LTL to indicate how the product can ship based on size and weight.</t>
        </is>
      </c>
      <c r="X5" s="34" t="inlineStr">
        <is>
          <t>Each product falls into 1 of 18 classes determined by a product's 'transportability' and are crucial for calculating shipping cost. The field is required when ship type is LTL.</t>
        </is>
      </c>
      <c r="Y5" s="34" t="inlineStr">
        <is>
          <t>[Hours] This is the length of time from receipt of PO to shipment from the warehouse.</t>
        </is>
      </c>
      <c r="Z5" s="34" t="inlineStr">
        <is>
          <t>[Hours] This is length of time from receipt of a replacement PO to shipment from the warehouse</t>
        </is>
      </c>
      <c r="AA5" s="34" t="inlineStr">
        <is>
          <t>5 to 7 digit number in length (depending on any sub classification) that will identify what is shipping in the box</t>
        </is>
      </c>
      <c r="AB5" s="34" t="inlineStr">
        <is>
          <t>Also known as 'knocked down'. Select 'Yes' if this product ships disassembled in a flat pack box.</t>
        </is>
      </c>
      <c r="AC5" s="34" t="inlineStr">
        <is>
          <t>Select 'Yes' if this product ships on a pallet.</t>
        </is>
      </c>
      <c r="AD5" s="34" t="inlineStr">
        <is>
          <t>[Pounds] Enter in the shipping weight (i.e. 45.5) of the packaging used for the product.  If the product ships in more than one box, this measurement is per box.</t>
        </is>
      </c>
      <c r="AE5" s="34" t="inlineStr">
        <is>
          <t>[Inches] Enter in the shipping height (i.e. 45.5) of the packaging used for the product.  If the product ships in more than one box, this measurement is per box.</t>
        </is>
      </c>
      <c r="AF5" s="34" t="inlineStr">
        <is>
          <t>[Inches] Enter in the shipping width (i.e. 45.5) of the packaging used for the product.  If the product ships in more than one box, this measurement is per box.</t>
        </is>
      </c>
      <c r="AG5" s="34" t="inlineStr">
        <is>
          <t>[Inches] Enter in the shipping depth (i.e. 45.5) of the packaging used for the product.  If the product ships in more than one box, this measurement is per box.</t>
        </is>
      </c>
      <c r="AH5" s="34" t="inlineStr">
        <is>
          <t>If the product requires a warning for Proposition 65 compliance in California, answer 'Yes' and indicate which chemicals and toxicities are applicable.</t>
        </is>
      </c>
      <c r="AI5" s="34" t="inlineStr">
        <is>
          <t>Select the chemical that requires the Prop65 warning.</t>
        </is>
      </c>
      <c r="AJ5" s="34" t="inlineStr">
        <is>
          <t>Select the toxicity that can result from the selected chemical.</t>
        </is>
      </c>
      <c r="AK5" s="34" t="inlineStr">
        <is>
          <t>Provide only a single country of manufacture for each product.</t>
        </is>
      </c>
      <c r="AL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4" t="inlineStr">
        <is>
          <t>Provide the video’s file name with extension for separate uploads or a direct public URL. Do not exceed 10 videos per product.</t>
        </is>
      </c>
      <c r="AR5" s="34" t="inlineStr">
        <is>
          <t>Provide the document’s file name with extension for separate uploads or a direct public URL. Do not exceed 10 documents per product.</t>
        </is>
      </c>
      <c r="AS5" s="34" t="inlineStr">
        <is>
          <t>Select one or more values from the provided list that best describe the document’s purpose. This classification helps customers easily find information like “Installation &amp; Assembly” guides, “Warranty Information,” or “Specifications.</t>
        </is>
      </c>
      <c r="AT5" s="34" t="inlineStr">
        <is>
          <t>If the document serves as a legal notice or certification (e.g., “ASTM F2057 - 19,” “ANSI A117.1 Compliant”), select the specific type(s) from the provided list. This is used for compliance and to display certifications to customers.</t>
        </is>
      </c>
      <c r="AU5" s="34" t="inlineStr">
        <is>
          <t>Select the country or region where this document is legally applicable. This is crucial for compliance-related documents that may differ across locations.</t>
        </is>
      </c>
      <c r="AV5" s="34" t="inlineStr">
        <is>
          <t>Select the language in which the document is written.</t>
        </is>
      </c>
      <c r="AW5" s="34" t="inlineStr">
        <is>
          <t>Provide the document’s file name with extension for separate uploads or a direct public URL. Do not exceed 10 documents per product.</t>
        </is>
      </c>
      <c r="AX5" s="34" t="inlineStr">
        <is>
          <t>Select one or more values from the provided list that best describe the document’s purpose. This classification helps customers easily find information like “Installation &amp; Assembly” guides, “Warranty Information,” or “Specifications.</t>
        </is>
      </c>
      <c r="AY5" s="34" t="inlineStr">
        <is>
          <t>If the document serves as a legal notice or certification (e.g., “ASTM F2057 - 19,” “ANSI A117.1 Compliant”), select the specific type(s) from the provided list. This is used for compliance and to display certifications to customers.</t>
        </is>
      </c>
      <c r="AZ5" s="34" t="inlineStr">
        <is>
          <t>Select the country or region where this document is legally applicable. This is crucial for compliance-related documents that may differ across locations.</t>
        </is>
      </c>
      <c r="BA5" s="34" t="inlineStr">
        <is>
          <t>Select the language in which the document is written.</t>
        </is>
      </c>
      <c r="BB5" s="34" t="inlineStr">
        <is>
          <t>Provide the document’s file name with extension for separate uploads or a direct public URL. Do not exceed 10 documents per product.</t>
        </is>
      </c>
      <c r="BC5" s="34" t="inlineStr">
        <is>
          <t>Select one or more values from the provided list that best describe the document’s purpose. This classification helps customers easily find information like “Installation &amp; Assembly” guides, “Warranty Information,” or “Specifications.</t>
        </is>
      </c>
      <c r="BD5" s="34" t="inlineStr">
        <is>
          <t>If the document serves as a legal notice or certification (e.g., “ASTM F2057 - 19,” “ANSI A117.1 Compliant”), select the specific type(s) from the provided list. This is used for compliance and to display certifications to customers.</t>
        </is>
      </c>
      <c r="BE5" s="34" t="inlineStr">
        <is>
          <t>Select the country or region where this document is legally applicable. This is crucial for compliance-related documents that may differ across locations.</t>
        </is>
      </c>
      <c r="BF5" s="34" t="inlineStr">
        <is>
          <t>Select the language in which the document is written.</t>
        </is>
      </c>
      <c r="BG5" s="34" t="inlineStr">
        <is>
          <t>What type of product is this?</t>
        </is>
      </c>
      <c r="BH5" s="34" t="inlineStr">
        <is>
          <t>Does this product have a pier / bookcase included?</t>
        </is>
      </c>
      <c r="BI5" s="34" t="inlineStr">
        <is>
          <t>Does this product have any drawers?</t>
        </is>
      </c>
      <c r="BJ5" s="34" t="inlineStr">
        <is>
          <t>How many drawers are included in this product?</t>
        </is>
      </c>
      <c r="BK5" s="34" t="inlineStr">
        <is>
          <t>Does this product include cabinets?</t>
        </is>
      </c>
      <c r="BL5" s="34" t="inlineStr">
        <is>
          <t>Does this product include shelves?</t>
        </is>
      </c>
      <c r="BM5" s="34" t="inlineStr">
        <is>
          <t>Does this product have an open space with either another shelf above it or the top surface of the product above it? We do not define the top surface of the Accent Chest/Cabinet as an exterior shelf.</t>
        </is>
      </c>
      <c r="BN5" s="34" t="inlineStr">
        <is>
          <t>Does this product have interior shelves included?</t>
        </is>
      </c>
      <c r="BO5" s="34" t="inlineStr">
        <is>
          <t>Does this product have a bridge included?</t>
        </is>
      </c>
      <c r="BP5" s="34" t="inlineStr">
        <is>
          <t>What is the design of the piece of furniture?</t>
        </is>
      </c>
      <c r="BQ5" s="34" t="inlineStr">
        <is>
          <t>What material is the product made of?</t>
        </is>
      </c>
      <c r="BR5" s="34" t="inlineStr">
        <is>
          <t>What specific type of distressing does this product have? Select all that apply.</t>
        </is>
      </c>
      <c r="BS5" s="34" t="inlineStr">
        <is>
          <t>Which of the following types of natural variation and texture does the product have? Multiple can be selected if applicable. If the product does NOT have natural variation, please select No Natural Variation.</t>
        </is>
      </c>
      <c r="BT5" s="34" t="inlineStr">
        <is>
          <t>Does this product have a shiny and sheer gloss finish over the normal painted finish?</t>
        </is>
      </c>
      <c r="BU5" s="34" t="inlineStr">
        <is>
          <t>Is the surface of the product mirrored? Please do not select “yes” if the product only features a mirror. This question refers to the surface material of the product, and if it is reflective.</t>
        </is>
      </c>
      <c r="BV5" s="34" t="inlineStr">
        <is>
          <t>Does this product have a sound bar shelf included?</t>
        </is>
      </c>
      <c r="BW5" s="34" t="inlineStr">
        <is>
          <t>Does this product have adjustable shelves?</t>
        </is>
      </c>
      <c r="BX5" s="34" t="inlineStr">
        <is>
          <t>Does this product have media storage included?</t>
        </is>
      </c>
      <c r="BY5" s="34" t="inlineStr">
        <is>
          <t>Does this product have any built-in cable or wire management, such as a hole specifically for wires (a grommet) or a tray where wires can be stored?</t>
        </is>
      </c>
      <c r="BZ5" s="34" t="inlineStr">
        <is>
          <t>Does this product have wheels or casters?</t>
        </is>
      </c>
      <c r="CA5" s="34" t="inlineStr">
        <is>
          <t>Does this product have a fireplace included?</t>
        </is>
      </c>
      <c r="CB5" s="34"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4" t="inlineStr">
        <is>
          <t>Does this product include a device to prevent the product from tipping over? Tipover restraint devices (TRDs) include brackets, straps, or other specialized hardware</t>
        </is>
      </c>
      <c r="CD5" s="34" t="inlineStr">
        <is>
          <t>Does this product have an integrated tv mount included?</t>
        </is>
      </c>
      <c r="CE5" s="34" t="inlineStr">
        <is>
          <t>Is the height of this product adjustable?</t>
        </is>
      </c>
      <c r="CF5" s="34"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4"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4" t="inlineStr">
        <is>
          <t>Which technique was used to join together the main pieces of wood to construct the overall product?</t>
        </is>
      </c>
      <c r="CI5" s="34" t="inlineStr">
        <is>
          <t>Is the wood kiln-dried? If product is not made of wood, please select "does not apply."</t>
        </is>
      </c>
      <c r="CJ5" s="34" t="inlineStr">
        <is>
          <t>What type of wood was used to construct this product? This describes the actual materials used, not the product's appearance.</t>
        </is>
      </c>
      <c r="CK5" s="34" t="inlineStr">
        <is>
          <t>Is the product a battery or does the product include batteries?</t>
        </is>
      </c>
      <c r="CL5" s="34" t="inlineStr">
        <is>
          <t>What is the composition of the batteries included with product?</t>
        </is>
      </c>
      <c r="CM5" s="34" t="inlineStr">
        <is>
          <t>What type is the battery? Button Cell, Cell, Battery?</t>
        </is>
      </c>
      <c r="CN5" s="34" t="inlineStr">
        <is>
          <t>Confirm number of batteries in this product</t>
        </is>
      </c>
      <c r="CO5" s="34" t="inlineStr">
        <is>
          <t>Do the cells/batteries ship stand alone/packed with the equipment/ contained (installed) in the equipment?</t>
        </is>
      </c>
      <c r="CP5" s="34"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4"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4" t="inlineStr">
        <is>
          <t>What is the net weight of the cells or batteries that ship with the product in grams or kilograms.</t>
        </is>
      </c>
      <c r="CS5" s="34" t="inlineStr">
        <is>
          <t>Can the amount of heat be adjusted?</t>
        </is>
      </c>
      <c r="CT5" s="34" t="inlineStr">
        <is>
          <t>Can the brightness, size, or color of the flame be adjusted?</t>
        </is>
      </c>
      <c r="CU5" s="34" t="inlineStr">
        <is>
          <t>[Pounds] What is the maximum weight capacity of the product? Please enter just the number (i.e., 45.5).</t>
        </is>
      </c>
      <c r="CV5" s="34" t="inlineStr">
        <is>
          <t>What is the appropriate way to clean and/or care for this product? Please select as many answers as applicable.</t>
        </is>
      </c>
      <c r="CW5" s="34" t="inlineStr">
        <is>
          <t>Is this product unfinished (no paint, stain, or varnish)?</t>
        </is>
      </c>
      <c r="CX5" s="34" t="inlineStr">
        <is>
          <t>What material are the shelves made of?</t>
        </is>
      </c>
      <c r="CY5" s="34" t="inlineStr">
        <is>
          <t>What is the color or finish of the product? If your color/finish name is not listed, please type in the value.</t>
        </is>
      </c>
      <c r="CZ5" s="34" t="inlineStr">
        <is>
          <t>Please select which type of glide the drawer features and/or how far it can extend.</t>
        </is>
      </c>
      <c r="DA5" s="34" t="inlineStr">
        <is>
          <t>What type of vent does this product have?</t>
        </is>
      </c>
      <c r="DB5" s="34" t="inlineStr">
        <is>
          <t>What is the source of fuel needed in order for this product to function?</t>
        </is>
      </c>
      <c r="DC5" s="34" t="inlineStr">
        <is>
          <t>Please select the design of the product.</t>
        </is>
      </c>
      <c r="DD5" s="34" t="inlineStr">
        <is>
          <t>Is there a a raised pattern of parallel lines on a surface of this product?</t>
        </is>
      </c>
      <c r="DE5" s="34" t="inlineStr">
        <is>
          <t>Is there a a concave pattern of parallel lines on a surface of this product?</t>
        </is>
      </c>
      <c r="DF5" s="34" t="inlineStr">
        <is>
          <t>What pieces are included with this product?</t>
        </is>
      </c>
      <c r="DG5" s="34" t="inlineStr">
        <is>
          <t>How many cabinets does this product have?</t>
        </is>
      </c>
      <c r="DH5" s="34" t="inlineStr">
        <is>
          <t>Do any drawers feature safety stops (intended to keep the drawers from pulling all the way out)?</t>
        </is>
      </c>
      <c r="DI5" s="34" t="inlineStr">
        <is>
          <t>What type of Fireplace is included?</t>
        </is>
      </c>
      <c r="DJ5" s="34" t="inlineStr">
        <is>
          <t>Does this product have a General Certificate of Conformity (GCC), as required by the U.S. CPSC for certain product classes?</t>
        </is>
      </c>
      <c r="DK5" s="34"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4" t="inlineStr">
        <is>
          <t>Is this product certified compliant for CARB ATCM Phase II formaldehyde emission standards from Composite Wood Products [California Air Resources Board (CARB)- Airborne Toxic Control Measures (ATCM) Phase II]</t>
        </is>
      </c>
      <c r="DM5" s="34" t="inlineStr">
        <is>
          <t>Is this product certified TSCA Title VI compliant regarding formaldehyde emissions from Composite Wood Products [Environmental Protection Agency (EPA)-Toxic Substance Control Act (TSCA)-Title VI]</t>
        </is>
      </c>
      <c r="DN5" s="34"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4"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4"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4" t="inlineStr">
        <is>
          <t>Please select the reason this product can not ship to Canada?  Please select from the options or write in a reason if not selectable</t>
        </is>
      </c>
      <c r="DR5" s="34" t="inlineStr">
        <is>
          <t>Is this product UL 1678 Listed? This means that the international standards testing company UL (Underwriters' Laboratories) has tested this product and found it to be in compliance with Category 1678 safety standards.</t>
        </is>
      </c>
      <c r="DS5" s="34"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4"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4"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4"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4"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4"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4" t="inlineStr">
        <is>
          <t>Which of the following certification or verification marks does your product have? If the item is not certified/verified with any safety listing, please select Does Not Apply.</t>
        </is>
      </c>
      <c r="DZ5" s="34"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4"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4" t="inlineStr">
        <is>
          <t>Is the packaging for this SKU ISTA Certified (1A, 3A, 6A)?</t>
        </is>
      </c>
      <c r="EC5" s="34"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4"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4" t="inlineStr">
        <is>
          <t>[Inches] What is the overall width of the TV Stand (side to side)? Please enter just the number (i.e. 45.5). Please DO NOT duplicate this tag - any additional information can be stored in Shelf Dimensions, Cabinet Dimensions, or as a bullet.</t>
        </is>
      </c>
      <c r="EF5" s="34" t="inlineStr">
        <is>
          <t>[Inches] What is the overall depth of the TV Stand (front to back)? Please enter just the number (i.e. 45.5).</t>
        </is>
      </c>
      <c r="EG5" s="34" t="inlineStr">
        <is>
          <t>[Inches] What is the overall height of the Entertainment Center (top to bottom)? Enter just the value (i.e., 45.5).</t>
        </is>
      </c>
      <c r="EH5" s="34" t="inlineStr">
        <is>
          <t>[Inches] What is the overall width of the Entertainment Center (side to side)? Please enter just the number (i.e. 45.5). Please DO NOT duplicate this tag - any additional information can be stored in Shelf Dimensions, Cabinet Dimensions, or as a bullet.</t>
        </is>
      </c>
      <c r="EI5" s="34" t="inlineStr">
        <is>
          <t>[Inches] What is the overall depth of the Entertainment Center (front to back)? Enter just the value (i.e., 45.5).</t>
        </is>
      </c>
      <c r="EJ5" s="34" t="inlineStr">
        <is>
          <t>[Pounds] What is the total weight of this product once assembled? If this product includes multiples of the same item, add weight of one individual unit (e.g. 1 Dining Chair in a set of 2). Please enter just the number (i.e. 45.5).</t>
        </is>
      </c>
      <c r="EK5" s="34"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4" t="inlineStr">
        <is>
          <t>[Inches] What is the overall height of the TV stand (top to bottom)? Enter just the value (i.e., 45.5).</t>
        </is>
      </c>
      <c r="EM5" s="34" t="inlineStr">
        <is>
          <t>Does the product require any form of assembly prior to use as intended?</t>
        </is>
      </c>
      <c r="EN5" s="34" t="inlineStr">
        <is>
          <t>What is the level of assembly required?</t>
        </is>
      </c>
      <c r="EO5" s="34" t="inlineStr">
        <is>
          <t>What additional tools will the customer need to set-up this product that are NOT included with purchase?</t>
        </is>
      </c>
      <c r="EP5" s="34" t="inlineStr">
        <is>
          <t>Does the manufacturer warranty cover the use of this product in a commercial environment?</t>
        </is>
      </c>
      <c r="EQ5" s="34"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4" t="inlineStr">
        <is>
          <t>Please indicate if there is a warranty on this product if it were to be used in a residential setting.</t>
        </is>
      </c>
      <c r="ES5" s="34" t="inlineStr">
        <is>
          <t>Please indicate if the warranty is Full or Limited.</t>
        </is>
      </c>
      <c r="ET5" s="34"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4" t="inlineStr">
        <is>
          <t>Text</t>
        </is>
      </c>
      <c r="C6" s="34" t="inlineStr">
        <is>
          <t>Text</t>
        </is>
      </c>
      <c r="D6" s="35" t="inlineStr">
        <is>
          <t>Select</t>
        </is>
      </c>
      <c r="E6" s="34" t="inlineStr">
        <is>
          <t>Text</t>
        </is>
      </c>
      <c r="F6" s="34" t="inlineStr">
        <is>
          <t>Text</t>
        </is>
      </c>
      <c r="G6" s="34" t="inlineStr">
        <is>
          <t>Text</t>
        </is>
      </c>
      <c r="H6" s="34" t="inlineStr">
        <is>
          <t>Text</t>
        </is>
      </c>
      <c r="I6" s="34" t="inlineStr">
        <is>
          <t>Text</t>
        </is>
      </c>
      <c r="J6" s="34" t="inlineStr">
        <is>
          <t>Number</t>
        </is>
      </c>
      <c r="K6" s="34" t="inlineStr">
        <is>
          <t>Number</t>
        </is>
      </c>
      <c r="L6" s="34" t="inlineStr">
        <is>
          <t>Number</t>
        </is>
      </c>
      <c r="M6" s="34" t="inlineStr">
        <is>
          <t>Text</t>
        </is>
      </c>
      <c r="N6" s="34" t="inlineStr">
        <is>
          <t>Text</t>
        </is>
      </c>
      <c r="O6" s="34" t="inlineStr">
        <is>
          <t>Text</t>
        </is>
      </c>
      <c r="P6" s="34" t="inlineStr">
        <is>
          <t>Text</t>
        </is>
      </c>
      <c r="Q6" s="34" t="inlineStr">
        <is>
          <t>Text</t>
        </is>
      </c>
      <c r="R6" s="34" t="inlineStr">
        <is>
          <t>Text</t>
        </is>
      </c>
      <c r="S6" s="34" t="inlineStr">
        <is>
          <t>Whole Number</t>
        </is>
      </c>
      <c r="T6" s="34" t="inlineStr">
        <is>
          <t>Whole Number</t>
        </is>
      </c>
      <c r="U6" s="34" t="inlineStr">
        <is>
          <t>Whole Number</t>
        </is>
      </c>
      <c r="V6" s="34" t="inlineStr">
        <is>
          <t>Number</t>
        </is>
      </c>
      <c r="W6" s="35" t="inlineStr">
        <is>
          <t>Select</t>
        </is>
      </c>
      <c r="X6" s="35" t="inlineStr">
        <is>
          <t>Select</t>
        </is>
      </c>
      <c r="Y6" s="35" t="inlineStr">
        <is>
          <t>Select</t>
        </is>
      </c>
      <c r="Z6" s="35" t="inlineStr">
        <is>
          <t>Select</t>
        </is>
      </c>
      <c r="AA6" s="34" t="inlineStr">
        <is>
          <t>Text</t>
        </is>
      </c>
      <c r="AB6" s="34" t="inlineStr">
        <is>
          <t>Yes or No</t>
        </is>
      </c>
      <c r="AC6" s="34" t="inlineStr">
        <is>
          <t>Yes or No</t>
        </is>
      </c>
      <c r="AD6" s="34" t="inlineStr">
        <is>
          <t>Number</t>
        </is>
      </c>
      <c r="AE6" s="34" t="inlineStr">
        <is>
          <t>Number</t>
        </is>
      </c>
      <c r="AF6" s="34" t="inlineStr">
        <is>
          <t>Number</t>
        </is>
      </c>
      <c r="AG6" s="34" t="inlineStr">
        <is>
          <t>Number</t>
        </is>
      </c>
      <c r="AH6" s="34" t="inlineStr">
        <is>
          <t>Yes or No</t>
        </is>
      </c>
      <c r="AI6" s="35" t="inlineStr">
        <is>
          <t>Select</t>
        </is>
      </c>
      <c r="AJ6" s="35" t="inlineStr">
        <is>
          <t>Please choose one or more from the following, using a semicolon (;) to separate each value: Cancer; Developmental</t>
        </is>
      </c>
      <c r="AK6" s="35" t="inlineStr">
        <is>
          <t>Select</t>
        </is>
      </c>
      <c r="AL6" s="34" t="inlineStr">
        <is>
          <t>Text</t>
        </is>
      </c>
      <c r="AM6" s="34" t="inlineStr">
        <is>
          <t>Text</t>
        </is>
      </c>
      <c r="AN6" s="34" t="inlineStr">
        <is>
          <t>Text</t>
        </is>
      </c>
      <c r="AO6" s="34" t="inlineStr">
        <is>
          <t>Text</t>
        </is>
      </c>
      <c r="AP6" s="34" t="inlineStr">
        <is>
          <t>Text</t>
        </is>
      </c>
      <c r="AQ6" s="34" t="inlineStr">
        <is>
          <t>Text</t>
        </is>
      </c>
      <c r="AR6" s="34" t="inlineStr">
        <is>
          <t>Text</t>
        </is>
      </c>
      <c r="AS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5" t="inlineStr">
        <is>
          <t>Select</t>
        </is>
      </c>
      <c r="AV6" s="35" t="inlineStr">
        <is>
          <t>Select</t>
        </is>
      </c>
      <c r="AW6" s="34" t="inlineStr">
        <is>
          <t>Text</t>
        </is>
      </c>
      <c r="AX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5" t="inlineStr">
        <is>
          <t>Select</t>
        </is>
      </c>
      <c r="BA6" s="35" t="inlineStr">
        <is>
          <t>Select</t>
        </is>
      </c>
      <c r="BB6" s="34" t="inlineStr">
        <is>
          <t>Text</t>
        </is>
      </c>
      <c r="BC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5" t="inlineStr">
        <is>
          <t>Select</t>
        </is>
      </c>
      <c r="BF6" s="35" t="inlineStr">
        <is>
          <t>Select</t>
        </is>
      </c>
      <c r="BG6" s="35" t="inlineStr">
        <is>
          <t>Select</t>
        </is>
      </c>
      <c r="BH6" s="34" t="inlineStr">
        <is>
          <t>Yes or No</t>
        </is>
      </c>
      <c r="BI6" s="34" t="inlineStr">
        <is>
          <t>Yes or No</t>
        </is>
      </c>
      <c r="BJ6" s="34" t="inlineStr">
        <is>
          <t>Whole Number</t>
        </is>
      </c>
      <c r="BK6" s="34" t="inlineStr">
        <is>
          <t>Yes or No</t>
        </is>
      </c>
      <c r="BL6" s="34" t="inlineStr">
        <is>
          <t>Yes or No</t>
        </is>
      </c>
      <c r="BM6" s="34" t="inlineStr">
        <is>
          <t>Yes or No</t>
        </is>
      </c>
      <c r="BN6" s="34" t="inlineStr">
        <is>
          <t>Yes or No</t>
        </is>
      </c>
      <c r="BO6" s="34" t="inlineStr">
        <is>
          <t>Yes or No</t>
        </is>
      </c>
      <c r="BP6" s="35"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5"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5"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5" t="inlineStr">
        <is>
          <t>Please choose one or more from the following, using a semicolon (;) to separate each value: No Natural Variation; Natural Wood Grain Color Variation; Weathered Steel; Wood Knots; Natural Stone Color Variation; Unavailable</t>
        </is>
      </c>
      <c r="BT6" s="34" t="inlineStr">
        <is>
          <t>Yes or No</t>
        </is>
      </c>
      <c r="BU6" s="34" t="inlineStr">
        <is>
          <t>Yes or No</t>
        </is>
      </c>
      <c r="BV6" s="34" t="inlineStr">
        <is>
          <t>Yes or No</t>
        </is>
      </c>
      <c r="BW6" s="34" t="inlineStr">
        <is>
          <t>Yes or No</t>
        </is>
      </c>
      <c r="BX6" s="34" t="inlineStr">
        <is>
          <t>Yes or No</t>
        </is>
      </c>
      <c r="BY6" s="34" t="inlineStr">
        <is>
          <t>Yes or No</t>
        </is>
      </c>
      <c r="BZ6" s="34" t="inlineStr">
        <is>
          <t>Yes or No</t>
        </is>
      </c>
      <c r="CA6" s="34" t="inlineStr">
        <is>
          <t>Yes or No</t>
        </is>
      </c>
      <c r="CB6" s="34" t="inlineStr">
        <is>
          <t>Yes or No</t>
        </is>
      </c>
      <c r="CC6" s="35" t="inlineStr">
        <is>
          <t>Select</t>
        </is>
      </c>
      <c r="CD6" s="34" t="inlineStr">
        <is>
          <t>Yes or No</t>
        </is>
      </c>
      <c r="CE6" s="34" t="inlineStr">
        <is>
          <t>Yes or No</t>
        </is>
      </c>
      <c r="CF6" s="35" t="inlineStr">
        <is>
          <t>Please choose one or more from the following, using a semicolon (;) to separate each value: Non Residential Use; Residential Use</t>
        </is>
      </c>
      <c r="CG6" s="35" t="inlineStr">
        <is>
          <t>Please choose one or more from the following, using a semicolon (;) to separate each value: Made in USA; Made in USA of Imported Materials; Product of Canada; Made In Canada; Does Not Apply</t>
        </is>
      </c>
      <c r="CH6" s="35" t="inlineStr">
        <is>
          <t>Select</t>
        </is>
      </c>
      <c r="CI6" s="34" t="inlineStr">
        <is>
          <t>Yes or No</t>
        </is>
      </c>
      <c r="CJ6" s="35"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4" t="inlineStr">
        <is>
          <t>Yes or No</t>
        </is>
      </c>
      <c r="CL6" s="35" t="inlineStr">
        <is>
          <t>Select</t>
        </is>
      </c>
      <c r="CM6" s="35" t="inlineStr">
        <is>
          <t>Select</t>
        </is>
      </c>
      <c r="CN6" s="35" t="inlineStr">
        <is>
          <t>Select</t>
        </is>
      </c>
      <c r="CO6" s="35" t="inlineStr">
        <is>
          <t>Select</t>
        </is>
      </c>
      <c r="CP6" s="35" t="inlineStr">
        <is>
          <t>Select</t>
        </is>
      </c>
      <c r="CQ6" s="35" t="inlineStr">
        <is>
          <t>Select</t>
        </is>
      </c>
      <c r="CR6" s="35" t="inlineStr">
        <is>
          <t>Select</t>
        </is>
      </c>
      <c r="CS6" s="34" t="inlineStr">
        <is>
          <t>Yes or No</t>
        </is>
      </c>
      <c r="CT6" s="34" t="inlineStr">
        <is>
          <t>Yes or No</t>
        </is>
      </c>
      <c r="CU6" s="34" t="inlineStr">
        <is>
          <t>Number</t>
        </is>
      </c>
      <c r="CV6" s="35"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4" t="inlineStr">
        <is>
          <t>Yes or No</t>
        </is>
      </c>
      <c r="CX6" s="35"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5"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5"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5" t="inlineStr">
        <is>
          <t>Select</t>
        </is>
      </c>
      <c r="DB6" s="35" t="inlineStr">
        <is>
          <t>Please choose one or more from the following, using a semicolon (;) to separate each value: Electric; Dual Fuel; Induction; Wood Pellets; Natural Gas; Liquid Propane; Wood Burning; Gel Fuel; Bio-Ethanol; Propane; Butane; Charcoal; Ethanol; Alcohol; Does Not Apply</t>
        </is>
      </c>
      <c r="DC6" s="35" t="inlineStr">
        <is>
          <t>Please choose one or more from the following, using a semicolon (;) to separate each value: Flush; Glass; Louvered; Paneled; Mirrored; Barn Doors; Frosted; Insulated; Contoured; Tinted; See Through; Double Pane; Does Not Apply</t>
        </is>
      </c>
      <c r="DD6" s="34" t="inlineStr">
        <is>
          <t>Yes or No</t>
        </is>
      </c>
      <c r="DE6" s="34" t="inlineStr">
        <is>
          <t>Yes or No</t>
        </is>
      </c>
      <c r="DF6" s="35"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4" t="inlineStr">
        <is>
          <t>Whole Number</t>
        </is>
      </c>
      <c r="DH6" s="34" t="inlineStr">
        <is>
          <t>Yes or No</t>
        </is>
      </c>
      <c r="DI6" s="35" t="inlineStr">
        <is>
          <t>Please choose one or more from the following, using a semicolon (;) to separate each value: Gel; Gas; Wood; Electric; Unavailable; Does Not Apply</t>
        </is>
      </c>
      <c r="DJ6" s="35" t="inlineStr">
        <is>
          <t>Select</t>
        </is>
      </c>
      <c r="DK6" s="34" t="inlineStr">
        <is>
          <t>Yes or No</t>
        </is>
      </c>
      <c r="DL6" s="35" t="inlineStr">
        <is>
          <t>Select</t>
        </is>
      </c>
      <c r="DM6" s="35" t="inlineStr">
        <is>
          <t>Select</t>
        </is>
      </c>
      <c r="DN6" s="35" t="inlineStr">
        <is>
          <t>Select</t>
        </is>
      </c>
      <c r="DO6" s="35" t="inlineStr">
        <is>
          <t>Select</t>
        </is>
      </c>
      <c r="DP6" s="34" t="inlineStr">
        <is>
          <t>Yes or No</t>
        </is>
      </c>
      <c r="DQ6" s="35" t="inlineStr">
        <is>
          <t>Please choose one or more from the following, using a semicolon (;) to separate each value: Dual Language; Distribution Conflict; Logistics; Does Not Apply</t>
        </is>
      </c>
      <c r="DR6" s="35" t="inlineStr">
        <is>
          <t>Select</t>
        </is>
      </c>
      <c r="DS6" s="34" t="inlineStr">
        <is>
          <t>Yes or No</t>
        </is>
      </c>
      <c r="DT6" s="35"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5" t="inlineStr">
        <is>
          <t>Select</t>
        </is>
      </c>
      <c r="DV6" s="35" t="inlineStr">
        <is>
          <t>Select</t>
        </is>
      </c>
      <c r="DW6" s="35" t="inlineStr">
        <is>
          <t>Select</t>
        </is>
      </c>
      <c r="DX6" s="35" t="inlineStr">
        <is>
          <t>Select</t>
        </is>
      </c>
      <c r="DY6" s="35"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4" t="inlineStr">
        <is>
          <t>Text</t>
        </is>
      </c>
      <c r="EA6" s="35" t="inlineStr">
        <is>
          <t>Select</t>
        </is>
      </c>
      <c r="EB6" s="35" t="inlineStr">
        <is>
          <t>Select</t>
        </is>
      </c>
      <c r="EC6" s="34" t="inlineStr">
        <is>
          <t>Yes or No</t>
        </is>
      </c>
      <c r="ED6" s="35" t="inlineStr">
        <is>
          <t>Select</t>
        </is>
      </c>
      <c r="EE6" s="34" t="inlineStr">
        <is>
          <t>Number</t>
        </is>
      </c>
      <c r="EF6" s="34" t="inlineStr">
        <is>
          <t>Number</t>
        </is>
      </c>
      <c r="EG6" s="34" t="inlineStr">
        <is>
          <t>Number</t>
        </is>
      </c>
      <c r="EH6" s="34" t="inlineStr">
        <is>
          <t>Number</t>
        </is>
      </c>
      <c r="EI6" s="34" t="inlineStr">
        <is>
          <t>Number</t>
        </is>
      </c>
      <c r="EJ6" s="34" t="inlineStr">
        <is>
          <t>Number</t>
        </is>
      </c>
      <c r="EK6" s="35" t="inlineStr">
        <is>
          <t>Select</t>
        </is>
      </c>
      <c r="EL6" s="34" t="inlineStr">
        <is>
          <t>Number</t>
        </is>
      </c>
      <c r="EM6" s="34" t="inlineStr">
        <is>
          <t>Yes or No</t>
        </is>
      </c>
      <c r="EN6" s="35" t="inlineStr">
        <is>
          <t>Select</t>
        </is>
      </c>
      <c r="EO6" s="35"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4" t="inlineStr">
        <is>
          <t>Yes or No</t>
        </is>
      </c>
      <c r="EQ6" s="35" t="inlineStr">
        <is>
          <t>Select</t>
        </is>
      </c>
      <c r="ER6" s="34" t="inlineStr">
        <is>
          <t>Yes or No</t>
        </is>
      </c>
      <c r="ES6" s="35" t="inlineStr">
        <is>
          <t>Select</t>
        </is>
      </c>
      <c r="ET6" s="35"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6" t="inlineStr">
        <is>
          <t>Default Row:</t>
        </is>
      </c>
      <c r="C7" s="36" t="inlineStr">
        <is>
          <t>N/A</t>
        </is>
      </c>
      <c r="D7" s="37" t="n"/>
      <c r="E7" s="36" t="inlineStr">
        <is>
          <t>N/A</t>
        </is>
      </c>
      <c r="F7" s="36" t="inlineStr">
        <is>
          <t>N/A</t>
        </is>
      </c>
      <c r="G7" s="36" t="inlineStr">
        <is>
          <t>N/A</t>
        </is>
      </c>
      <c r="H7" s="37" t="n"/>
      <c r="I7" s="36" t="inlineStr">
        <is>
          <t>N/A</t>
        </is>
      </c>
      <c r="J7" s="36" t="inlineStr">
        <is>
          <t>N/A</t>
        </is>
      </c>
      <c r="K7" s="37" t="n"/>
      <c r="L7" s="37" t="n"/>
      <c r="M7" s="37" t="n"/>
      <c r="N7" s="37" t="n"/>
      <c r="O7" s="37" t="n"/>
      <c r="P7" s="37" t="n"/>
      <c r="Q7" s="37" t="n"/>
      <c r="R7" s="37" t="n"/>
      <c r="S7" s="37" t="n"/>
      <c r="T7" s="37" t="n"/>
      <c r="U7" s="37" t="n"/>
      <c r="V7" s="37" t="n"/>
      <c r="W7" s="37" t="n"/>
      <c r="X7" s="37" t="n"/>
      <c r="Y7" s="37" t="n"/>
      <c r="Z7" s="37" t="n"/>
      <c r="AA7" s="37" t="n"/>
      <c r="AB7" s="37" t="n"/>
      <c r="AC7" s="37" t="n"/>
      <c r="AD7" s="37" t="n"/>
      <c r="AE7" s="37" t="n"/>
      <c r="AF7" s="37" t="n"/>
      <c r="AG7" s="37" t="n"/>
      <c r="AH7" s="37" t="n"/>
      <c r="AI7" s="37" t="n"/>
      <c r="AJ7" s="37" t="n"/>
      <c r="AK7" s="37" t="n"/>
      <c r="AL7" s="36" t="inlineStr">
        <is>
          <t>N/A</t>
        </is>
      </c>
      <c r="AM7" s="36" t="inlineStr">
        <is>
          <t>N/A</t>
        </is>
      </c>
      <c r="AN7" s="36" t="inlineStr">
        <is>
          <t>N/A</t>
        </is>
      </c>
      <c r="AO7" s="36" t="inlineStr">
        <is>
          <t>N/A</t>
        </is>
      </c>
      <c r="AP7" s="36" t="inlineStr">
        <is>
          <t>N/A</t>
        </is>
      </c>
      <c r="AQ7" s="36" t="inlineStr">
        <is>
          <t>N/A</t>
        </is>
      </c>
      <c r="AR7" s="37" t="n"/>
      <c r="AS7" s="37" t="n"/>
      <c r="AT7" s="37" t="n"/>
      <c r="AU7" s="37" t="n"/>
      <c r="AV7" s="37" t="n"/>
      <c r="AW7" s="37" t="n"/>
      <c r="AX7" s="37" t="n"/>
      <c r="AY7" s="37" t="n"/>
      <c r="AZ7" s="37" t="n"/>
      <c r="BA7" s="37" t="n"/>
      <c r="BB7" s="37" t="n"/>
      <c r="BC7" s="37" t="n"/>
      <c r="BD7" s="37" t="n"/>
      <c r="BE7" s="37" t="n"/>
      <c r="BF7" s="37" t="n"/>
      <c r="BG7" s="37" t="n"/>
      <c r="BH7" s="37" t="n"/>
      <c r="BI7" s="37" t="n"/>
      <c r="BJ7" s="37" t="n"/>
      <c r="BK7" s="37" t="n"/>
      <c r="BL7" s="37" t="n"/>
      <c r="BM7" s="37" t="n"/>
      <c r="BN7" s="37" t="n"/>
      <c r="BO7" s="37" t="n"/>
      <c r="BP7" s="37" t="n"/>
      <c r="BQ7" s="37" t="n"/>
      <c r="BR7" s="37" t="n"/>
      <c r="BS7" s="37" t="n"/>
      <c r="BT7" s="37" t="n"/>
      <c r="BU7" s="37" t="n"/>
      <c r="BV7" s="37" t="n"/>
      <c r="BW7" s="37" t="n"/>
      <c r="BX7" s="37" t="n"/>
      <c r="BY7" s="37" t="n"/>
      <c r="BZ7" s="37" t="n"/>
      <c r="CA7" s="37" t="n"/>
      <c r="CB7" s="37" t="n"/>
      <c r="CC7" s="37" t="n"/>
      <c r="CD7" s="37" t="n"/>
      <c r="CE7" s="37" t="n"/>
      <c r="CF7" s="37" t="n"/>
      <c r="CG7" s="37" t="n"/>
      <c r="CH7" s="37" t="n"/>
      <c r="CI7" s="37" t="n"/>
      <c r="CJ7" s="37" t="n"/>
      <c r="CK7" s="37" t="n"/>
      <c r="CL7" s="37" t="n"/>
      <c r="CM7" s="37" t="n"/>
      <c r="CN7" s="37" t="n"/>
      <c r="CO7" s="37" t="n"/>
      <c r="CP7" s="37" t="n"/>
      <c r="CQ7" s="37" t="n"/>
      <c r="CR7" s="37" t="n"/>
      <c r="CS7" s="37" t="n"/>
      <c r="CT7" s="37" t="n"/>
      <c r="CU7" s="37" t="n"/>
      <c r="CV7" s="37" t="n"/>
      <c r="CW7" s="37" t="n"/>
      <c r="CX7" s="37" t="n"/>
      <c r="CY7" s="37" t="n"/>
      <c r="CZ7" s="37" t="n"/>
      <c r="DA7" s="37" t="n"/>
      <c r="DB7" s="37" t="n"/>
      <c r="DC7" s="37" t="n"/>
      <c r="DD7" s="37" t="n"/>
      <c r="DE7" s="37" t="n"/>
      <c r="DF7" s="37" t="n"/>
      <c r="DG7" s="37" t="n"/>
      <c r="DH7" s="37" t="n"/>
      <c r="DI7" s="37" t="n"/>
      <c r="DJ7" s="37" t="n"/>
      <c r="DK7" s="37" t="n"/>
      <c r="DL7" s="37" t="n"/>
      <c r="DM7" s="37" t="n"/>
      <c r="DN7" s="37" t="n"/>
      <c r="DO7" s="37" t="n"/>
      <c r="DP7" s="37" t="n"/>
      <c r="DQ7" s="37" t="n"/>
      <c r="DR7" s="37" t="n"/>
      <c r="DS7" s="37" t="n"/>
      <c r="DT7" s="37" t="n"/>
      <c r="DU7" s="37" t="n"/>
      <c r="DV7" s="37" t="n"/>
      <c r="DW7" s="37" t="n"/>
      <c r="DX7" s="37" t="n"/>
      <c r="DY7" s="37" t="n"/>
      <c r="DZ7" s="37" t="n"/>
      <c r="EA7" s="37" t="n"/>
      <c r="EB7" s="37" t="n"/>
      <c r="EC7" s="37" t="n"/>
      <c r="ED7" s="37" t="n"/>
      <c r="EE7" s="37" t="n"/>
      <c r="EF7" s="37" t="n"/>
      <c r="EG7" s="37" t="n"/>
      <c r="EH7" s="37" t="n"/>
      <c r="EI7" s="37" t="n"/>
      <c r="EJ7" s="37" t="n"/>
      <c r="EK7" s="37" t="n"/>
      <c r="EL7" s="37" t="n"/>
      <c r="EM7" s="37" t="n"/>
      <c r="EN7" s="37" t="n"/>
      <c r="EO7" s="37" t="n"/>
      <c r="EP7" s="37" t="n"/>
      <c r="EQ7" s="37" t="n"/>
      <c r="ER7" s="37" t="n"/>
      <c r="ES7" s="37" t="n"/>
      <c r="ET7" s="37" t="n"/>
    </row>
    <row r="8">
      <c r="A8">
        <f t="array" ref="A8">_xlfn.BYROW(B8:EU507, _xlfn.LAMBDA(_xlpm.r, _xlfn.LET(_xlpm.high_priority, IFERROR(INDEX(_xlpm.r, MATCH(TRUE, (_xlpm.r &lt;&gt; "") * ((LEFT(_xlpm.r, 2) = "1:") + (LEFT(_xlpm.r, 2) = "3:")) &gt; 0, 0)), ""), IF(_xlpm.high_priority &lt;&gt; "", _xlpm.high_priority, IFERROR(INDEX(_xlpm.r, MATCH(TRUE, (_xlpm.r &lt;&gt; "") * (LEFT(_xlpm.r, 2) = "4:") &gt; 0, 0)), "")))))</f>
        <v/>
      </c>
      <c r="B8" s="22">
        <f t="array" ref="B8">_xlfn.MAP('6 - TV Stands &amp; Enterta'!B8:B507, '6 - TV Stands &amp; Enterta'!B8:B507,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s="22">
        <f t="array" ref="C8">_xlfn.MAP('6 - TV Stands &amp; Enterta'!B8:B507, '6 - TV Stands &amp; Enterta'!C8:C507, _xlfn.LAMBDA(_xlpm.part, _xlpm.val, IF(_xlpm.part = "", "", IF(AND(_xlpm.val = "", C$3="Required"), IF(OR('6 - TV Stands &amp; Enterta'!C$7 = "", '6 - TV Stands &amp; Enterta'!C$7 = "N/A"), "3:ASIN or Amazon Seller SKU - Value is required", ""), ""))))</f>
        <v/>
      </c>
      <c r="D8" s="22">
        <f t="array" ref="D8">_xlfn.MAP('6 - TV Stands &amp; Enterta'!B8:B507, '6 - TV Stands &amp; Enterta'!D8:D507, _xlfn.LAMBDA(_xlpm.part, _xlpm.val, IF(_xlpm.part = "", "", IF(AND(_xlpm.val = "", D$3="Required"), IF(OR('6 - TV Stands &amp; Enterta'!D$7 = "", '6 - TV Stands &amp; Enterta'!D$7 = "N/A"), "3:Brand - Value is required", ""), ""))))</f>
        <v/>
      </c>
      <c r="E8" s="22">
        <f t="array" ref="E8">_xlfn.MAP('6 - TV Stands &amp; Enterta'!B8:B507, '6 - TV Stands &amp; Enterta'!E8:E507, _xlfn.LAMBDA(_xlpm.part, _xlpm.val, IF(_xlpm.part = "", "",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s="22">
        <f t="array" ref="F8">_xlfn.MAP('6 - TV Stands &amp; Enterta'!B8:B507, '6 - TV Stands &amp; Enterta'!F8:F507, _xlfn.LAMBDA(_xlpm.part, _xlpm.val, IF(_xlpm.part = "", "",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s="22">
        <f t="array" ref="G8">_xlfn.MAP('6 - TV Stands &amp; Enterta'!B8:B507, '6 - TV Stands &amp; Enterta'!G8:G507, _xlfn.LAMBDA(_xlpm.part, _xlpm.val, IF(_xlpm.part = "", "",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s="22">
        <f t="array" ref="H8">_xlfn.MAP('6 - TV Stands &amp; Enterta'!B8:B507, '6 - TV Stands &amp; Enterta'!H8:H507, _xlfn.LAMBDA(_xlpm.part, _xlpm.val, IF(_xlpm.part = "", "", IF(AND(_xlpm.val = "", H$3="Required"), IF(OR('6 - TV Stands &amp; Enterta'!H$7 = "", '6 - TV Stands &amp; Enterta'!H$7 = "N/A"), "3:Collection Name - Value is required", ""), ""))))</f>
        <v/>
      </c>
      <c r="I8" s="22">
        <f t="array" ref="I8">_xlfn.MAP('6 - TV Stands &amp; Enterta'!B8:B507, '6 - TV Stands &amp; Enterta'!I8:I507, _xlfn.LAMBDA(_xlpm.part, _xlpm.val, IF(_xlpm.part = "", "", IF(AND(_xlpm.val = "", I$3="Required"), IF(OR('6 - TV Stands &amp; Enterta'!I$7 = "", '6 - TV Stands &amp; Enterta'!I$7 = "N/A"), "3:Manufacturer Product URL - Value is required", ""), ""))))</f>
        <v/>
      </c>
      <c r="J8" s="22">
        <f t="array" ref="J8">_xlfn.MAP('6 - TV Stands &amp; Enterta'!B8:B507, '6 - TV Stands &amp; Enterta'!J8:J507, _xlfn.LAMBDA(_xlpm.part, _xlpm.val, IF(_xlpm.part = "", "",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s="22">
        <f t="array" ref="K8">_xlfn.MAP('6 - TV Stands &amp; Enterta'!B8:B507, '6 - TV Stands &amp; Enterta'!K8:K507, _xlfn.LAMBDA(_xlpm.part, _xlpm.val, IF(_xlpm.part = "", "",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s="22">
        <f t="array" ref="L8">_xlfn.MAP('6 - TV Stands &amp; Enterta'!B8:B507, '6 - TV Stands &amp; Enterta'!L8:L507, _xlfn.LAMBDA(_xlpm.part, _xlpm.val, IF(_xlpm.part = "", "",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s="22">
        <f t="array" ref="M8">_xlfn.MAP('6 - TV Stands &amp; Enterta'!B8:B507, '6 - TV Stands &amp; Enterta'!M8:M507, '6 - TV Stands &amp; Enterta'!N8:N507, '6 - TV Stands &amp; Enterta'!O8:O507, '6 - TV Stands &amp; Enterta'!P8:P507, _xlfn.LAMBDA(_xlpm.part, _xlpm.val, _xlpm.dep1, _xlpm.dep2, _xlpm.dep3, IF(_xlpm.part = "", "",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s="22">
        <f t="array" ref="N8">_xlfn.MAP('6 - TV Stands &amp; Enterta'!B8:B507, '6 - TV Stands &amp; Enterta'!N8:N507, '6 - TV Stands &amp; Enterta'!O8:O507, '6 - TV Stands &amp; Enterta'!P8:P507, '6 - TV Stands &amp; Enterta'!M8:M507, _xlfn.LAMBDA(_xlpm.part, _xlpm.val, _xlpm.dep1, _xlpm.dep2, _xlpm.dep3, IF(_xlpm.part = "", "",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s="22">
        <f t="array" ref="O8">_xlfn.MAP('6 - TV Stands &amp; Enterta'!B8:B507, '6 - TV Stands &amp; Enterta'!O8:O507, '6 - TV Stands &amp; Enterta'!N8:N507, '6 - TV Stands &amp; Enterta'!P8:P507, '6 - TV Stands &amp; Enterta'!M8:M507, _xlfn.LAMBDA(_xlpm.part, _xlpm.val, _xlpm.dep1, _xlpm.dep2, _xlpm.dep3, IF(_xlpm.part = "", "",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s="22">
        <f t="array" ref="P8">_xlfn.MAP('6 - TV Stands &amp; Enterta'!B8:B507, '6 - TV Stands &amp; Enterta'!P8:P507, '6 - TV Stands &amp; Enterta'!N8:N507, '6 - TV Stands &amp; Enterta'!O8:O507, '6 - TV Stands &amp; Enterta'!M8:M507, _xlfn.LAMBDA(_xlpm.part, _xlpm.val, _xlpm.dep1, _xlpm.dep2, _xlpm.dep3, IF(_xlpm.part = "", "",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s="22">
        <f t="array" ref="Q8">_xlfn.MAP('6 - TV Stands &amp; Enterta'!B8:B507, '6 - TV Stands &amp; Enterta'!Q8:Q507, _xlfn.LAMBDA(_xlpm.part, _xlpm.val, IF(_xlpm.part = "", "",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s="22">
        <f t="array" ref="R8">_xlfn.MAP('6 - TV Stands &amp; Enterta'!B8:B507, '6 - TV Stands &amp; Enterta'!R8:R507, _xlfn.LAMBDA(_xlpm.part, _xlpm.val, IF(_xlpm.part = "", "",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s="22">
        <f t="array" ref="S8">_xlfn.MAP('6 - TV Stands &amp; Enterta'!B8:B507, '6 - TV Stands &amp; Enterta'!S8:S507, _xlfn.LAMBDA(_xlpm.part, _xlpm.val, IF(_xlpm.part = "", "",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s="22">
        <f t="array" ref="T8">_xlfn.MAP('6 - TV Stands &amp; Enterta'!B8:B507, '6 - TV Stands &amp; Enterta'!T8:T507, _xlfn.LAMBDA(_xlpm.part, _xlpm.val, IF(_xlpm.part = "", "",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s="22">
        <f t="array" ref="U8">_xlfn.MAP('6 - TV Stands &amp; Enterta'!B8:B507, '6 - TV Stands &amp; Enterta'!U8:U507, _xlfn.LAMBDA(_xlpm.part, _xlpm.val, IF(_xlpm.part = "", "",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s="22">
        <f t="array" ref="V8">_xlfn.MAP('6 - TV Stands &amp; Enterta'!B8:B507, '6 - TV Stands &amp; Enterta'!V8:V507, _xlfn.LAMBDA(_xlpm.part, _xlpm.val, IF(_xlpm.part = "", "",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s="22">
        <f t="array" ref="W8">_xlfn.MAP('6 - TV Stands &amp; Enterta'!B8:B507, '6 - TV Stands &amp; Enterta'!W8:W507, _xlfn.LAMBDA(_xlpm.part, _xlpm.val, IF(_xlpm.part = "", "", IF(AND(_xlpm.val = "", W$3="Required"), IF(OR('6 - TV Stands &amp; Enterta'!W$7 = "", '6 - TV Stands &amp; Enterta'!W$7 = "N/A"), "3:Ship Type - Value is required", ""), ""))))</f>
        <v/>
      </c>
      <c r="X8" s="22">
        <f t="array" ref="X8">_xlfn.MAP('6 - TV Stands &amp; Enterta'!B8:B507, '6 - TV Stands &amp; Enterta'!X8:X507, _xlfn.LAMBDA(_xlpm.part, _xlpm.val, IF(_xlpm.part = "", "", IF(AND(_xlpm.val = "", X$3="Required"), IF(OR('6 - TV Stands &amp; Enterta'!X$7 = "", '6 - TV Stands &amp; Enterta'!X$7 = "N/A"), "3:Freight Class - Value is required", ""), ""))))</f>
        <v/>
      </c>
      <c r="Y8" s="22">
        <f t="array" ref="Y8">_xlfn.MAP('6 - TV Stands &amp; Enterta'!B8:B507, '6 - TV Stands &amp; Enterta'!Y8:Y507, _xlfn.LAMBDA(_xlpm.part, _xlpm.val, IF(_xlpm.part = "", "", IF(AND(_xlpm.val = "", Y$3="Required"), IF(OR('6 - TV Stands &amp; Enterta'!Y$7 = "", '6 - TV Stands &amp; Enterta'!Y$7 = "N/A"), "3:Lead Time - Value is required", ""), ""))))</f>
        <v/>
      </c>
      <c r="Z8" s="22">
        <f t="array" ref="Z8">_xlfn.MAP('6 - TV Stands &amp; Enterta'!B8:B507, '6 - TV Stands &amp; Enterta'!Z8:Z507, _xlfn.LAMBDA(_xlpm.part, _xlpm.val, IF(_xlpm.part = "", "", IF(AND(_xlpm.val = "", Z$3="Required"), IF(OR('6 - TV Stands &amp; Enterta'!Z$7 = "", '6 - TV Stands &amp; Enterta'!Z$7 = "N/A"), "3:Replacement Lead Time - Value is required", ""), ""))))</f>
        <v/>
      </c>
      <c r="AA8" s="22">
        <f t="array" ref="AA8">_xlfn.MAP('6 - TV Stands &amp; Enterta'!B8:B507, '6 - TV Stands &amp; Enterta'!AA8:AA507, _xlfn.LAMBDA(_xlpm.part, _xlpm.val, IF(_xlpm.part = "", "",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s="22">
        <f t="array" ref="AB8">_xlfn.MAP('6 - TV Stands &amp; Enterta'!B8:B507, '6 - TV Stands &amp; Enterta'!AB8:AB507, _xlfn.LAMBDA(_xlpm.part, _xlpm.val, IF(_xlpm.part = "", "", IF(AND(_xlpm.val = "", AB$3="Required"), IF(OR('6 - TV Stands &amp; Enterta'!AB$7 = "", '6 - TV Stands &amp; Enterta'!AB$7 = "N/A"), "3:Flat Pack - Value is required", ""), ""))))</f>
        <v/>
      </c>
      <c r="AC8" s="22">
        <f t="array" ref="AC8">_xlfn.MAP('6 - TV Stands &amp; Enterta'!B8:B507, '6 - TV Stands &amp; Enterta'!AC8:AC507, _xlfn.LAMBDA(_xlpm.part, _xlpm.val, IF(_xlpm.part = "", "", IF(AND(_xlpm.val = "", AC$3="Required"), IF(OR('6 - TV Stands &amp; Enterta'!AC$7 = "", '6 - TV Stands &amp; Enterta'!AC$7 = "N/A"), "3:Ship Palletized - Value is required", ""), ""))))</f>
        <v/>
      </c>
      <c r="AD8" s="22">
        <f t="array" ref="AD8">_xlfn.MAP('6 - TV Stands &amp; Enterta'!B8:B507, '6 - TV Stands &amp; Enterta'!AD8:AD507, '6 - TV Stands &amp; Enterta'!AE8:AE507, '6 - TV Stands &amp; Enterta'!AF8:AF507, '6 - TV Stands &amp; Enterta'!AG8:AG507,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s="22">
        <f t="array" ref="AE8">_xlfn.MAP('6 - TV Stands &amp; Enterta'!B8:B507, '6 - TV Stands &amp; Enterta'!AE8:AE507, '6 - TV Stands &amp; Enterta'!AD8:AD507, '6 - TV Stands &amp; Enterta'!AF8:AF507, '6 - TV Stands &amp; Enterta'!AG8:AG507,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s="22">
        <f t="array" ref="AF8">_xlfn.MAP('6 - TV Stands &amp; Enterta'!B8:B507, '6 - TV Stands &amp; Enterta'!AF8:AF507, '6 - TV Stands &amp; Enterta'!AD8:AD507, '6 - TV Stands &amp; Enterta'!AE8:AE507, '6 - TV Stands &amp; Enterta'!AG8:AG507,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s="22">
        <f t="array" ref="AG8">_xlfn.MAP('6 - TV Stands &amp; Enterta'!B8:B507, '6 - TV Stands &amp; Enterta'!AG8:AG507, '6 - TV Stands &amp; Enterta'!AD8:AD507, '6 - TV Stands &amp; Enterta'!AE8:AE507, '6 - TV Stands &amp; Enterta'!AF8:AF507,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s="22">
        <f t="array" ref="AH8">_xlfn.MAP('6 - TV Stands &amp; Enterta'!B8:B507, '6 - TV Stands &amp; Enterta'!AH8:AH507, _xlfn.LAMBDA(_xlpm.part, _xlpm.val, IF(_xlpm.part = "", "", IF(AND(_xlpm.val = "", AH$3="Required"), IF(OR('6 - TV Stands &amp; Enterta'!AH$7 = "", '6 - TV Stands &amp; Enterta'!AH$7 = "N/A"), "3:Warning Required - Value is required", ""), ""))))</f>
        <v/>
      </c>
      <c r="AI8" s="22">
        <f t="array" ref="AI8">_xlfn.MAP('6 - TV Stands &amp; Enterta'!B8:B507, '6 - TV Stands &amp; Enterta'!AI8:AI507, '6 - TV Stands &amp; Enterta'!AJ8:AJ507, '6 - TV Stands &amp; Enterta'!AH8:AH507, _xlfn.LAMBDA(_xlpm.part, _xlpm.val, _xlpm.dep1, _xlpm.dep2, IF(_xlpm.part = "", "",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s="22">
        <f t="array" ref="AJ8">_xlfn.MAP('6 - TV Stands &amp; Enterta'!B8:B507, '6 - TV Stands &amp; Enterta'!AJ8:AJ507, '6 - TV Stands &amp; Enterta'!AI8:AI507, '6 - TV Stands &amp; Enterta'!AH8:AH507, _xlfn.LAMBDA(_xlpm.part, _xlpm.val, _xlpm.dep1, _xlpm.dep2,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s="22">
        <f t="array" ref="AK8">_xlfn.MAP('6 - TV Stands &amp; Enterta'!B8:B507, '6 - TV Stands &amp; Enterta'!AK8:AK507, _xlfn.LAMBDA(_xlpm.part, _xlpm.val, IF(_xlpm.part = "", "", IF(AND(_xlpm.val = "", AK$3="Required"), IF(OR('6 - TV Stands &amp; Enterta'!AK$7 = "", '6 - TV Stands &amp; Enterta'!AK$7 = "N/A"), "3:Country Of Manufacturer - Value is required", ""), ""))))</f>
        <v/>
      </c>
      <c r="AL8" s="22">
        <f t="array" ref="AL8">_xlfn.MAP('6 - TV Stands &amp; Enterta'!B8:B507, '6 - TV Stands &amp; Enterta'!AL8:AL507, _xlfn.LAMBDA(_xlpm.part, _xlpm.val, IF(_xlpm.part = "", "", IF(AND(_xlpm.val = "", AL$3="Required"), IF(OR('6 - TV Stands &amp; Enterta'!AL$7 = "", '6 - TV Stands &amp; Enterta'!AL$7 = "N/A"), "3:Image File Name or URL - Value is required", ""), ""))))</f>
        <v/>
      </c>
      <c r="AM8" s="22">
        <f t="array" ref="AM8">_xlfn.MAP('6 - TV Stands &amp; Enterta'!B8:B507, '6 - TV Stands &amp; Enterta'!AM8:AM507, _xlfn.LAMBDA(_xlpm.part, _xlpm.val, IF(_xlpm.part = "", "", IF(AND(_xlpm.val = "", AM$3="Required"), IF(OR('6 - TV Stands &amp; Enterta'!AM$7 = "", '6 - TV Stands &amp; Enterta'!AM$7 = "N/A"), "3:Image File Name or URL - Value is required", ""), ""))))</f>
        <v/>
      </c>
      <c r="AN8" s="22">
        <f t="array" ref="AN8">_xlfn.MAP('6 - TV Stands &amp; Enterta'!B8:B507, '6 - TV Stands &amp; Enterta'!AN8:AN507, _xlfn.LAMBDA(_xlpm.part, _xlpm.val, IF(_xlpm.part = "", "", IF(AND(_xlpm.val = "", AN$3="Required"), IF(OR('6 - TV Stands &amp; Enterta'!AN$7 = "", '6 - TV Stands &amp; Enterta'!AN$7 = "N/A"), "3:Image File Name or URL - Value is required", ""), ""))))</f>
        <v/>
      </c>
      <c r="AO8" s="22">
        <f t="array" ref="AO8">_xlfn.MAP('6 - TV Stands &amp; Enterta'!B8:B507, '6 - TV Stands &amp; Enterta'!AO8:AO507, _xlfn.LAMBDA(_xlpm.part, _xlpm.val, IF(_xlpm.part = "", "", IF(AND(_xlpm.val = "", AO$3="Required"), IF(OR('6 - TV Stands &amp; Enterta'!AO$7 = "", '6 - TV Stands &amp; Enterta'!AO$7 = "N/A"), "3:Image File Name or URL - Value is required", ""), ""))))</f>
        <v/>
      </c>
      <c r="AP8" s="22">
        <f t="array" ref="AP8">_xlfn.MAP('6 - TV Stands &amp; Enterta'!B8:B507, '6 - TV Stands &amp; Enterta'!AP8:AP507, _xlfn.LAMBDA(_xlpm.part, _xlpm.val, IF(_xlpm.part = "", "", IF(AND(_xlpm.val = "", AP$3="Required"), IF(OR('6 - TV Stands &amp; Enterta'!AP$7 = "", '6 - TV Stands &amp; Enterta'!AP$7 = "N/A"), "3:Image File Name or URL - Value is required", ""), ""))))</f>
        <v/>
      </c>
      <c r="AQ8" s="22">
        <f t="array" ref="AQ8">_xlfn.MAP('6 - TV Stands &amp; Enterta'!B8:B507, '6 - TV Stands &amp; Enterta'!AQ8:AQ507, _xlfn.LAMBDA(_xlpm.part, _xlpm.val, IF(_xlpm.part = "", "", IF(AND(_xlpm.val = "", AQ$3="Required"), IF(OR('6 - TV Stands &amp; Enterta'!AQ$7 = "", '6 - TV Stands &amp; Enterta'!AQ$7 = "N/A"), "3:Video File Name or URL - Value is required", ""), ""))))</f>
        <v/>
      </c>
      <c r="AR8" s="22">
        <f t="array" ref="AR8">_xlfn.MAP('6 - TV Stands &amp; Enterta'!B8:B507, '6 - TV Stands &amp; Enterta'!AR8:AR507, '6 - TV Stands &amp; Enterta'!AS8:AS507, '6 - TV Stands &amp; Enterta'!AT8:AT507, '6 - TV Stands &amp; Enterta'!AU8:AU507, '6 - TV Stands &amp; Enterta'!AV8:AV507, _xlfn.LAMBDA(_xlpm.part, _xlpm.val, _xlpm.dep1, _xlpm.dep2, _xlpm.dep3, _xlpm.dep4, IF(_xlpm.part = "", "",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s="22">
        <f t="array" ref="AS8">_xlfn.MAP('6 - TV Stands &amp; Enterta'!B8:B507, '6 - TV Stands &amp; Enterta'!AS8:AS507,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s="22">
        <f t="array" ref="AT8">_xlfn.MAP('6 - TV Stands &amp; Enterta'!B8:B507, '6 - TV Stands &amp; Enterta'!AT8:AT507,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s="22">
        <f t="array" ref="AU8">_xlfn.MAP('6 - TV Stands &amp; Enterta'!B8:B507, '6 - TV Stands &amp; Enterta'!AU8:AU507, _xlfn.LAMBDA(_xlpm.part, _xlpm.val, IF(_xlpm.part = "", "", IF(AND(_xlpm.val = "", AU$3="Required"), IF(OR('6 - TV Stands &amp; Enterta'!AU$7 = "", '6 - TV Stands &amp; Enterta'!AU$7 = "N/A"), "3:Document Region - Value is required", ""), ""))))</f>
        <v/>
      </c>
      <c r="AV8" s="22">
        <f t="array" ref="AV8">_xlfn.MAP('6 - TV Stands &amp; Enterta'!B8:B507, '6 - TV Stands &amp; Enterta'!AV8:AV507, _xlfn.LAMBDA(_xlpm.part, _xlpm.val, IF(_xlpm.part = "", "", IF(AND(_xlpm.val = "", AV$3="Required"), IF(OR('6 - TV Stands &amp; Enterta'!AV$7 = "", '6 - TV Stands &amp; Enterta'!AV$7 = "N/A"), "3:Document Language - Value is required", ""), ""))))</f>
        <v/>
      </c>
      <c r="AW8" s="22">
        <f t="array" ref="AW8">_xlfn.MAP('6 - TV Stands &amp; Enterta'!B8:B507, '6 - TV Stands &amp; Enterta'!AW8:AW507, '6 - TV Stands &amp; Enterta'!AX8:AX507, '6 - TV Stands &amp; Enterta'!AY8:AY507, '6 - TV Stands &amp; Enterta'!AZ8:AZ507, '6 - TV Stands &amp; Enterta'!BA8:BA507, _xlfn.LAMBDA(_xlpm.part, _xlpm.val, _xlpm.dep1, _xlpm.dep2, _xlpm.dep3, _xlpm.dep4, IF(_xlpm.part = "", "",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s="22">
        <f t="array" ref="AX8">_xlfn.MAP('6 - TV Stands &amp; Enterta'!B8:B507, '6 - TV Stands &amp; Enterta'!AX8:AX507,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s="22">
        <f t="array" ref="AY8">_xlfn.MAP('6 - TV Stands &amp; Enterta'!B8:B507, '6 - TV Stands &amp; Enterta'!AY8:AY507,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s="22">
        <f t="array" ref="AZ8">_xlfn.MAP('6 - TV Stands &amp; Enterta'!B8:B507, '6 - TV Stands &amp; Enterta'!AZ8:AZ507, _xlfn.LAMBDA(_xlpm.part, _xlpm.val, IF(_xlpm.part = "", "", IF(AND(_xlpm.val = "", AZ$3="Required"), IF(OR('6 - TV Stands &amp; Enterta'!AZ$7 = "", '6 - TV Stands &amp; Enterta'!AZ$7 = "N/A"), "3:Document Region - Value is required", ""), ""))))</f>
        <v/>
      </c>
      <c r="BA8" s="22">
        <f t="array" ref="BA8">_xlfn.MAP('6 - TV Stands &amp; Enterta'!B8:B507, '6 - TV Stands &amp; Enterta'!BA8:BA507, _xlfn.LAMBDA(_xlpm.part, _xlpm.val, IF(_xlpm.part = "", "", IF(AND(_xlpm.val = "", BA$3="Required"), IF(OR('6 - TV Stands &amp; Enterta'!BA$7 = "", '6 - TV Stands &amp; Enterta'!BA$7 = "N/A"), "3:Document Language - Value is required", ""), ""))))</f>
        <v/>
      </c>
      <c r="BB8" s="22">
        <f t="array" ref="BB8">_xlfn.MAP('6 - TV Stands &amp; Enterta'!B8:B507, '6 - TV Stands &amp; Enterta'!BB8:BB507, '6 - TV Stands &amp; Enterta'!BC8:BC507, '6 - TV Stands &amp; Enterta'!BD8:BD507, '6 - TV Stands &amp; Enterta'!BE8:BE507, '6 - TV Stands &amp; Enterta'!BF8:BF507, _xlfn.LAMBDA(_xlpm.part, _xlpm.val, _xlpm.dep1, _xlpm.dep2, _xlpm.dep3, _xlpm.dep4, IF(_xlpm.part = "", "",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s="22">
        <f t="array" ref="BC8">_xlfn.MAP('6 - TV Stands &amp; Enterta'!B8:B507, '6 - TV Stands &amp; Enterta'!BC8:BC507,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s="22">
        <f t="array" ref="BD8">_xlfn.MAP('6 - TV Stands &amp; Enterta'!B8:B507, '6 - TV Stands &amp; Enterta'!BD8:BD507,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s="22">
        <f t="array" ref="BE8">_xlfn.MAP('6 - TV Stands &amp; Enterta'!B8:B507, '6 - TV Stands &amp; Enterta'!BE8:BE507, _xlfn.LAMBDA(_xlpm.part, _xlpm.val, IF(_xlpm.part = "", "", IF(AND(_xlpm.val = "", BE$3="Required"), IF(OR('6 - TV Stands &amp; Enterta'!BE$7 = "", '6 - TV Stands &amp; Enterta'!BE$7 = "N/A"), "3:Document Region - Value is required", ""), ""))))</f>
        <v/>
      </c>
      <c r="BF8" s="22">
        <f t="array" ref="BF8">_xlfn.MAP('6 - TV Stands &amp; Enterta'!B8:B507, '6 - TV Stands &amp; Enterta'!BF8:BF507, _xlfn.LAMBDA(_xlpm.part, _xlpm.val, IF(_xlpm.part = "", "", IF(AND(_xlpm.val = "", BF$3="Required"), IF(OR('6 - TV Stands &amp; Enterta'!BF$7 = "", '6 - TV Stands &amp; Enterta'!BF$7 = "N/A"), "3:Document Language - Value is required", ""), ""))))</f>
        <v/>
      </c>
      <c r="BG8" s="22">
        <f t="array" ref="BG8">_xlfn.MAP('6 - TV Stands &amp; Enterta'!B8:B507, '6 - TV Stands &amp; Enterta'!BG8:BG507, _xlfn.LAMBDA(_xlpm.part, _xlpm.val, IF(_xlpm.part = "", "", IF(AND(_xlpm.val = "", BG$3="Required"), IF(OR('6 - TV Stands &amp; Enterta'!BG$7 = "", '6 - TV Stands &amp; Enterta'!BG$7 = "N/A"), "3:Product Type - Value is required", ""), ""))))</f>
        <v/>
      </c>
      <c r="BH8" s="22">
        <f t="array" ref="BH8">_xlfn.MAP('6 - TV Stands &amp; Enterta'!B8:B507, '6 - TV Stands &amp; Enterta'!BH8:BH507, '6 - TV Stands &amp; Enterta'!BG8:BG507, _xlfn.LAMBDA(_xlpm.part, _xlpm.val, _xlpm.dep1, IF(_xlpm.part = "", "",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s="22">
        <f t="array" ref="BI8">_xlfn.MAP('6 - TV Stands &amp; Enterta'!B8:B507, '6 - TV Stands &amp; Enterta'!BI8:BI507, _xlfn.LAMBDA(_xlpm.part, _xlpm.val, IF(_xlpm.part = "", "", IF(AND(_xlpm.val = "", BI$3="Required"), IF(OR('6 - TV Stands &amp; Enterta'!BI$7 = "", '6 - TV Stands &amp; Enterta'!BI$7 = "N/A"), "3:Drawers Included - Value is required", ""), ""))))</f>
        <v/>
      </c>
      <c r="BJ8" s="22">
        <f t="array" ref="BJ8">_xlfn.MAP('6 - TV Stands &amp; Enterta'!B8:B507, '6 - TV Stands &amp; Enterta'!BJ8:BJ507, '6 - TV Stands &amp; Enterta'!BI8:BI507, _xlfn.LAMBDA(_xlpm.part, _xlpm.val, _xlpm.dep1, IF(_xlpm.part = "", "", _xlfn.LET(_xlpm.check1, IF(AND(_xlpm.val = "", _xlpm.dep1 = "No"), "2:Autofill", ""), IF(LEN(_xlpm.check1) &gt; 0, _xlpm.check1, IF(AND(_xlpm.val = "", BJ$3="Required"), IF(OR('6 - TV Stands &amp; Enterta'!BJ$7 = "", '6 - TV Stands &amp; Enterta'!BJ$7 = "N/A"), "3:Number of Drawers - Value is required", ""), ""))))))</f>
        <v/>
      </c>
      <c r="BK8" s="22">
        <f t="array" ref="BK8">_xlfn.MAP('6 - TV Stands &amp; Enterta'!B8:B507, '6 - TV Stands &amp; Enterta'!BK8:BK507, _xlfn.LAMBDA(_xlpm.part, _xlpm.val, IF(_xlpm.part = "", "", IF(AND(_xlpm.val = "", BK$3="Required"), IF(OR('6 - TV Stands &amp; Enterta'!BK$7 = "", '6 - TV Stands &amp; Enterta'!BK$7 = "N/A"), "3:Cabinets Included - Value is required", ""), ""))))</f>
        <v/>
      </c>
      <c r="BL8" s="22">
        <f t="array" ref="BL8">_xlfn.MAP('6 - TV Stands &amp; Enterta'!B8:B507, '6 - TV Stands &amp; Enterta'!BL8:BL507, _xlfn.LAMBDA(_xlpm.part, _xlpm.val, IF(_xlpm.part = "", "", IF(AND(_xlpm.val = "", BL$3="Required"), IF(OR('6 - TV Stands &amp; Enterta'!BL$7 = "", '6 - TV Stands &amp; Enterta'!BL$7 = "N/A"), "3:Shelves Included - Value is required", ""), ""))))</f>
        <v/>
      </c>
      <c r="BM8" s="22">
        <f t="array" ref="BM8">_xlfn.MAP('6 - TV Stands &amp; Enterta'!B8:B507, '6 - TV Stands &amp; Enterta'!BM8:BM507, '6 - TV Stands &amp; Enterta'!BL8:BL507, _xlfn.LAMBDA(_xlpm.part, _xlpm.val, _xlpm.dep1, IF(_xlpm.part = "", "",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s="22">
        <f t="array" ref="BN8">_xlfn.MAP('6 - TV Stands &amp; Enterta'!B8:B507, '6 - TV Stands &amp; Enterta'!BN8:BN507, '6 - TV Stands &amp; Enterta'!BL8:BL507, _xlfn.LAMBDA(_xlpm.part, _xlpm.val, _xlpm.dep1, IF(_xlpm.part = "", "",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s="22">
        <f t="array" ref="BO8">_xlfn.MAP('6 - TV Stands &amp; Enterta'!B8:B507, '6 - TV Stands &amp; Enterta'!BO8:BO507, '6 - TV Stands &amp; Enterta'!BG8:BG507, _xlfn.LAMBDA(_xlpm.part, _xlpm.val, _xlpm.dep1, IF(_xlpm.part = "", "",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s="22">
        <f t="array" ref="BP8">_xlfn.MAP('6 - TV Stands &amp; Enterta'!B8:B507, '6 - TV Stands &amp; Enterta'!BP8:BP507, _xlfn.LAMBDA(_xlpm.part, _xlpm.val, IF(_xlpm.part = "", "", IF(AND(_xlpm.val = "", BP$3="Required"), IF(OR('6 - TV Stands &amp; Enterta'!BP$7 = "", '6 - TV Stands &amp; Enterta'!BP$7 = "N/A"), "3:Furniture Design - Value is required", ""), ""))))</f>
        <v/>
      </c>
      <c r="BQ8" s="22">
        <f t="array" ref="BQ8">_xlfn.MAP('6 - TV Stands &amp; Enterta'!B8:B507, '6 - TV Stands &amp; Enterta'!BQ8:BQ507, _xlfn.LAMBDA(_xlpm.part, _xlpm.val, IF(_xlpm.part = "", "", IF(AND(_xlpm.val = "", BQ$3="Required"), IF(OR('6 - TV Stands &amp; Enterta'!BQ$7 = "", '6 - TV Stands &amp; Enterta'!BQ$7 = "N/A"), "3:Material - Value is required", ""), ""))))</f>
        <v/>
      </c>
      <c r="BR8" s="22">
        <f t="array" ref="BR8">_xlfn.MAP('6 - TV Stands &amp; Enterta'!B8:B507, '6 - TV Stands &amp; Enterta'!BR8:BR507, _xlfn.LAMBDA(_xlpm.part, _xlpm.val, IF(_xlpm.part = "", "", IF(AND(_xlpm.val = "", BR$3="Required"), IF(OR('6 - TV Stands &amp; Enterta'!BR$7 = "", '6 - TV Stands &amp; Enterta'!BR$7 = "N/A"), "3:Purposeful Distressing Type - Value is required", ""), ""))))</f>
        <v/>
      </c>
      <c r="BS8" s="22">
        <f t="array" ref="BS8">_xlfn.MAP('6 - TV Stands &amp; Enterta'!B8:B507, '6 - TV Stands &amp; Enterta'!BS8:BS507, '6 - TV Stands &amp; Enterta'!BQ8:BQ507, _xlfn.LAMBDA(_xlpm.part, _xlpm.val, _xlpm.dep1, IF(_xlpm.part = "", "",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s="22">
        <f t="array" ref="BT8">_xlfn.MAP('6 - TV Stands &amp; Enterta'!B8:B507, '6 - TV Stands &amp; Enterta'!BT8:BT507, _xlfn.LAMBDA(_xlpm.part, _xlpm.val, IF(_xlpm.part = "", "", IF(AND(_xlpm.val = "", BT$3="Required"), IF(OR('6 - TV Stands &amp; Enterta'!BT$7 = "", '6 - TV Stands &amp; Enterta'!BT$7 = "N/A"), "3:Gloss Finish - Value is required", ""), ""))))</f>
        <v/>
      </c>
      <c r="BU8" s="22">
        <f t="array" ref="BU8">_xlfn.MAP('6 - TV Stands &amp; Enterta'!B8:B507, '6 - TV Stands &amp; Enterta'!BU8:BU507, _xlfn.LAMBDA(_xlpm.part, _xlpm.val, IF(_xlpm.part = "", "", IF(AND(_xlpm.val = "", BU$3="Required"), IF(OR('6 - TV Stands &amp; Enterta'!BU$7 = "", '6 - TV Stands &amp; Enterta'!BU$7 = "N/A"), "3:Mirrored - Value is required", ""), ""))))</f>
        <v/>
      </c>
      <c r="BV8" s="22">
        <f t="array" ref="BV8">_xlfn.MAP('6 - TV Stands &amp; Enterta'!B8:B507, '6 - TV Stands &amp; Enterta'!BV8:BV507, _xlfn.LAMBDA(_xlpm.part, _xlpm.val, IF(_xlpm.part = "", "", IF(AND(_xlpm.val = "", BV$3="Required"), IF(OR('6 - TV Stands &amp; Enterta'!BV$7 = "", '6 - TV Stands &amp; Enterta'!BV$7 = "N/A"), "3:Sound Bar Shelf Included - Value is required", ""), ""))))</f>
        <v/>
      </c>
      <c r="BW8" s="22">
        <f t="array" ref="BW8">_xlfn.MAP('6 - TV Stands &amp; Enterta'!B8:B507, '6 - TV Stands &amp; Enterta'!BW8:BW507, '6 - TV Stands &amp; Enterta'!BL8:BL507, _xlfn.LAMBDA(_xlpm.part, _xlpm.val, _xlpm.dep1, IF(_xlpm.part = "", "",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s="22">
        <f t="array" ref="BX8">_xlfn.MAP('6 - TV Stands &amp; Enterta'!B8:B507, '6 - TV Stands &amp; Enterta'!BX8:BX507, _xlfn.LAMBDA(_xlpm.part, _xlpm.val, IF(_xlpm.part = "", "", IF(AND(_xlpm.val = "", BX$3="Required"), IF(OR('6 - TV Stands &amp; Enterta'!BX$7 = "", '6 - TV Stands &amp; Enterta'!BX$7 = "N/A"), "3:Media Storage Included - Value is required", ""), ""))))</f>
        <v/>
      </c>
      <c r="BY8" s="22">
        <f t="array" ref="BY8">_xlfn.MAP('6 - TV Stands &amp; Enterta'!B8:B507, '6 - TV Stands &amp; Enterta'!BY8:BY507, _xlfn.LAMBDA(_xlpm.part, _xlpm.val, IF(_xlpm.part = "", "", IF(AND(_xlpm.val = "", BY$3="Required"), IF(OR('6 - TV Stands &amp; Enterta'!BY$7 = "", '6 - TV Stands &amp; Enterta'!BY$7 = "N/A"), "3:Cable Management - Value is required", ""), ""))))</f>
        <v/>
      </c>
      <c r="BZ8" s="22">
        <f t="array" ref="BZ8">_xlfn.MAP('6 - TV Stands &amp; Enterta'!B8:B507, '6 - TV Stands &amp; Enterta'!BZ8:BZ507, _xlfn.LAMBDA(_xlpm.part, _xlpm.val, IF(_xlpm.part = "", "", IF(AND(_xlpm.val = "", BZ$3="Required"), IF(OR('6 - TV Stands &amp; Enterta'!BZ$7 = "", '6 - TV Stands &amp; Enterta'!BZ$7 = "N/A"), "3:Wheels / Casters Included - Value is required", ""), ""))))</f>
        <v/>
      </c>
      <c r="CA8" s="22">
        <f t="array" ref="CA8">_xlfn.MAP('6 - TV Stands &amp; Enterta'!B8:B507, '6 - TV Stands &amp; Enterta'!CA8:CA507, '6 - TV Stands &amp; Enterta'!BP8:BP507, _xlfn.LAMBDA(_xlpm.part, _xlpm.val, _xlpm.dep1, IF(_xlpm.part = "", "",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s="22">
        <f t="array" ref="CB8">_xlfn.MAP('6 - TV Stands &amp; Enterta'!B8:B507, '6 - TV Stands &amp; Enterta'!CB8:CB507, _xlfn.LAMBDA(_xlpm.part, _xlpm.val, IF(_xlpm.part = "", "", IF(AND(_xlpm.val = "", CB$3="Required"), IF(OR('6 - TV Stands &amp; Enterta'!CB$7 = "", '6 - TV Stands &amp; Enterta'!CB$7 = "N/A"), "3:Plug-In - Value is required", ""), ""))))</f>
        <v/>
      </c>
      <c r="CC8" s="22">
        <f t="array" ref="CC8">_xlfn.MAP('6 - TV Stands &amp; Enterta'!B8:B507, '6 - TV Stands &amp; Enterta'!CC8:CC507, _xlfn.LAMBDA(_xlpm.part, _xlpm.val, IF(_xlpm.part = "", "", IF(AND(_xlpm.val = "", CC$3="Required"), IF(OR('6 - TV Stands &amp; Enterta'!CC$7 = "", '6 - TV Stands &amp; Enterta'!CC$7 = "N/A"), "3:Tipover Restraint Device Included - Value is required", ""), ""))))</f>
        <v/>
      </c>
      <c r="CD8" s="22">
        <f t="array" ref="CD8">_xlfn.MAP('6 - TV Stands &amp; Enterta'!B8:B507, '6 - TV Stands &amp; Enterta'!CD8:CD507, _xlfn.LAMBDA(_xlpm.part, _xlpm.val, IF(_xlpm.part = "", "", IF(AND(_xlpm.val = "", CD$3="Required"), IF(OR('6 - TV Stands &amp; Enterta'!CD$7 = "", '6 - TV Stands &amp; Enterta'!CD$7 = "N/A"), "3:Integrated TV Mount Included - Value is required", ""), ""))))</f>
        <v/>
      </c>
      <c r="CE8" s="22">
        <f t="array" ref="CE8">_xlfn.MAP('6 - TV Stands &amp; Enterta'!B8:B507, '6 - TV Stands &amp; Enterta'!CE8:CE507, _xlfn.LAMBDA(_xlpm.part, _xlpm.val, IF(_xlpm.part = "", "", IF(AND(_xlpm.val = "", CE$3="Required"), IF(OR('6 - TV Stands &amp; Enterta'!CE$7 = "", '6 - TV Stands &amp; Enterta'!CE$7 = "N/A"), "3:Adjustable Height - Value is required", ""), ""))))</f>
        <v/>
      </c>
      <c r="CF8" s="22">
        <f t="array" ref="CF8">_xlfn.MAP('6 - TV Stands &amp; Enterta'!B8:B507, '6 - TV Stands &amp; Enterta'!CF8:CF507, _xlfn.LAMBDA(_xlpm.part, _xlpm.val, IF(_xlpm.part = "", "",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s="22">
        <f t="array" ref="CG8">_xlfn.MAP('6 - TV Stands &amp; Enterta'!B8:B507, '6 - TV Stands &amp; Enterta'!CG8:CG507, _xlfn.LAMBDA(_xlpm.part, _xlpm.val, IF(_xlpm.part = "", "", IF(AND(_xlpm.val = "", CG$3="Required"), IF(OR('6 - TV Stands &amp; Enterta'!CG$7 = "", '6 - TV Stands &amp; Enterta'!CG$7 = "N/A"), "3:Country of Origin - Additional Details - Value is required", ""), ""))))</f>
        <v/>
      </c>
      <c r="CH8" s="22">
        <f t="array" ref="CH8">_xlfn.MAP('6 - TV Stands &amp; Enterta'!B8:B507, '6 - TV Stands &amp; Enterta'!CH8:CH507, '6 - TV Stands &amp; Enterta'!BQ8:BQ507, _xlfn.LAMBDA(_xlpm.part, _xlpm.val, _xlpm.dep1, IF(_xlpm.part = "", "",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s="22">
        <f t="array" ref="CI8">_xlfn.MAP('6 - TV Stands &amp; Enterta'!B8:B507, '6 - TV Stands &amp; Enterta'!CI8:CI507, _xlfn.LAMBDA(_xlpm.part, _xlpm.val, IF(_xlpm.part = "", "", IF(AND(_xlpm.val = "", CI$3="Required"), IF(OR('6 - TV Stands &amp; Enterta'!CI$7 = "", '6 - TV Stands &amp; Enterta'!CI$7 = "N/A"), "3:Kiln-Dried Wood - Value is required", ""), ""))))</f>
        <v/>
      </c>
      <c r="CJ8" s="22">
        <f t="array" ref="CJ8">_xlfn.MAP('6 - TV Stands &amp; Enterta'!B8:B507, '6 - TV Stands &amp; Enterta'!CJ8:CJ507, _xlfn.LAMBDA(_xlpm.part, _xlpm.val, IF(_xlpm.part = "", "",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s="22">
        <f t="array" ref="CK8">_xlfn.MAP('6 - TV Stands &amp; Enterta'!B8:B507, '6 - TV Stands &amp; Enterta'!CK8:CK507, _xlfn.LAMBDA(_xlpm.part, _xlpm.val, IF(_xlpm.part = "", "", IF(AND(_xlpm.val = "", CK$3="Required"), IF(OR('6 - TV Stands &amp; Enterta'!CK$7 = "", '6 - TV Stands &amp; Enterta'!CK$7 = "N/A"), "3:Battery or Batteries Included - Value is required", ""), ""))))</f>
        <v/>
      </c>
      <c r="CL8" s="22">
        <f t="array" ref="CL8">_xlfn.MAP('6 - TV Stands &amp; Enterta'!B8:B507, '6 - TV Stands &amp; Enterta'!CL8:CL507, '6 - TV Stands &amp; Enterta'!CK8:CK507,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s="22">
        <f t="array" ref="CM8">_xlfn.MAP('6 - TV Stands &amp; Enterta'!B8:B507, '6 - TV Stands &amp; Enterta'!CM8:CM507, '6 - TV Stands &amp; Enterta'!CK8:CK507,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s="22">
        <f t="array" ref="CN8">_xlfn.MAP('6 - TV Stands &amp; Enterta'!B8:B507, '6 - TV Stands &amp; Enterta'!CN8:CN507, '6 - TV Stands &amp; Enterta'!CK8:CK507, _xlfn.LAMBDA(_xlpm.part, _xlpm.val, _xlpm.dep1, IF(_xlpm.part = "", "",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s="22">
        <f t="array" ref="CO8">_xlfn.MAP('6 - TV Stands &amp; Enterta'!B8:B507, '6 - TV Stands &amp; Enterta'!CO8:CO507, '6 - TV Stands &amp; Enterta'!CK8:CK507, '6 - TV Stands &amp; Enterta'!CL8:CL507,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s="22">
        <f t="array" ref="CP8">_xlfn.MAP('6 - TV Stands &amp; Enterta'!B8:B507, '6 - TV Stands &amp; Enterta'!CP8:CP507, '6 - TV Stands &amp; Enterta'!CK8:CK507, '6 - TV Stands &amp; Enterta'!CL8:CL507, _xlfn.LAMBDA(_xlpm.part, _xlpm.val, _xlpm.dep1, _xlpm.dep2, IF(_xlpm.part = "", "",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s="22">
        <f t="array" ref="CQ8">_xlfn.MAP('6 - TV Stands &amp; Enterta'!B8:B507, '6 - TV Stands &amp; Enterta'!CQ8:CQ507, '6 - TV Stands &amp; Enterta'!CK8:CK507, '6 - TV Stands &amp; Enterta'!CM8:CM507, '6 - TV Stands &amp; Enterta'!CL8:CL507, _xlfn.LAMBDA(_xlpm.part, _xlpm.val, _xlpm.dep1, _xlpm.dep2, _xlpm.dep3, IF(_xlpm.part = "", "",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s="22">
        <f t="array" ref="CR8">_xlfn.MAP('6 - TV Stands &amp; Enterta'!B8:B507, '6 - TV Stands &amp; Enterta'!CR8:CR507, '6 - TV Stands &amp; Enterta'!CK8:CK507, '6 - TV Stands &amp; Enterta'!CL8:CL507, _xlfn.LAMBDA(_xlpm.part, _xlpm.val, _xlpm.dep1, _xlpm.dep2, IF(_xlpm.part = "", "",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s="22">
        <f t="array" ref="CS8">_xlfn.MAP('6 - TV Stands &amp; Enterta'!B8:B507, '6 - TV Stands &amp; Enterta'!CS8:CS507, '6 - TV Stands &amp; Enterta'!CA8:CA507, _xlfn.LAMBDA(_xlpm.part, _xlpm.val, _xlpm.dep1, IF(_xlpm.part = "", "", _xlfn.LET(_xlpm.check1, IF(AND(_xlpm.val = "", ISNUMBER(SEARCH("No", _xlpm.dep1))), "2:Autofill", ""), IF(LEN(_xlpm.check1) &gt; 0, _xlpm.check1, IF(AND(_xlpm.val = "", CS$3="Required"), IF(OR('6 - TV Stands &amp; Enterta'!CS$7 = "", '6 - TV Stands &amp; Enterta'!CS$7 = "N/A"), "3:Adjustable Temperature - Value is required", ""), ""))))))</f>
        <v/>
      </c>
      <c r="CT8" s="22">
        <f t="array" ref="CT8">_xlfn.MAP('6 - TV Stands &amp; Enterta'!B8:B507, '6 - TV Stands &amp; Enterta'!CT8:CT507, '6 - TV Stands &amp; Enterta'!CA8:CA507, _xlfn.LAMBDA(_xlpm.part, _xlpm.val, _xlpm.dep1, IF(_xlpm.part = "", "", _xlfn.LET(_xlpm.check1, IF(AND(_xlpm.val = "", ISNUMBER(SEARCH("No", _xlpm.dep1))), "2:Autofill", ""), IF(LEN(_xlpm.check1) &gt; 0, _xlpm.check1, IF(AND(_xlpm.val = "", CT$3="Required"), IF(OR('6 - TV Stands &amp; Enterta'!CT$7 = "", '6 - TV Stands &amp; Enterta'!CT$7 = "N/A"), "3:Adjustable Flame - Value is required", ""), ""))))))</f>
        <v/>
      </c>
      <c r="CU8" s="22">
        <f t="array" ref="CU8">_xlfn.MAP('6 - TV Stands &amp; Enterta'!B8:B507, '6 - TV Stands &amp; Enterta'!CU8:CU507, _xlfn.LAMBDA(_xlpm.part, _xlpm.val, IF(_xlpm.part = "", "", IF(AND(_xlpm.val = "", CU$3="Required"), IF(OR('6 - TV Stands &amp; Enterta'!CU$7 = "", '6 - TV Stands &amp; Enterta'!CU$7 = "N/A"), "3:Weight Capacity - Value is required", ""), ""))))</f>
        <v/>
      </c>
      <c r="CV8" s="22">
        <f t="array" ref="CV8">_xlfn.MAP('6 - TV Stands &amp; Enterta'!B8:B507, '6 - TV Stands &amp; Enterta'!CV8:CV507, _xlfn.LAMBDA(_xlpm.part, _xlpm.val, IF(_xlpm.part = "", "", IF(AND(_xlpm.val = "", CV$3="Required"), IF(OR('6 - TV Stands &amp; Enterta'!CV$7 = "", '6 - TV Stands &amp; Enterta'!CV$7 = "N/A"), "3:Product Care - Value is required", ""), ""))))</f>
        <v/>
      </c>
      <c r="CW8" s="22">
        <f t="array" ref="CW8">_xlfn.MAP('6 - TV Stands &amp; Enterta'!B8:B507, '6 - TV Stands &amp; Enterta'!CW8:CW507, _xlfn.LAMBDA(_xlpm.part, _xlpm.val, IF(_xlpm.part = "", "", IF(AND(_xlpm.val = "", CW$3="Required"), IF(OR('6 - TV Stands &amp; Enterta'!CW$7 = "", '6 - TV Stands &amp; Enterta'!CW$7 = "N/A"), "3:Unfinished - Value is required", ""), ""))))</f>
        <v/>
      </c>
      <c r="CX8" s="22">
        <f t="array" ref="CX8">_xlfn.MAP('6 - TV Stands &amp; Enterta'!B8:B507, '6 - TV Stands &amp; Enterta'!CX8:CX507, '6 - TV Stands &amp; Enterta'!BL8:BL507, _xlfn.LAMBDA(_xlpm.part, _xlpm.val, _xlpm.dep1, IF(_xlpm.part = "", "",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s="22">
        <f t="array" ref="CY8">_xlfn.MAP('6 - TV Stands &amp; Enterta'!B8:B507, '6 - TV Stands &amp; Enterta'!CY8:CY507, _xlfn.LAMBDA(_xlpm.part, _xlpm.val, IF(_xlpm.part = "", "", IF(AND(_xlpm.val = "", CY$3="Required"), IF(OR('6 - TV Stands &amp; Enterta'!CY$7 = "", '6 - TV Stands &amp; Enterta'!CY$7 = "N/A"), "3:Color / Finish - Value is required", ""), ""))))</f>
        <v/>
      </c>
      <c r="CZ8" s="22">
        <f t="array" ref="CZ8">_xlfn.MAP('6 - TV Stands &amp; Enterta'!B8:B507, '6 - TV Stands &amp; Enterta'!CZ8:CZ507, '6 - TV Stands &amp; Enterta'!BI8:BI507, _xlfn.LAMBDA(_xlpm.part, _xlpm.val, _xlpm.dep1, IF(_xlpm.part = "", "", _xlfn.LET(_xlpm.check1, IF(AND(_xlpm.val = "", _xlpm.dep1 = "No"), "2:Autofill", ""), IF(LEN(_xlpm.check1) &gt; 0, _xlpm.check1, IF(AND(_xlpm.val = "", CZ$3="Required"), IF(OR('6 - TV Stands &amp; Enterta'!CZ$7 = "", '6 - TV Stands &amp; Enterta'!CZ$7 = "N/A"), "3:Drawer Glide Type &amp; Extension - Value is required", ""), ""))))))</f>
        <v/>
      </c>
      <c r="DA8" s="22">
        <f t="array" ref="DA8">_xlfn.MAP('6 - TV Stands &amp; Enterta'!B8:B507, '6 - TV Stands &amp; Enterta'!DA8:DA507, _xlfn.LAMBDA(_xlpm.part, _xlpm.val, IF(_xlpm.part = "", "", IF(AND(_xlpm.val = "", DA$3="Required"), IF(OR('6 - TV Stands &amp; Enterta'!DA$7 = "", '6 - TV Stands &amp; Enterta'!DA$7 = "N/A"), "3:Vent Type - Value is required", ""), ""))))</f>
        <v/>
      </c>
      <c r="DB8" s="22">
        <f t="array" ref="DB8">_xlfn.MAP('6 - TV Stands &amp; Enterta'!B8:B507, '6 - TV Stands &amp; Enterta'!DB8:DB507, '6 - TV Stands &amp; Enterta'!CA8:CA507, _xlfn.LAMBDA(_xlpm.part, _xlpm.val, _xlpm.dep1, IF(_xlpm.part = "", "",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s="22">
        <f t="array" ref="DC8">_xlfn.MAP('6 - TV Stands &amp; Enterta'!B8:B507, '6 - TV Stands &amp; Enterta'!DC8:DC507, _xlfn.LAMBDA(_xlpm.part, _xlpm.val, IF(_xlpm.part = "", "", IF(AND(_xlpm.val = "", DC$3="Required"), IF(OR('6 - TV Stands &amp; Enterta'!DC$7 = "", '6 - TV Stands &amp; Enterta'!DC$7 = "N/A"), "3:Door Design - Value is required", ""), ""))))</f>
        <v/>
      </c>
      <c r="DD8" s="22">
        <f t="array" ref="DD8">_xlfn.MAP('6 - TV Stands &amp; Enterta'!B8:B507, '6 - TV Stands &amp; Enterta'!DD8:DD507, _xlfn.LAMBDA(_xlpm.part, _xlpm.val, IF(_xlpm.part = "", "", IF(AND(_xlpm.val = "", DD$3="Required"), IF(OR('6 - TV Stands &amp; Enterta'!DD$7 = "", '6 - TV Stands &amp; Enterta'!DD$7 = "N/A"), "3:Ribbed Detailing - Value is required", ""), ""))))</f>
        <v/>
      </c>
      <c r="DE8" s="22">
        <f t="array" ref="DE8">_xlfn.MAP('6 - TV Stands &amp; Enterta'!B8:B507, '6 - TV Stands &amp; Enterta'!DE8:DE507, _xlfn.LAMBDA(_xlpm.part, _xlpm.val, IF(_xlpm.part = "", "", IF(AND(_xlpm.val = "", DE$3="Required"), IF(OR('6 - TV Stands &amp; Enterta'!DE$7 = "", '6 - TV Stands &amp; Enterta'!DE$7 = "N/A"), "3:Fluted Detailing - Value is required", ""), ""))))</f>
        <v/>
      </c>
      <c r="DF8" s="22">
        <f t="array" ref="DF8">_xlfn.MAP('6 - TV Stands &amp; Enterta'!B8:B507, '6 - TV Stands &amp; Enterta'!DF8:DF507, _xlfn.LAMBDA(_xlpm.part, _xlpm.val, IF(_xlpm.part = "", "",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s="22">
        <f t="array" ref="DG8">_xlfn.MAP('6 - TV Stands &amp; Enterta'!B8:B507, '6 - TV Stands &amp; Enterta'!DG8:DG507, '6 - TV Stands &amp; Enterta'!BK8:BK507, _xlfn.LAMBDA(_xlpm.part, _xlpm.val, _xlpm.dep1, IF(_xlpm.part = "", "",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s="22">
        <f t="array" ref="DH8">_xlfn.MAP('6 - TV Stands &amp; Enterta'!B8:B507, '6 - TV Stands &amp; Enterta'!DH8:DH507, _xlfn.LAMBDA(_xlpm.part, _xlpm.val, IF(_xlpm.part = "", "", IF(AND(_xlpm.val = "", DH$3="Required"), IF(OR('6 - TV Stands &amp; Enterta'!DH$7 = "", '6 - TV Stands &amp; Enterta'!DH$7 = "N/A"), "3:Drawer Safety Stop - Value is required", ""), ""))))</f>
        <v/>
      </c>
      <c r="DI8" s="22">
        <f t="array" ref="DI8">_xlfn.MAP('6 - TV Stands &amp; Enterta'!B8:B507, '6 - TV Stands &amp; Enterta'!DI8:DI507, _xlfn.LAMBDA(_xlpm.part, _xlpm.val, IF(_xlpm.part = "", "", IF(AND(_xlpm.val = "", DI$3="Required"), IF(OR('6 - TV Stands &amp; Enterta'!DI$7 = "", '6 - TV Stands &amp; Enterta'!DI$7 = "N/A"), "3:Fireplace Type - Value is required", ""), ""))))</f>
        <v/>
      </c>
      <c r="DJ8" s="22">
        <f t="array" ref="DJ8">_xlfn.MAP('6 - TV Stands &amp; Enterta'!B8:B507, '6 - TV Stands &amp; Enterta'!DJ8:DJ507, _xlfn.LAMBDA(_xlpm.part, _xlpm.val, IF(_xlpm.part = "", "", IF(AND(_xlpm.val = "", DJ$3="Required"), IF(OR('6 - TV Stands &amp; Enterta'!DJ$7 = "", '6 - TV Stands &amp; Enterta'!DJ$7 = "N/A"), "3:General Certificate of Conformity (GCC) - Value is required", ""), ""))))</f>
        <v/>
      </c>
      <c r="DK8" s="22">
        <f t="array" ref="DK8">_xlfn.MAP('6 - TV Stands &amp; Enterta'!B8:B507, '6 - TV Stands &amp; Enterta'!DK8:DK507, _xlfn.LAMBDA(_xlpm.part, _xlpm.val, IF(_xlpm.part = "", "", IF(AND(_xlpm.val = "", DK$3="Required"), IF(OR('6 - TV Stands &amp; Enterta'!DK$7 = "", '6 - TV Stands &amp; Enterta'!DK$7 = "N/A"), "3:Composite Wood Product (CWP) - Value is required", ""), ""))))</f>
        <v/>
      </c>
      <c r="DL8" s="22">
        <f t="array" ref="DL8">_xlfn.MAP('6 - TV Stands &amp; Enterta'!B8:B507, '6 - TV Stands &amp; Enterta'!DL8:DL507, '6 - TV Stands &amp; Enterta'!DK8:DK507,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s="22">
        <f t="array" ref="DM8">_xlfn.MAP('6 - TV Stands &amp; Enterta'!B8:B507, '6 - TV Stands &amp; Enterta'!DM8:DM507, '6 - TV Stands &amp; Enterta'!DK8:DK507,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s="22">
        <f t="array" ref="DN8">_xlfn.MAP('6 - TV Stands &amp; Enterta'!B8:B507, '6 - TV Stands &amp; Enterta'!DN8:DN507, '6 - TV Stands &amp; Enterta'!DK8:DK507, _xlfn.LAMBDA(_xlpm.part, _xlpm.val, _xlpm.dep1, IF(_xlpm.part = "", "",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s="22">
        <f t="array" ref="DO8">_xlfn.MAP('6 - TV Stands &amp; Enterta'!B8:B507, '6 - TV Stands &amp; Enterta'!DO8:DO507, _xlfn.LAMBDA(_xlpm.part, _xlpm.val, IF(_xlpm.part = "", "", IF(AND(_xlpm.val = "", DO$3="Required"), IF(OR('6 - TV Stands &amp; Enterta'!DO$7 = "", '6 - TV Stands &amp; Enterta'!DO$7 = "N/A"), "3:Uniform Packaging and Labeling Regulations (UPLR) Compliant - Value is required", ""), ""))))</f>
        <v/>
      </c>
      <c r="DP8" s="22">
        <f t="array" ref="DP8">_xlfn.MAP('6 - TV Stands &amp; Enterta'!B8:B507, '6 - TV Stands &amp; Enterta'!DP8:DP507, _xlfn.LAMBDA(_xlpm.part, _xlpm.val, IF(_xlpm.part = "", "", IF(AND(_xlpm.val = "", DP$3="Required"), IF(OR('6 - TV Stands &amp; Enterta'!DP$7 = "", '6 - TV Stands &amp; Enterta'!DP$7 = "N/A"), "3:Canada Product Restriction - Value is required", ""), ""))))</f>
        <v/>
      </c>
      <c r="DQ8" s="22">
        <f t="array" ref="DQ8">_xlfn.MAP('6 - TV Stands &amp; Enterta'!B8:B507, '6 - TV Stands &amp; Enterta'!DQ8:DQ507, '6 - TV Stands &amp; Enterta'!DP8:DP507, _xlfn.LAMBDA(_xlpm.part, _xlpm.val, _xlpm.dep1, IF(_xlpm.part = "", "",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s="22">
        <f t="array" ref="DR8">_xlfn.MAP('6 - TV Stands &amp; Enterta'!B8:B507, '6 - TV Stands &amp; Enterta'!DR8:DR507, _xlfn.LAMBDA(_xlpm.part, _xlpm.val, IF(_xlpm.part = "", "", IF(AND(_xlpm.val = "", DR$3="Required"), IF(OR('6 - TV Stands &amp; Enterta'!DR$7 = "", '6 - TV Stands &amp; Enterta'!DR$7 = "N/A"), "3:UL 1678 Listed - Value is required", ""), ""))))</f>
        <v/>
      </c>
      <c r="DS8" s="22">
        <f t="array" ref="DS8">_xlfn.MAP('6 - TV Stands &amp; Enterta'!B8:B507, '6 - TV Stands &amp; Enterta'!DS8:DS507, '6 - TV Stands &amp; Enterta'!CL8:CL507, _xlfn.LAMBDA(_xlpm.part, _xlpm.val, _xlpm.dep1, IF(_xlpm.part = "", "",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s="22">
        <f t="array" ref="DT8">_xlfn.MAP('6 - TV Stands &amp; Enterta'!B8:B507, '6 - TV Stands &amp; Enterta'!DT8:DT507, '6 - TV Stands &amp; Enterta'!DS8:DS507,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s="22">
        <f t="array" ref="DU8">_xlfn.MAP('6 - TV Stands &amp; Enterta'!B8:B507, '6 - TV Stands &amp; Enterta'!DU8:DU507, '6 - TV Stands &amp; Enterta'!DS8:DS507, '6 - TV Stands &amp; Enterta'!DT8:DT507, _xlfn.LAMBDA(_xlpm.part, _xlpm.val, _xlpm.dep1, _xlpm.dep2, IF(_xlpm.part = "", "",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s="22">
        <f t="array" ref="DV8">_xlfn.MAP('6 - TV Stands &amp; Enterta'!B8:B507, '6 - TV Stands &amp; Enterta'!DV8:DV507, '6 - TV Stands &amp; Enterta'!DS8:DS507, '6 - TV Stands &amp; Enterta'!DT8:DT507, _xlfn.LAMBDA(_xlpm.part, _xlpm.val, _xlpm.dep1, _xlpm.dep2, IF(_xlpm.part = "", "",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s="22">
        <f t="array" ref="DW8">_xlfn.MAP('6 - TV Stands &amp; Enterta'!B8:B507, '6 - TV Stands &amp; Enterta'!DW8:DW507, '6 - TV Stands &amp; Enterta'!DS8:DS507, _xlfn.LAMBDA(_xlpm.part, _xlpm.val, _xlpm.dep1, IF(_xlpm.part = "", "",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s="22">
        <f t="array" ref="DX8">_xlfn.MAP('6 - TV Stands &amp; Enterta'!B8:B507, '6 - TV Stands &amp; Enterta'!DX8:DX507, _xlfn.LAMBDA(_xlpm.part, _xlpm.val, IF(_xlpm.part = "", "", IF(AND(_xlpm.val = "", DX$3="Required"), IF(OR('6 - TV Stands &amp; Enterta'!DX$7 = "", '6 - TV Stands &amp; Enterta'!DX$7 = "N/A"), "3:Energy Efficiency Regulations Compliant - Value is required", ""), ""))))</f>
        <v/>
      </c>
      <c r="DY8" s="22">
        <f t="array" ref="DY8">_xlfn.MAP('6 - TV Stands &amp; Enterta'!B8:B507, '6 - TV Stands &amp; Enterta'!DY8:DY507, '6 - TV Stands &amp; Enterta'!DB8:DB507, _xlfn.LAMBDA(_xlpm.part, _xlpm.val, _xlpm.dep1, IF(_xlpm.part = "", "",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s="22">
        <f t="array" ref="DZ8">_xlfn.MAP('6 - TV Stands &amp; Enterta'!B8:B507, '6 - TV Stands &amp; Enterta'!DZ8:DZ507, _xlfn.LAMBDA(_xlpm.part, _xlpm.val, IF(_xlpm.part = "", "", IF(AND(_xlpm.val = "", DZ$3="Required"), IF(OR('6 - TV Stands &amp; Enterta'!DZ$7 = "", '6 - TV Stands &amp; Enterta'!DZ$7 = "N/A"), "3:Safety Listing(s) Registration Number - Value is required", ""), ""))))</f>
        <v/>
      </c>
      <c r="EA8" s="22">
        <f t="array" ref="EA8">_xlfn.MAP('6 - TV Stands &amp; Enterta'!B8:B507, '6 - TV Stands &amp; Enterta'!EA8:EA507, _xlfn.LAMBDA(_xlpm.part, _xlpm.val, IF(_xlpm.part = "", "", IF(AND(_xlpm.val = "", EA$3="Required"), IF(OR('6 - TV Stands &amp; Enterta'!EA$7 = "", '6 - TV Stands &amp; Enterta'!EA$7 = "N/A"), "3:CPSC - 16 CFR 1263 Compliant (Reese's Law) - Value is required", ""), ""))))</f>
        <v/>
      </c>
      <c r="EB8" s="22">
        <f t="array" ref="EB8">_xlfn.MAP('6 - TV Stands &amp; Enterta'!B8:B507, '6 - TV Stands &amp; Enterta'!EB8:EB507, _xlfn.LAMBDA(_xlpm.part, _xlpm.val, IF(_xlpm.part = "", "", IF(AND(_xlpm.val = "", EB$3="Required"), IF(OR('6 - TV Stands &amp; Enterta'!EB$7 = "", '6 - TV Stands &amp; Enterta'!EB$7 = "N/A"), "3:ISTA Certified - Value is required", ""), ""))))</f>
        <v/>
      </c>
      <c r="EC8" s="22">
        <f t="array" ref="EC8">_xlfn.MAP('6 - TV Stands &amp; Enterta'!B8:B507, '6 - TV Stands &amp; Enterta'!EC8:EC507, _xlfn.LAMBDA(_xlpm.part, _xlpm.val, IF(_xlpm.part = "", "", IF(AND(_xlpm.val = "", EC$3="Required"), IF(OR('6 - TV Stands &amp; Enterta'!EC$7 = "", '6 - TV Stands &amp; Enterta'!EC$7 = "N/A"), "3:Sustainability &amp; Social Responsibility Certifications (North America Only) - Value is required", ""), ""))))</f>
        <v/>
      </c>
      <c r="ED8" s="22">
        <f t="array" ref="ED8">_xlfn.MAP('6 - TV Stands &amp; Enterta'!B8:B507, '6 - TV Stands &amp; Enterta'!ED8:ED507, _xlfn.LAMBDA(_xlpm.part, _xlpm.val, IF(_xlpm.part = "", "", IF(AND(_xlpm.val = "", ED$3="Required"), IF(OR('6 - TV Stands &amp; Enterta'!ED$7 = "", '6 - TV Stands &amp; Enterta'!ED$7 = "N/A"), "3:Commercial Certifications - Value is required", ""), ""))))</f>
        <v/>
      </c>
      <c r="EE8" s="22">
        <f t="array" ref="EE8">_xlfn.MAP('6 - TV Stands &amp; Enterta'!B8:B507, '6 - TV Stands &amp; Enterta'!EE8:EE507, '6 - TV Stands &amp; Enterta'!BG8:BG507, _xlfn.LAMBDA(_xlpm.part, _xlpm.val, _xlpm.dep1, IF(_xlpm.part = "", "",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s="22">
        <f t="array" ref="EF8">_xlfn.MAP('6 - TV Stands &amp; Enterta'!B8:B507, '6 - TV Stands &amp; Enterta'!EF8:EF507, '6 - TV Stands &amp; Enterta'!BG8:BG507, _xlfn.LAMBDA(_xlpm.part, _xlpm.val, _xlpm.dep1, IF(_xlpm.part = "", "",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s="22">
        <f t="array" ref="EG8">_xlfn.MAP('6 - TV Stands &amp; Enterta'!B8:B507, '6 - TV Stands &amp; Enterta'!EG8:EG507, '6 - TV Stands &amp; Enterta'!BG8:BG507, _xlfn.LAMBDA(_xlpm.part, _xlpm.val, _xlpm.dep1, IF(_xlpm.part = "", "",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s="22">
        <f t="array" ref="EH8">_xlfn.MAP('6 - TV Stands &amp; Enterta'!B8:B507, '6 - TV Stands &amp; Enterta'!EH8:EH507, '6 - TV Stands &amp; Enterta'!BG8:BG507, _xlfn.LAMBDA(_xlpm.part, _xlpm.val, _xlpm.dep1, IF(_xlpm.part = "", "",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s="22">
        <f t="array" ref="EI8">_xlfn.MAP('6 - TV Stands &amp; Enterta'!B8:B507, '6 - TV Stands &amp; Enterta'!EI8:EI507, '6 - TV Stands &amp; Enterta'!BG8:BG507, _xlfn.LAMBDA(_xlpm.part, _xlpm.val, _xlpm.dep1, IF(_xlpm.part = "", "",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s="22">
        <f t="array" ref="EJ8">_xlfn.MAP('6 - TV Stands &amp; Enterta'!B8:B507, '6 - TV Stands &amp; Enterta'!EJ8:EJ507, _xlfn.LAMBDA(_xlpm.part, _xlpm.val, IF(_xlpm.part = "", "", IF(AND(_xlpm.val = "", EJ$3="Required"), IF(OR('6 - TV Stands &amp; Enterta'!EJ$7 = "", '6 - TV Stands &amp; Enterta'!EJ$7 = "N/A"), "3:Overall Product Weight - Value is required", ""), ""))))</f>
        <v/>
      </c>
      <c r="EK8" s="22">
        <f t="array" ref="EK8">_xlfn.MAP('6 - TV Stands &amp; Enterta'!B8:B507, '6 - TV Stands &amp; Enterta'!EK8:EK507, _xlfn.LAMBDA(_xlpm.part, _xlpm.val, IF(_xlpm.part = "", "", IF(AND(_xlpm.val = "", EK$3="Required"), IF(OR('6 - TV Stands &amp; Enterta'!EK$7 = "", '6 - TV Stands &amp; Enterta'!EK$7 = "N/A"), "3:Maximum TV Screen Size Accommodated - Value is required", ""), ""))))</f>
        <v/>
      </c>
      <c r="EL8" s="22">
        <f t="array" ref="EL8">_xlfn.MAP('6 - TV Stands &amp; Enterta'!B8:B507, '6 - TV Stands &amp; Enterta'!EL8:EL507, '6 - TV Stands &amp; Enterta'!BG8:BG507, _xlfn.LAMBDA(_xlpm.part, _xlpm.val, _xlpm.dep1, IF(_xlpm.part = "", "",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s="22">
        <f t="array" ref="EM8">_xlfn.MAP('6 - TV Stands &amp; Enterta'!B8:B507, '6 - TV Stands &amp; Enterta'!EM8:EM507, _xlfn.LAMBDA(_xlpm.part, _xlpm.val, IF(_xlpm.part = "", "", IF(AND(_xlpm.val = "", EM$3="Required"), IF(OR('6 - TV Stands &amp; Enterta'!EM$7 = "", '6 - TV Stands &amp; Enterta'!EM$7 = "N/A"), "3:Assembly Required - Value is required", ""), ""))))</f>
        <v/>
      </c>
      <c r="EN8" s="22">
        <f t="array" ref="EN8">_xlfn.MAP('6 - TV Stands &amp; Enterta'!B8:B507, '6 - TV Stands &amp; Enterta'!EN8:EN507, '6 - TV Stands &amp; Enterta'!EM8:EM507, _xlfn.LAMBDA(_xlpm.part, _xlpm.val, _xlpm.dep1, IF(_xlpm.part = "", "",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s="22">
        <f t="array" ref="EO8">_xlfn.MAP('6 - TV Stands &amp; Enterta'!B8:B507, '6 - TV Stands &amp; Enterta'!EO8:EO507, _xlfn.LAMBDA(_xlpm.part, _xlpm.val, IF(_xlpm.part = "", "",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s="22">
        <f t="array" ref="EP8">_xlfn.MAP('6 - TV Stands &amp; Enterta'!B8:B507, '6 - TV Stands &amp; Enterta'!EP8:EP507, _xlfn.LAMBDA(_xlpm.part, _xlpm.val, IF(_xlpm.part = "", "", IF(AND(_xlpm.val = "", EP$3="Required"), IF(OR('6 - TV Stands &amp; Enterta'!EP$7 = "", '6 - TV Stands &amp; Enterta'!EP$7 = "N/A"), "3:Commercial Warranty - Value is required", ""), ""))))</f>
        <v/>
      </c>
      <c r="EQ8" s="22">
        <f t="array" ref="EQ8">_xlfn.MAP('6 - TV Stands &amp; Enterta'!B8:B507, '6 - TV Stands &amp; Enterta'!EQ8:EQ507, '6 - TV Stands &amp; Enterta'!EP8:EP507, _xlfn.LAMBDA(_xlpm.part, _xlpm.val, _xlpm.dep1, IF(_xlpm.part = "", "",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s="22">
        <f t="array" ref="ER8">_xlfn.MAP('6 - TV Stands &amp; Enterta'!B8:B507, '6 - TV Stands &amp; Enterta'!ER8:ER507, _xlfn.LAMBDA(_xlpm.part, _xlpm.val, IF(_xlpm.part = "", "", IF(AND(_xlpm.val = "", ER$3="Required"), IF(OR('6 - TV Stands &amp; Enterta'!ER$7 = "", '6 - TV Stands &amp; Enterta'!ER$7 = "N/A"), "3:Product Warranty - Value is required", ""), ""))))</f>
        <v/>
      </c>
      <c r="ES8" s="22">
        <f t="array" ref="ES8">_xlfn.MAP('6 - TV Stands &amp; Enterta'!B8:B507, '6 - TV Stands &amp; Enterta'!ES8:ES507, _xlfn.LAMBDA(_xlpm.part, _xlpm.val, IF(_xlpm.part = "", "", IF(AND(_xlpm.val = "", ES$3="Required"), IF(OR('6 - TV Stands &amp; Enterta'!ES$7 = "", '6 - TV Stands &amp; Enterta'!ES$7 = "N/A"), "3:Full or Limited Warranty - Value is required", ""), ""))))</f>
        <v/>
      </c>
      <c r="ET8" s="22">
        <f t="array" ref="ET8">_xlfn.MAP('6 - TV Stands &amp; Enterta'!B8:B507, '6 - TV Stands &amp; Enterta'!ET8:ET507, _xlfn.LAMBDA(_xlpm.part, _xlpm.val, IF(_xlpm.part = "", "",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style="22" min="2" max="2"/>
    <col width="30.7109375" customWidth="1" style="22" min="3" max="3"/>
    <col width="10.7109375" customWidth="1" style="22" min="4" max="4"/>
    <col width="29.7109375" customWidth="1" style="22" min="5" max="5"/>
    <col width="27.7109375" customWidth="1" style="22" min="6" max="6"/>
    <col width="17.7109375" customWidth="1" style="22" min="7" max="7"/>
    <col width="20.7109375" customWidth="1" style="22" min="8" max="8"/>
    <col width="29.7109375" customWidth="1" style="22" min="9" max="9"/>
    <col width="14.7109375" customWidth="1" style="22" min="10" max="10"/>
    <col width="29.7109375" customWidth="1" style="22" min="11" max="11"/>
    <col width="40.7109375" customWidth="1" style="22" min="12" max="12"/>
    <col width="19.7109375" customWidth="1" style="22" min="13" max="13"/>
    <col width="21.7109375" customWidth="1" style="22" min="14" max="18"/>
    <col width="27.7109375" customWidth="1" style="22" min="19" max="19"/>
    <col width="30.7109375" customWidth="1" style="22" min="20" max="20"/>
    <col width="25.7109375" customWidth="1" style="22" min="21" max="21"/>
    <col width="19.7109375" customWidth="1" style="22" min="22" max="22"/>
    <col width="14.7109375" customWidth="1" style="22" min="23" max="23"/>
    <col width="18.7109375" customWidth="1" style="22" min="24" max="24"/>
    <col width="14.7109375" customWidth="1" style="22" min="25" max="25"/>
    <col width="26.7109375" customWidth="1" style="22" min="26" max="26"/>
    <col width="33.7109375" customWidth="1" style="22" min="27" max="27"/>
    <col width="14.7109375" customWidth="1" style="22" min="28" max="28"/>
    <col width="20.7109375" customWidth="1" style="22" min="29" max="31"/>
    <col width="19.7109375" customWidth="1" style="22" min="32" max="33"/>
    <col width="21.7109375" customWidth="1" style="22" min="34" max="34"/>
    <col width="15.7109375" customWidth="1" style="22" min="35" max="36"/>
    <col width="28.7109375" customWidth="1" style="22" min="37" max="37"/>
    <col width="29.7109375" customWidth="1" style="22" min="38" max="43"/>
    <col width="32.7109375" customWidth="1" style="22" min="44" max="44"/>
    <col width="20.7109375" customWidth="1" style="22" min="45" max="45"/>
    <col width="26.7109375" customWidth="1" style="22" min="46" max="46"/>
    <col width="22.7109375" customWidth="1" style="22" min="47" max="47"/>
    <col width="24.7109375" customWidth="1" style="22" min="48" max="48"/>
    <col width="32.7109375" customWidth="1" style="22" min="49" max="49"/>
    <col width="20.7109375" customWidth="1" style="22" min="50" max="50"/>
    <col width="26.7109375" customWidth="1" style="22" min="51" max="51"/>
    <col width="22.7109375" customWidth="1" style="22" min="52" max="52"/>
    <col width="24.7109375" customWidth="1" style="22" min="53" max="53"/>
    <col width="32.7109375" customWidth="1" style="22" min="54" max="54"/>
    <col width="20.7109375" customWidth="1" style="22" min="55" max="55"/>
    <col width="26.7109375" customWidth="1" style="22" min="56" max="56"/>
    <col width="22.7109375" customWidth="1" style="22" min="57" max="57"/>
    <col width="24.7109375" customWidth="1" style="22" min="58" max="58"/>
    <col width="17.7109375" customWidth="1" style="22" min="59" max="59"/>
    <col width="29.7109375" customWidth="1" style="22" min="60" max="60"/>
    <col width="21.7109375" customWidth="1" style="22" min="61" max="61"/>
    <col width="22.7109375" customWidth="1" style="22" min="62" max="63"/>
    <col width="21.7109375" customWidth="1" style="22" min="64" max="64"/>
    <col width="30.7109375" customWidth="1" style="22" min="65" max="66"/>
    <col width="20.7109375" customWidth="1" style="22" min="67" max="67"/>
    <col width="21.7109375" customWidth="1" style="22" min="68" max="68"/>
    <col width="13.7109375" customWidth="1" style="22" min="69" max="69"/>
    <col width="32.7109375" customWidth="1" style="22" min="70" max="70"/>
    <col width="27.7109375" customWidth="1" style="22" min="71" max="71"/>
    <col width="17.7109375" customWidth="1" style="22" min="72" max="72"/>
    <col width="13.7109375" customWidth="1" style="22" min="73" max="73"/>
    <col width="29.7109375" customWidth="1" style="22" min="74" max="74"/>
    <col width="23.7109375" customWidth="1" style="22" min="75" max="75"/>
    <col width="27.7109375" customWidth="1" style="22" min="76" max="76"/>
    <col width="21.7109375" customWidth="1" style="22" min="77" max="77"/>
    <col width="30.7109375" customWidth="1" style="22" min="78" max="78"/>
    <col width="23.7109375" customWidth="1" style="22" min="79" max="79"/>
    <col width="12.7109375" customWidth="1" style="22" min="80" max="80"/>
    <col width="38.7109375" customWidth="1" style="22" min="81" max="81"/>
    <col width="33.7109375" customWidth="1" style="22" min="82" max="82"/>
    <col width="22.7109375" customWidth="1" style="22" min="83" max="83"/>
    <col width="39.7109375" customWidth="1" style="22" min="84" max="84"/>
    <col width="43.7109375" customWidth="1" style="22" min="85" max="85"/>
    <col width="29.7109375" customWidth="1" style="22" min="86" max="86"/>
    <col width="20.7109375" customWidth="1" style="22" min="87" max="87"/>
    <col width="17.7109375" customWidth="1" style="22" min="88" max="88"/>
    <col width="34.7109375" customWidth="1" style="22" min="89" max="89"/>
    <col width="24.7109375" customWidth="1" style="22" min="90" max="90"/>
    <col width="17.7109375" customWidth="1" style="22" min="91" max="91"/>
    <col width="24.7109375" customWidth="1" style="22" min="92" max="92"/>
    <col width="21.7109375" customWidth="1" style="22" min="93" max="93"/>
    <col width="20.7109375" customWidth="1" style="22" min="94" max="94"/>
    <col width="35.7109375" customWidth="1" style="22" min="95" max="95"/>
    <col width="30.7109375" customWidth="1" style="22" min="96" max="96"/>
    <col width="27.7109375" customWidth="1" style="22" min="97" max="97"/>
    <col width="21.7109375" customWidth="1" style="22" min="98" max="98"/>
    <col width="20.7109375" customWidth="1" style="22" min="99" max="99"/>
    <col width="17.7109375" customWidth="1" style="22" min="100" max="100"/>
    <col width="15.7109375" customWidth="1" style="22" min="101" max="101"/>
    <col width="19.7109375" customWidth="1" style="22" min="102" max="103"/>
    <col width="34.7109375" customWidth="1" style="22" min="104" max="104"/>
    <col width="14.7109375" customWidth="1" style="22" min="105" max="106"/>
    <col width="16.7109375" customWidth="1" style="22" min="107" max="107"/>
    <col width="21.7109375" customWidth="1" style="22" min="108" max="109"/>
    <col width="20.7109375" customWidth="1" style="22" min="110" max="110"/>
    <col width="23.7109375" customWidth="1" style="22" min="111" max="112"/>
    <col width="19.7109375" customWidth="1" style="22" min="113" max="113"/>
    <col width="44.7109375" customWidth="1" style="22" min="114" max="114"/>
    <col width="33.7109375" customWidth="1" style="22" min="115" max="115"/>
    <col width="53.7109375" customWidth="1" style="22" min="116" max="117"/>
    <col width="21.7109375" customWidth="1" style="22" min="118" max="118"/>
    <col width="64.7109375" customWidth="1" style="22" min="119" max="119"/>
    <col width="31.7109375" customWidth="1" style="22" min="120" max="120"/>
    <col width="27.7109375" customWidth="1" style="22" min="121" max="121"/>
    <col width="19.7109375" customWidth="1" style="22" min="122" max="122"/>
    <col width="41.7109375" customWidth="1" style="22" min="123" max="123"/>
    <col width="20.7109375" customWidth="1" style="22" min="124" max="124"/>
    <col width="21.7109375" customWidth="1" style="22" min="125" max="125"/>
    <col width="18.7109375" customWidth="1" style="22" min="126" max="126"/>
    <col width="30.7109375" customWidth="1" style="22" min="127" max="127"/>
    <col width="44.7109375" customWidth="1" style="22" min="128" max="128"/>
    <col width="22.7109375" customWidth="1" style="22" min="129" max="129"/>
    <col width="42.7109375" customWidth="1" style="22" min="130" max="130"/>
    <col width="47.7109375" customWidth="1" style="22" min="131" max="131"/>
    <col width="19.7109375" customWidth="1" style="22" min="132" max="132"/>
    <col width="79.7109375" customWidth="1" style="22" min="133" max="133"/>
    <col width="30.7109375" customWidth="1" style="22" min="134" max="134"/>
    <col width="34.7109375" customWidth="1" style="22" min="135" max="135"/>
    <col width="35.7109375" customWidth="1" style="22" min="136" max="136"/>
    <col width="56.7109375" customWidth="1" style="22" min="137" max="137"/>
    <col width="54.7109375" customWidth="1" style="22" min="138" max="138"/>
    <col width="55.7109375" customWidth="1" style="22" min="139" max="139"/>
    <col width="27.7109375" customWidth="1" style="22" min="140" max="140"/>
    <col width="40.7109375" customWidth="1" style="22" min="141" max="141"/>
    <col width="44.7109375" customWidth="1" style="22" min="142" max="142"/>
    <col width="22.7109375" customWidth="1" style="22" min="143" max="144"/>
    <col width="45.7109375" customWidth="1" style="22" min="145" max="145"/>
    <col width="24.7109375" customWidth="1" style="22" min="146" max="146"/>
    <col width="31.7109375" customWidth="1" style="22" min="147" max="147"/>
    <col width="21.7109375" customWidth="1" style="22" min="148" max="148"/>
    <col width="29.7109375" customWidth="1" style="22" min="149" max="149"/>
    <col width="20.7109375" customWidth="1" style="22" min="150" max="150"/>
  </cols>
  <sheetData>
    <row r="1" hidden="1">
      <c r="B1" s="22" t="inlineStr">
        <is>
          <t>core::supplierPartNumber</t>
        </is>
      </c>
      <c r="C1" s="22" t="inlineStr">
        <is>
          <t>core::amazonStandardIdentificationNumber</t>
        </is>
      </c>
      <c r="D1" s="22" t="inlineStr">
        <is>
          <t>core::manufacturerId</t>
        </is>
      </c>
      <c r="E1" s="22" t="inlineStr">
        <is>
          <t>core::manufacturerPartNumber</t>
        </is>
      </c>
      <c r="F1" s="22" t="inlineStr">
        <is>
          <t>core::universalProductCode</t>
        </is>
      </c>
      <c r="G1" s="22" t="inlineStr">
        <is>
          <t>core::productName</t>
        </is>
      </c>
      <c r="H1" s="22" t="inlineStr">
        <is>
          <t>core::collectionName</t>
        </is>
      </c>
      <c r="I1" s="22" t="inlineStr">
        <is>
          <t>core::manufacturerProductUrl</t>
        </is>
      </c>
      <c r="J1" s="22" t="inlineStr">
        <is>
          <t>price::wholesalePrice</t>
        </is>
      </c>
      <c r="K1" s="22" t="inlineStr">
        <is>
          <t>price::minimumAdvertizedPrice</t>
        </is>
      </c>
      <c r="L1" s="22" t="inlineStr">
        <is>
          <t>price::manufacturerSuggestedRetailPrice</t>
        </is>
      </c>
      <c r="M1" s="22" t="inlineStr">
        <is>
          <t>featureDescription::romanceCopy</t>
        </is>
      </c>
      <c r="N1" s="22" t="inlineStr">
        <is>
          <t>featureDescription::genericFeatures</t>
        </is>
      </c>
      <c r="O1" s="22" t="inlineStr">
        <is>
          <t>featureDescription::genericFeatures</t>
        </is>
      </c>
      <c r="P1" s="22" t="inlineStr">
        <is>
          <t>featureDescription::genericFeatures</t>
        </is>
      </c>
      <c r="Q1" s="22" t="inlineStr">
        <is>
          <t>featureDescription::genericFeatures</t>
        </is>
      </c>
      <c r="R1" s="22" t="inlineStr">
        <is>
          <t>featureDescription::genericFeatures</t>
        </is>
      </c>
      <c r="S1" s="22" t="inlineStr">
        <is>
          <t>shippingAndFulfillment::minimumOrderQuantity</t>
        </is>
      </c>
      <c r="T1" s="22" t="inlineStr">
        <is>
          <t>shippingAndFulfillment::forceQuantityMultiplier</t>
        </is>
      </c>
      <c r="U1" s="22" t="inlineStr">
        <is>
          <t>shippingAndFulfillment::displaySetQuantity</t>
        </is>
      </c>
      <c r="V1" s="22" t="inlineStr">
        <is>
          <t>shippingAndFulfillment::productWeight</t>
        </is>
      </c>
      <c r="W1" s="22" t="inlineStr">
        <is>
          <t>shippingAndFulfillment::shipType</t>
        </is>
      </c>
      <c r="X1" s="22" t="inlineStr">
        <is>
          <t>shippingAndFulfillment::freightClass</t>
        </is>
      </c>
      <c r="Y1" s="22" t="inlineStr">
        <is>
          <t>shippingAndFulfillment::leadTime</t>
        </is>
      </c>
      <c r="Z1" s="22" t="inlineStr">
        <is>
          <t>shippingAndFulfillment::replacementLeadTime</t>
        </is>
      </c>
      <c r="AA1" s="22" t="inlineStr">
        <is>
          <t>shippingAndFulfillment::nationalMotorFreightClass</t>
        </is>
      </c>
      <c r="AB1" s="22" t="inlineStr">
        <is>
          <t>shippingAndFulfillment::flatPack</t>
        </is>
      </c>
      <c r="AC1" s="22" t="inlineStr">
        <is>
          <t>shippingAndFulfillment::shipPalletized</t>
        </is>
      </c>
      <c r="AD1" s="22" t="inlineStr">
        <is>
          <t>shippingAndFulfillment::weight</t>
        </is>
      </c>
      <c r="AE1" s="22" t="inlineStr">
        <is>
          <t>shippingAndFulfillment::height</t>
        </is>
      </c>
      <c r="AF1" s="22" t="inlineStr">
        <is>
          <t>shippingAndFulfillment::width</t>
        </is>
      </c>
      <c r="AG1" s="22" t="inlineStr">
        <is>
          <t>shippingAndFulfillment::depth</t>
        </is>
      </c>
      <c r="AH1" s="22" t="inlineStr">
        <is>
          <t>propSixtyFive::warningRequired</t>
        </is>
      </c>
      <c r="AI1" s="22" t="inlineStr">
        <is>
          <t>propSixtyFive::chemicalId</t>
        </is>
      </c>
      <c r="AJ1" s="22" t="inlineStr">
        <is>
          <t>propSixtyFive::toxicity</t>
        </is>
      </c>
      <c r="AK1" s="22" t="inlineStr">
        <is>
          <t>propSixtyFive::countryOfManufacturer</t>
        </is>
      </c>
      <c r="AL1" s="22" t="inlineStr">
        <is>
          <t>media::imageValue</t>
        </is>
      </c>
      <c r="AM1" s="22" t="inlineStr">
        <is>
          <t>media::imageValue</t>
        </is>
      </c>
      <c r="AN1" s="22" t="inlineStr">
        <is>
          <t>media::imageValue</t>
        </is>
      </c>
      <c r="AO1" s="22" t="inlineStr">
        <is>
          <t>media::imageValue</t>
        </is>
      </c>
      <c r="AP1" s="22" t="inlineStr">
        <is>
          <t>media::imageValue</t>
        </is>
      </c>
      <c r="AQ1" s="22" t="inlineStr">
        <is>
          <t>media::videoValue</t>
        </is>
      </c>
      <c r="AR1" s="22" t="inlineStr">
        <is>
          <t>media::documentValue</t>
        </is>
      </c>
      <c r="AS1" s="22" t="inlineStr">
        <is>
          <t>media::documentType</t>
        </is>
      </c>
      <c r="AT1" s="22" t="inlineStr">
        <is>
          <t>media::legalDocumentType</t>
        </is>
      </c>
      <c r="AU1" s="22" t="inlineStr">
        <is>
          <t>media::regionType</t>
        </is>
      </c>
      <c r="AV1" s="22" t="inlineStr">
        <is>
          <t>media::language</t>
        </is>
      </c>
      <c r="AW1" s="22" t="inlineStr">
        <is>
          <t>media::documentValue</t>
        </is>
      </c>
      <c r="AX1" s="22" t="inlineStr">
        <is>
          <t>media::documentType</t>
        </is>
      </c>
      <c r="AY1" s="22" t="inlineStr">
        <is>
          <t>media::legalDocumentType</t>
        </is>
      </c>
      <c r="AZ1" s="22" t="inlineStr">
        <is>
          <t>media::regionType</t>
        </is>
      </c>
      <c r="BA1" s="22" t="inlineStr">
        <is>
          <t>media::language</t>
        </is>
      </c>
      <c r="BB1" s="22" t="inlineStr">
        <is>
          <t>media::documentValue</t>
        </is>
      </c>
      <c r="BC1" s="22" t="inlineStr">
        <is>
          <t>media::documentType</t>
        </is>
      </c>
      <c r="BD1" s="22" t="inlineStr">
        <is>
          <t>media::legalDocumentType</t>
        </is>
      </c>
      <c r="BE1" s="22" t="inlineStr">
        <is>
          <t>media::regionType</t>
        </is>
      </c>
      <c r="BF1" s="22" t="inlineStr">
        <is>
          <t>media::language</t>
        </is>
      </c>
      <c r="BG1" s="22" t="inlineStr">
        <is>
          <t>5620</t>
        </is>
      </c>
      <c r="BH1" s="22" t="inlineStr">
        <is>
          <t>252622</t>
        </is>
      </c>
      <c r="BI1" s="22" t="inlineStr">
        <is>
          <t>5635</t>
        </is>
      </c>
      <c r="BJ1" s="22" t="inlineStr">
        <is>
          <t>5911</t>
        </is>
      </c>
      <c r="BK1" s="22" t="inlineStr">
        <is>
          <t>5636</t>
        </is>
      </c>
      <c r="BL1" s="22" t="inlineStr">
        <is>
          <t>382543</t>
        </is>
      </c>
      <c r="BM1" s="22" t="inlineStr">
        <is>
          <t>5634</t>
        </is>
      </c>
      <c r="BN1" s="22" t="inlineStr">
        <is>
          <t>5678</t>
        </is>
      </c>
      <c r="BO1" s="22" t="inlineStr">
        <is>
          <t>252625</t>
        </is>
      </c>
      <c r="BP1" s="22" t="inlineStr">
        <is>
          <t>5621</t>
        </is>
      </c>
      <c r="BQ1" s="22" t="inlineStr">
        <is>
          <t>5625</t>
        </is>
      </c>
      <c r="BR1" s="22" t="inlineStr">
        <is>
          <t>222860</t>
        </is>
      </c>
      <c r="BS1" s="22" t="inlineStr">
        <is>
          <t>222861</t>
        </is>
      </c>
      <c r="BT1" s="22" t="inlineStr">
        <is>
          <t>5624</t>
        </is>
      </c>
      <c r="BU1" s="22" t="inlineStr">
        <is>
          <t>220722</t>
        </is>
      </c>
      <c r="BV1" s="22" t="inlineStr">
        <is>
          <t>221251</t>
        </is>
      </c>
      <c r="BW1" s="22" t="inlineStr">
        <is>
          <t>218007</t>
        </is>
      </c>
      <c r="BX1" s="22" t="inlineStr">
        <is>
          <t>5648</t>
        </is>
      </c>
      <c r="BY1" s="22" t="inlineStr">
        <is>
          <t>5649</t>
        </is>
      </c>
      <c r="BZ1" s="22" t="inlineStr">
        <is>
          <t>5643</t>
        </is>
      </c>
      <c r="CA1" s="22" t="inlineStr">
        <is>
          <t>5645</t>
        </is>
      </c>
      <c r="CB1" s="22" t="inlineStr">
        <is>
          <t>189876</t>
        </is>
      </c>
      <c r="CC1" s="22" t="inlineStr">
        <is>
          <t>201479</t>
        </is>
      </c>
      <c r="CD1" s="22" t="inlineStr">
        <is>
          <t>5663</t>
        </is>
      </c>
      <c r="CE1" s="22" t="inlineStr">
        <is>
          <t>242478</t>
        </is>
      </c>
      <c r="CF1" s="22" t="inlineStr">
        <is>
          <t>227966</t>
        </is>
      </c>
      <c r="CG1" s="22" t="inlineStr">
        <is>
          <t>244566</t>
        </is>
      </c>
      <c r="CH1" s="22" t="inlineStr">
        <is>
          <t>293480</t>
        </is>
      </c>
      <c r="CI1" s="22" t="inlineStr">
        <is>
          <t>293547</t>
        </is>
      </c>
      <c r="CJ1" s="22" t="inlineStr">
        <is>
          <t>185254</t>
        </is>
      </c>
      <c r="CK1" s="22" t="inlineStr">
        <is>
          <t>344955</t>
        </is>
      </c>
      <c r="CL1" s="22" t="inlineStr">
        <is>
          <t>346869</t>
        </is>
      </c>
      <c r="CM1" s="22" t="inlineStr">
        <is>
          <t>351619</t>
        </is>
      </c>
      <c r="CN1" s="22" t="inlineStr">
        <is>
          <t>367149</t>
        </is>
      </c>
      <c r="CO1" s="22" t="inlineStr">
        <is>
          <t>351641</t>
        </is>
      </c>
      <c r="CP1" s="22" t="inlineStr">
        <is>
          <t>352351</t>
        </is>
      </c>
      <c r="CQ1" s="22" t="inlineStr">
        <is>
          <t>352342</t>
        </is>
      </c>
      <c r="CR1" s="22" t="inlineStr">
        <is>
          <t>351649</t>
        </is>
      </c>
      <c r="CS1" s="22" t="inlineStr">
        <is>
          <t>5949</t>
        </is>
      </c>
      <c r="CT1" s="22" t="inlineStr">
        <is>
          <t>5950</t>
        </is>
      </c>
      <c r="CU1" s="22" t="inlineStr">
        <is>
          <t>5654</t>
        </is>
      </c>
      <c r="CV1" s="22" t="inlineStr">
        <is>
          <t>368645</t>
        </is>
      </c>
      <c r="CW1" s="22" t="inlineStr">
        <is>
          <t>370848</t>
        </is>
      </c>
      <c r="CX1" s="22" t="inlineStr">
        <is>
          <t>5910</t>
        </is>
      </c>
      <c r="CY1" s="22" t="inlineStr">
        <is>
          <t>379875</t>
        </is>
      </c>
      <c r="CZ1" s="22" t="inlineStr">
        <is>
          <t>292794</t>
        </is>
      </c>
      <c r="DA1" s="22" t="inlineStr">
        <is>
          <t>220267</t>
        </is>
      </c>
      <c r="DB1" s="22" t="inlineStr">
        <is>
          <t>220265</t>
        </is>
      </c>
      <c r="DC1" s="22" t="inlineStr">
        <is>
          <t>384286</t>
        </is>
      </c>
      <c r="DD1" s="22" t="inlineStr">
        <is>
          <t>393970</t>
        </is>
      </c>
      <c r="DE1" s="22" t="inlineStr">
        <is>
          <t>400764</t>
        </is>
      </c>
      <c r="DF1" s="22" t="inlineStr">
        <is>
          <t>420139</t>
        </is>
      </c>
      <c r="DG1" s="22" t="inlineStr">
        <is>
          <t>5920</t>
        </is>
      </c>
      <c r="DH1" s="22" t="inlineStr">
        <is>
          <t>5916</t>
        </is>
      </c>
      <c r="DI1" s="22" t="inlineStr">
        <is>
          <t>5938</t>
        </is>
      </c>
      <c r="DJ1" s="22" t="inlineStr">
        <is>
          <t>5671</t>
        </is>
      </c>
      <c r="DK1" s="22" t="inlineStr">
        <is>
          <t>201426</t>
        </is>
      </c>
      <c r="DL1" s="22" t="inlineStr">
        <is>
          <t>224759</t>
        </is>
      </c>
      <c r="DM1" s="22" t="inlineStr">
        <is>
          <t>224980</t>
        </is>
      </c>
      <c r="DN1" s="22" t="inlineStr">
        <is>
          <t>364708</t>
        </is>
      </c>
      <c r="DO1" s="22" t="inlineStr">
        <is>
          <t>236083</t>
        </is>
      </c>
      <c r="DP1" s="22" t="inlineStr">
        <is>
          <t>249364</t>
        </is>
      </c>
      <c r="DQ1" s="22" t="inlineStr">
        <is>
          <t>251110</t>
        </is>
      </c>
      <c r="DR1" s="22" t="inlineStr">
        <is>
          <t>310560</t>
        </is>
      </c>
      <c r="DS1" s="22" t="inlineStr">
        <is>
          <t>339330</t>
        </is>
      </c>
      <c r="DT1" s="22" t="inlineStr">
        <is>
          <t>373560</t>
        </is>
      </c>
      <c r="DU1" s="22" t="inlineStr">
        <is>
          <t>340810</t>
        </is>
      </c>
      <c r="DV1" s="22" t="inlineStr">
        <is>
          <t>341070</t>
        </is>
      </c>
      <c r="DW1" s="22" t="inlineStr">
        <is>
          <t>369614</t>
        </is>
      </c>
      <c r="DX1" s="22" t="inlineStr">
        <is>
          <t>368262</t>
        </is>
      </c>
      <c r="DY1" s="22" t="inlineStr">
        <is>
          <t>375302</t>
        </is>
      </c>
      <c r="DZ1" s="22" t="inlineStr">
        <is>
          <t>376202</t>
        </is>
      </c>
      <c r="EA1" s="22" t="inlineStr">
        <is>
          <t>382060</t>
        </is>
      </c>
      <c r="EB1" s="22" t="inlineStr">
        <is>
          <t>385921</t>
        </is>
      </c>
      <c r="EC1" s="22" t="inlineStr">
        <is>
          <t>415242</t>
        </is>
      </c>
      <c r="ED1" s="22" t="inlineStr">
        <is>
          <t>421601</t>
        </is>
      </c>
      <c r="EE1" s="22" t="inlineStr">
        <is>
          <t>5675</t>
        </is>
      </c>
      <c r="EF1" s="22" t="inlineStr">
        <is>
          <t>5676</t>
        </is>
      </c>
      <c r="EG1" s="22" t="inlineStr">
        <is>
          <t>252485</t>
        </is>
      </c>
      <c r="EH1" s="22" t="inlineStr">
        <is>
          <t>252486</t>
        </is>
      </c>
      <c r="EI1" s="22" t="inlineStr">
        <is>
          <t>252487</t>
        </is>
      </c>
      <c r="EJ1" s="22" t="inlineStr">
        <is>
          <t>5681</t>
        </is>
      </c>
      <c r="EK1" s="22" t="inlineStr">
        <is>
          <t>217965</t>
        </is>
      </c>
      <c r="EL1" s="22" t="inlineStr">
        <is>
          <t>5674</t>
        </is>
      </c>
      <c r="EM1" s="22" t="inlineStr">
        <is>
          <t>5682</t>
        </is>
      </c>
      <c r="EN1" s="22" t="inlineStr">
        <is>
          <t>222775</t>
        </is>
      </c>
      <c r="EO1" s="22" t="inlineStr">
        <is>
          <t>222778</t>
        </is>
      </c>
      <c r="EP1" s="22" t="inlineStr">
        <is>
          <t>228934</t>
        </is>
      </c>
      <c r="EQ1" s="22" t="inlineStr">
        <is>
          <t>333812</t>
        </is>
      </c>
      <c r="ER1" s="22" t="inlineStr">
        <is>
          <t>254186</t>
        </is>
      </c>
      <c r="ES1" s="22" t="inlineStr">
        <is>
          <t>255305</t>
        </is>
      </c>
      <c r="ET1" s="22" t="inlineStr">
        <is>
          <t>256090</t>
        </is>
      </c>
    </row>
    <row r="2">
      <c r="B2" s="23" t="inlineStr">
        <is>
          <t>Basic Information</t>
        </is>
      </c>
      <c r="C2" s="40" t="n"/>
      <c r="D2" s="40" t="n"/>
      <c r="E2" s="40" t="n"/>
      <c r="F2" s="40" t="n"/>
      <c r="G2" s="40" t="n"/>
      <c r="H2" s="40" t="n"/>
      <c r="I2" s="41" t="n"/>
      <c r="J2" s="24" t="inlineStr">
        <is>
          <t>Pricing</t>
        </is>
      </c>
      <c r="K2" s="40" t="n"/>
      <c r="L2" s="41" t="n"/>
      <c r="M2" s="25" t="inlineStr">
        <is>
          <t>Marketing Information</t>
        </is>
      </c>
      <c r="N2" s="40" t="n"/>
      <c r="O2" s="40" t="n"/>
      <c r="P2" s="40" t="n"/>
      <c r="Q2" s="40" t="n"/>
      <c r="R2" s="41" t="n"/>
      <c r="S2" s="26" t="inlineStr">
        <is>
          <t>Fulfillment Information</t>
        </is>
      </c>
      <c r="T2" s="40" t="n"/>
      <c r="U2" s="40" t="n"/>
      <c r="V2" s="40" t="n"/>
      <c r="W2" s="40" t="n"/>
      <c r="X2" s="40" t="n"/>
      <c r="Y2" s="40" t="n"/>
      <c r="Z2" s="40" t="n"/>
      <c r="AA2" s="40" t="n"/>
      <c r="AB2" s="40" t="n"/>
      <c r="AC2" s="41" t="n"/>
      <c r="AD2" s="27" t="inlineStr">
        <is>
          <t>Carton Details</t>
        </is>
      </c>
      <c r="AE2" s="40" t="n"/>
      <c r="AF2" s="40" t="n"/>
      <c r="AG2" s="41" t="n"/>
      <c r="AH2" s="28" t="inlineStr">
        <is>
          <t>Compliance</t>
        </is>
      </c>
      <c r="AI2" s="40" t="n"/>
      <c r="AJ2" s="40" t="n"/>
      <c r="AK2" s="41" t="n"/>
      <c r="AL2" s="29" t="inlineStr">
        <is>
          <t>Media</t>
        </is>
      </c>
      <c r="AM2" s="40" t="n"/>
      <c r="AN2" s="40" t="n"/>
      <c r="AO2" s="40" t="n"/>
      <c r="AP2" s="40" t="n"/>
      <c r="AQ2" s="40" t="n"/>
      <c r="AR2" s="40" t="n"/>
      <c r="AS2" s="40" t="n"/>
      <c r="AT2" s="40" t="n"/>
      <c r="AU2" s="40" t="n"/>
      <c r="AV2" s="40" t="n"/>
      <c r="AW2" s="40" t="n"/>
      <c r="AX2" s="40" t="n"/>
      <c r="AY2" s="40" t="n"/>
      <c r="AZ2" s="40" t="n"/>
      <c r="BA2" s="40" t="n"/>
      <c r="BB2" s="40" t="n"/>
      <c r="BC2" s="40" t="n"/>
      <c r="BD2" s="40" t="n"/>
      <c r="BE2" s="40" t="n"/>
      <c r="BF2" s="41" t="n"/>
      <c r="BG2" s="30" t="inlineStr">
        <is>
          <t>Attributes</t>
        </is>
      </c>
      <c r="BH2" s="40" t="n"/>
      <c r="BI2" s="40" t="n"/>
      <c r="BJ2" s="40" t="n"/>
      <c r="BK2" s="40" t="n"/>
      <c r="BL2" s="40" t="n"/>
      <c r="BM2" s="40" t="n"/>
      <c r="BN2" s="40" t="n"/>
      <c r="BO2" s="40" t="n"/>
      <c r="BP2" s="40" t="n"/>
      <c r="BQ2" s="40" t="n"/>
      <c r="BR2" s="40" t="n"/>
      <c r="BS2" s="40" t="n"/>
      <c r="BT2" s="40" t="n"/>
      <c r="BU2" s="40" t="n"/>
      <c r="BV2" s="40" t="n"/>
      <c r="BW2" s="40" t="n"/>
      <c r="BX2" s="40" t="n"/>
      <c r="BY2" s="40" t="n"/>
      <c r="BZ2" s="40" t="n"/>
      <c r="CA2" s="40" t="n"/>
      <c r="CB2" s="40" t="n"/>
      <c r="CC2" s="40" t="n"/>
      <c r="CD2" s="40" t="n"/>
      <c r="CE2" s="40" t="n"/>
      <c r="CF2" s="40" t="n"/>
      <c r="CG2" s="40" t="n"/>
      <c r="CH2" s="40" t="n"/>
      <c r="CI2" s="40" t="n"/>
      <c r="CJ2" s="40" t="n"/>
      <c r="CK2" s="40" t="n"/>
      <c r="CL2" s="40" t="n"/>
      <c r="CM2" s="40" t="n"/>
      <c r="CN2" s="40" t="n"/>
      <c r="CO2" s="40" t="n"/>
      <c r="CP2" s="40" t="n"/>
      <c r="CQ2" s="40" t="n"/>
      <c r="CR2" s="40" t="n"/>
      <c r="CS2" s="40" t="n"/>
      <c r="CT2" s="40" t="n"/>
      <c r="CU2" s="40" t="n"/>
      <c r="CV2" s="40" t="n"/>
      <c r="CW2" s="40" t="n"/>
      <c r="CX2" s="40" t="n"/>
      <c r="CY2" s="40" t="n"/>
      <c r="CZ2" s="40" t="n"/>
      <c r="DA2" s="40" t="n"/>
      <c r="DB2" s="40" t="n"/>
      <c r="DC2" s="40" t="n"/>
      <c r="DD2" s="40" t="n"/>
      <c r="DE2" s="40" t="n"/>
      <c r="DF2" s="40" t="n"/>
      <c r="DG2" s="40" t="n"/>
      <c r="DH2" s="40" t="n"/>
      <c r="DI2" s="40" t="n"/>
      <c r="DJ2" s="40" t="n"/>
      <c r="DK2" s="40" t="n"/>
      <c r="DL2" s="40" t="n"/>
      <c r="DM2" s="40" t="n"/>
      <c r="DN2" s="40" t="n"/>
      <c r="DO2" s="40" t="n"/>
      <c r="DP2" s="40" t="n"/>
      <c r="DQ2" s="40" t="n"/>
      <c r="DR2" s="40" t="n"/>
      <c r="DS2" s="40" t="n"/>
      <c r="DT2" s="40" t="n"/>
      <c r="DU2" s="40" t="n"/>
      <c r="DV2" s="40" t="n"/>
      <c r="DW2" s="40" t="n"/>
      <c r="DX2" s="40" t="n"/>
      <c r="DY2" s="40" t="n"/>
      <c r="DZ2" s="40" t="n"/>
      <c r="EA2" s="40" t="n"/>
      <c r="EB2" s="40" t="n"/>
      <c r="EC2" s="40" t="n"/>
      <c r="ED2" s="40" t="n"/>
      <c r="EE2" s="40" t="n"/>
      <c r="EF2" s="40" t="n"/>
      <c r="EG2" s="40" t="n"/>
      <c r="EH2" s="40" t="n"/>
      <c r="EI2" s="40" t="n"/>
      <c r="EJ2" s="40" t="n"/>
      <c r="EK2" s="40" t="n"/>
      <c r="EL2" s="40" t="n"/>
      <c r="EM2" s="40" t="n"/>
      <c r="EN2" s="40" t="n"/>
      <c r="EO2" s="40" t="n"/>
      <c r="EP2" s="40" t="n"/>
      <c r="EQ2" s="40" t="n"/>
      <c r="ER2" s="40" t="n"/>
      <c r="ES2" s="40" t="n"/>
      <c r="ET2" s="41" t="n"/>
    </row>
    <row r="3">
      <c r="B3" s="31" t="inlineStr">
        <is>
          <t>Required</t>
        </is>
      </c>
      <c r="C3" s="31" t="inlineStr">
        <is>
          <t>Additional</t>
        </is>
      </c>
      <c r="D3" s="31" t="inlineStr">
        <is>
          <t>Required</t>
        </is>
      </c>
      <c r="E3" s="31" t="inlineStr">
        <is>
          <t>Required</t>
        </is>
      </c>
      <c r="F3" s="31" t="inlineStr">
        <is>
          <t>Recommended</t>
        </is>
      </c>
      <c r="G3" s="31" t="inlineStr">
        <is>
          <t>Required</t>
        </is>
      </c>
      <c r="H3" s="31" t="inlineStr">
        <is>
          <t>Additional</t>
        </is>
      </c>
      <c r="I3" s="31" t="inlineStr">
        <is>
          <t>Additional</t>
        </is>
      </c>
      <c r="J3" s="31" t="inlineStr">
        <is>
          <t>Required</t>
        </is>
      </c>
      <c r="K3" s="31" t="inlineStr">
        <is>
          <t>Additional</t>
        </is>
      </c>
      <c r="L3" s="31" t="inlineStr">
        <is>
          <t>Additional</t>
        </is>
      </c>
      <c r="M3" s="31" t="inlineStr">
        <is>
          <t>Conditional</t>
        </is>
      </c>
      <c r="N3" s="31" t="inlineStr">
        <is>
          <t>Conditional</t>
        </is>
      </c>
      <c r="O3" s="31" t="inlineStr">
        <is>
          <t>Conditional</t>
        </is>
      </c>
      <c r="P3" s="31" t="inlineStr">
        <is>
          <t>Conditional</t>
        </is>
      </c>
      <c r="Q3" s="31" t="inlineStr">
        <is>
          <t>Conditional</t>
        </is>
      </c>
      <c r="R3" s="31" t="inlineStr">
        <is>
          <t>Conditional</t>
        </is>
      </c>
      <c r="S3" s="31" t="inlineStr">
        <is>
          <t>Required</t>
        </is>
      </c>
      <c r="T3" s="31" t="inlineStr">
        <is>
          <t>Required</t>
        </is>
      </c>
      <c r="U3" s="31" t="inlineStr">
        <is>
          <t>Required</t>
        </is>
      </c>
      <c r="V3" s="31" t="inlineStr">
        <is>
          <t>Required</t>
        </is>
      </c>
      <c r="W3" s="31" t="inlineStr">
        <is>
          <t>Required</t>
        </is>
      </c>
      <c r="X3" s="31" t="inlineStr">
        <is>
          <t>Conditional</t>
        </is>
      </c>
      <c r="Y3" s="31" t="inlineStr">
        <is>
          <t>Required</t>
        </is>
      </c>
      <c r="Z3" s="31" t="inlineStr">
        <is>
          <t>Required</t>
        </is>
      </c>
      <c r="AA3" s="31" t="inlineStr">
        <is>
          <t>Additional</t>
        </is>
      </c>
      <c r="AB3" s="31" t="inlineStr">
        <is>
          <t>Additional</t>
        </is>
      </c>
      <c r="AC3" s="31" t="inlineStr">
        <is>
          <t>Additional</t>
        </is>
      </c>
      <c r="AD3" s="31" t="inlineStr">
        <is>
          <t>Required</t>
        </is>
      </c>
      <c r="AE3" s="31" t="inlineStr">
        <is>
          <t>Required</t>
        </is>
      </c>
      <c r="AF3" s="31" t="inlineStr">
        <is>
          <t>Required</t>
        </is>
      </c>
      <c r="AG3" s="31" t="inlineStr">
        <is>
          <t>Required</t>
        </is>
      </c>
      <c r="AH3" s="31" t="inlineStr">
        <is>
          <t>Required</t>
        </is>
      </c>
      <c r="AI3" s="31" t="inlineStr">
        <is>
          <t>Conditional</t>
        </is>
      </c>
      <c r="AJ3" s="31" t="inlineStr">
        <is>
          <t>Conditional</t>
        </is>
      </c>
      <c r="AK3" s="31" t="inlineStr">
        <is>
          <t>Required</t>
        </is>
      </c>
      <c r="AL3" s="31" t="inlineStr">
        <is>
          <t>Required</t>
        </is>
      </c>
      <c r="AM3" s="31" t="inlineStr">
        <is>
          <t>Additional</t>
        </is>
      </c>
      <c r="AN3" s="31" t="inlineStr">
        <is>
          <t>Additional</t>
        </is>
      </c>
      <c r="AO3" s="31" t="inlineStr">
        <is>
          <t>Additional</t>
        </is>
      </c>
      <c r="AP3" s="31" t="inlineStr">
        <is>
          <t>Additional</t>
        </is>
      </c>
      <c r="AQ3" s="31" t="inlineStr">
        <is>
          <t>Additional</t>
        </is>
      </c>
      <c r="AR3" s="31" t="inlineStr">
        <is>
          <t>Conditional</t>
        </is>
      </c>
      <c r="AS3" s="31" t="inlineStr">
        <is>
          <t>Conditional</t>
        </is>
      </c>
      <c r="AT3" s="31" t="inlineStr">
        <is>
          <t>Conditional</t>
        </is>
      </c>
      <c r="AU3" s="31" t="inlineStr">
        <is>
          <t>Conditional</t>
        </is>
      </c>
      <c r="AV3" s="31" t="inlineStr">
        <is>
          <t>Conditional</t>
        </is>
      </c>
      <c r="AW3" s="31" t="inlineStr">
        <is>
          <t>Conditional</t>
        </is>
      </c>
      <c r="AX3" s="31" t="inlineStr">
        <is>
          <t>Conditional</t>
        </is>
      </c>
      <c r="AY3" s="31" t="inlineStr">
        <is>
          <t>Conditional</t>
        </is>
      </c>
      <c r="AZ3" s="31" t="inlineStr">
        <is>
          <t>Conditional</t>
        </is>
      </c>
      <c r="BA3" s="31" t="inlineStr">
        <is>
          <t>Conditional</t>
        </is>
      </c>
      <c r="BB3" s="31" t="inlineStr">
        <is>
          <t>Conditional</t>
        </is>
      </c>
      <c r="BC3" s="31" t="inlineStr">
        <is>
          <t>Conditional</t>
        </is>
      </c>
      <c r="BD3" s="31" t="inlineStr">
        <is>
          <t>Conditional</t>
        </is>
      </c>
      <c r="BE3" s="31" t="inlineStr">
        <is>
          <t>Conditional</t>
        </is>
      </c>
      <c r="BF3" s="31" t="inlineStr">
        <is>
          <t>Conditional</t>
        </is>
      </c>
      <c r="BG3" s="31" t="inlineStr">
        <is>
          <t>Required</t>
        </is>
      </c>
      <c r="BH3" s="31" t="inlineStr">
        <is>
          <t>Recommended</t>
        </is>
      </c>
      <c r="BI3" s="31" t="inlineStr">
        <is>
          <t>Required</t>
        </is>
      </c>
      <c r="BJ3" s="31" t="inlineStr">
        <is>
          <t>Required</t>
        </is>
      </c>
      <c r="BK3" s="31" t="inlineStr">
        <is>
          <t>Required</t>
        </is>
      </c>
      <c r="BL3" s="31" t="inlineStr">
        <is>
          <t>Recommended</t>
        </is>
      </c>
      <c r="BM3" s="31" t="inlineStr">
        <is>
          <t>Recommended</t>
        </is>
      </c>
      <c r="BN3" s="31" t="inlineStr">
        <is>
          <t>Recommended</t>
        </is>
      </c>
      <c r="BO3" s="31" t="inlineStr">
        <is>
          <t>Recommended</t>
        </is>
      </c>
      <c r="BP3" s="31" t="inlineStr">
        <is>
          <t>Required</t>
        </is>
      </c>
      <c r="BQ3" s="31" t="inlineStr">
        <is>
          <t>Required</t>
        </is>
      </c>
      <c r="BR3" s="31" t="inlineStr">
        <is>
          <t>Recommended</t>
        </is>
      </c>
      <c r="BS3" s="31" t="inlineStr">
        <is>
          <t>Recommended</t>
        </is>
      </c>
      <c r="BT3" s="31" t="inlineStr">
        <is>
          <t>Recommended</t>
        </is>
      </c>
      <c r="BU3" s="31" t="inlineStr">
        <is>
          <t>Recommended</t>
        </is>
      </c>
      <c r="BV3" s="31" t="inlineStr">
        <is>
          <t>Recommended</t>
        </is>
      </c>
      <c r="BW3" s="31" t="inlineStr">
        <is>
          <t>Recommended</t>
        </is>
      </c>
      <c r="BX3" s="31" t="inlineStr">
        <is>
          <t>Recommended</t>
        </is>
      </c>
      <c r="BY3" s="31" t="inlineStr">
        <is>
          <t>Recommended</t>
        </is>
      </c>
      <c r="BZ3" s="31" t="inlineStr">
        <is>
          <t>Recommended</t>
        </is>
      </c>
      <c r="CA3" s="31" t="inlineStr">
        <is>
          <t>Required</t>
        </is>
      </c>
      <c r="CB3" s="31" t="inlineStr">
        <is>
          <t>Required</t>
        </is>
      </c>
      <c r="CC3" s="31" t="inlineStr">
        <is>
          <t>Required</t>
        </is>
      </c>
      <c r="CD3" s="31" t="inlineStr">
        <is>
          <t>Recommended</t>
        </is>
      </c>
      <c r="CE3" s="31" t="inlineStr">
        <is>
          <t>Recommended</t>
        </is>
      </c>
      <c r="CF3" s="31" t="inlineStr">
        <is>
          <t>Required</t>
        </is>
      </c>
      <c r="CG3" s="31" t="inlineStr">
        <is>
          <t>Additional</t>
        </is>
      </c>
      <c r="CH3" s="31" t="inlineStr">
        <is>
          <t>Recommended</t>
        </is>
      </c>
      <c r="CI3" s="31" t="inlineStr">
        <is>
          <t>Recommended</t>
        </is>
      </c>
      <c r="CJ3" s="31" t="inlineStr">
        <is>
          <t>Recommended</t>
        </is>
      </c>
      <c r="CK3" s="31" t="inlineStr">
        <is>
          <t>Required</t>
        </is>
      </c>
      <c r="CL3" s="31" t="inlineStr">
        <is>
          <t>Required</t>
        </is>
      </c>
      <c r="CM3" s="31" t="inlineStr">
        <is>
          <t>Required</t>
        </is>
      </c>
      <c r="CN3" s="31" t="inlineStr">
        <is>
          <t>Required</t>
        </is>
      </c>
      <c r="CO3" s="31" t="inlineStr">
        <is>
          <t>Additional</t>
        </is>
      </c>
      <c r="CP3" s="31" t="inlineStr">
        <is>
          <t>Additional</t>
        </is>
      </c>
      <c r="CQ3" s="31" t="inlineStr">
        <is>
          <t>Additional</t>
        </is>
      </c>
      <c r="CR3" s="31" t="inlineStr">
        <is>
          <t>Additional</t>
        </is>
      </c>
      <c r="CS3" s="31" t="inlineStr">
        <is>
          <t>Recommended</t>
        </is>
      </c>
      <c r="CT3" s="31" t="inlineStr">
        <is>
          <t>Recommended</t>
        </is>
      </c>
      <c r="CU3" s="31" t="inlineStr">
        <is>
          <t>Required</t>
        </is>
      </c>
      <c r="CV3" s="31" t="inlineStr">
        <is>
          <t>Recommended</t>
        </is>
      </c>
      <c r="CW3" s="31" t="inlineStr">
        <is>
          <t>Recommended</t>
        </is>
      </c>
      <c r="CX3" s="31" t="inlineStr">
        <is>
          <t>Recommended</t>
        </is>
      </c>
      <c r="CY3" s="31" t="inlineStr">
        <is>
          <t>Required</t>
        </is>
      </c>
      <c r="CZ3" s="31" t="inlineStr">
        <is>
          <t>Recommended</t>
        </is>
      </c>
      <c r="DA3" s="31" t="inlineStr">
        <is>
          <t>Required</t>
        </is>
      </c>
      <c r="DB3" s="31" t="inlineStr">
        <is>
          <t>Required</t>
        </is>
      </c>
      <c r="DC3" s="31" t="inlineStr">
        <is>
          <t>Recommended</t>
        </is>
      </c>
      <c r="DD3" s="31" t="inlineStr">
        <is>
          <t>Recommended</t>
        </is>
      </c>
      <c r="DE3" s="31" t="inlineStr">
        <is>
          <t>Recommended</t>
        </is>
      </c>
      <c r="DF3" s="31" t="inlineStr">
        <is>
          <t>Required</t>
        </is>
      </c>
      <c r="DG3" s="31" t="inlineStr">
        <is>
          <t>Required</t>
        </is>
      </c>
      <c r="DH3" s="31" t="inlineStr">
        <is>
          <t>Recommended</t>
        </is>
      </c>
      <c r="DI3" s="31" t="inlineStr">
        <is>
          <t>Recommended</t>
        </is>
      </c>
      <c r="DJ3" s="31" t="inlineStr">
        <is>
          <t>Required</t>
        </is>
      </c>
      <c r="DK3" s="31" t="inlineStr">
        <is>
          <t>Required</t>
        </is>
      </c>
      <c r="DL3" s="31" t="inlineStr">
        <is>
          <t>Required</t>
        </is>
      </c>
      <c r="DM3" s="31" t="inlineStr">
        <is>
          <t>Required</t>
        </is>
      </c>
      <c r="DN3" s="31" t="inlineStr">
        <is>
          <t>Required</t>
        </is>
      </c>
      <c r="DO3" s="31" t="inlineStr">
        <is>
          <t>Required</t>
        </is>
      </c>
      <c r="DP3" s="31" t="inlineStr">
        <is>
          <t>Required</t>
        </is>
      </c>
      <c r="DQ3" s="31" t="inlineStr">
        <is>
          <t>Required</t>
        </is>
      </c>
      <c r="DR3" s="31" t="inlineStr">
        <is>
          <t>Recommended</t>
        </is>
      </c>
      <c r="DS3" s="31" t="inlineStr">
        <is>
          <t>Recommended</t>
        </is>
      </c>
      <c r="DT3" s="31" t="inlineStr">
        <is>
          <t>Recommended</t>
        </is>
      </c>
      <c r="DU3" s="31" t="inlineStr">
        <is>
          <t>Recommended</t>
        </is>
      </c>
      <c r="DV3" s="31" t="inlineStr">
        <is>
          <t>Recommended</t>
        </is>
      </c>
      <c r="DW3" s="31" t="inlineStr">
        <is>
          <t>Recommended</t>
        </is>
      </c>
      <c r="DX3" s="31" t="inlineStr">
        <is>
          <t>Required</t>
        </is>
      </c>
      <c r="DY3" s="31" t="inlineStr">
        <is>
          <t>Required</t>
        </is>
      </c>
      <c r="DZ3" s="31" t="inlineStr">
        <is>
          <t>Required</t>
        </is>
      </c>
      <c r="EA3" s="31" t="inlineStr">
        <is>
          <t>Required</t>
        </is>
      </c>
      <c r="EB3" s="31" t="inlineStr">
        <is>
          <t>Recommended</t>
        </is>
      </c>
      <c r="EC3" s="31" t="inlineStr">
        <is>
          <t>Recommended</t>
        </is>
      </c>
      <c r="ED3" s="31" t="inlineStr">
        <is>
          <t>Recommended</t>
        </is>
      </c>
      <c r="EE3" s="31" t="inlineStr">
        <is>
          <t>Required</t>
        </is>
      </c>
      <c r="EF3" s="31" t="inlineStr">
        <is>
          <t>Required</t>
        </is>
      </c>
      <c r="EG3" s="31" t="inlineStr">
        <is>
          <t>Required</t>
        </is>
      </c>
      <c r="EH3" s="31" t="inlineStr">
        <is>
          <t>Required</t>
        </is>
      </c>
      <c r="EI3" s="31" t="inlineStr">
        <is>
          <t>Required</t>
        </is>
      </c>
      <c r="EJ3" s="31" t="inlineStr">
        <is>
          <t>Recommended</t>
        </is>
      </c>
      <c r="EK3" s="31" t="inlineStr">
        <is>
          <t>Required</t>
        </is>
      </c>
      <c r="EL3" s="31" t="inlineStr">
        <is>
          <t>Required</t>
        </is>
      </c>
      <c r="EM3" s="31" t="inlineStr">
        <is>
          <t>Required</t>
        </is>
      </c>
      <c r="EN3" s="31" t="inlineStr">
        <is>
          <t>Required</t>
        </is>
      </c>
      <c r="EO3" s="31" t="inlineStr">
        <is>
          <t>Recommended</t>
        </is>
      </c>
      <c r="EP3" s="31" t="inlineStr">
        <is>
          <t>Required</t>
        </is>
      </c>
      <c r="EQ3" s="31" t="inlineStr">
        <is>
          <t>Recommended</t>
        </is>
      </c>
      <c r="ER3" s="31" t="inlineStr">
        <is>
          <t>Recommended</t>
        </is>
      </c>
      <c r="ES3" s="31" t="inlineStr">
        <is>
          <t>Recommended</t>
        </is>
      </c>
      <c r="ET3" s="31"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2" t="inlineStr">
        <is>
          <t>Battery or Batteries Included</t>
        </is>
      </c>
      <c r="CL4" s="33" t="inlineStr">
        <is>
          <t>Battery Composition</t>
        </is>
      </c>
      <c r="CM4" s="33" t="inlineStr">
        <is>
          <t>Battery Type</t>
        </is>
      </c>
      <c r="CN4" s="33" t="inlineStr">
        <is>
          <t>Number of Batteries</t>
        </is>
      </c>
      <c r="CO4" s="33" t="inlineStr">
        <is>
          <t>Battery Shipment</t>
        </is>
      </c>
      <c r="CP4" s="33" t="inlineStr">
        <is>
          <t>Lithium Content</t>
        </is>
      </c>
      <c r="CQ4" s="33" t="inlineStr">
        <is>
          <t>Watt Rating of Cells / Battery</t>
        </is>
      </c>
      <c r="CR4" s="33"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2" t="inlineStr">
        <is>
          <t>Composite Wood Product (CWP)</t>
        </is>
      </c>
      <c r="DL4" s="33" t="inlineStr">
        <is>
          <t>CARB Phase II Compliant (formaldehyde emissions)</t>
        </is>
      </c>
      <c r="DM4" s="33" t="inlineStr">
        <is>
          <t>TSCA Title VI Compliant (formaldehyde emissions)</t>
        </is>
      </c>
      <c r="DN4" s="33" t="inlineStr">
        <is>
          <t>CANFER Compliant</t>
        </is>
      </c>
      <c r="DO4" s="19" t="inlineStr">
        <is>
          <t>Uniform Packaging and Labeling Regulations (UPLR) Compliant</t>
        </is>
      </c>
      <c r="DP4" s="32" t="inlineStr">
        <is>
          <t>Canada Product Restriction</t>
        </is>
      </c>
      <c r="DQ4" s="33" t="inlineStr">
        <is>
          <t>Reason for Restriction</t>
        </is>
      </c>
      <c r="DR4" s="19" t="inlineStr">
        <is>
          <t>UL 1678 Listed</t>
        </is>
      </c>
      <c r="DS4" s="32" t="inlineStr">
        <is>
          <t>Hazardous Material / Dangerous Goods</t>
        </is>
      </c>
      <c r="DT4" s="33" t="inlineStr">
        <is>
          <t>UN or ID number</t>
        </is>
      </c>
      <c r="DU4" s="33" t="inlineStr">
        <is>
          <t>Hazard Class(es)</t>
        </is>
      </c>
      <c r="DV4" s="33" t="inlineStr">
        <is>
          <t>Packing Group</t>
        </is>
      </c>
      <c r="DW4" s="33" t="inlineStr">
        <is>
          <t>Hazardous Material Weight</t>
        </is>
      </c>
      <c r="DX4" s="19" t="inlineStr">
        <is>
          <t>Energy Efficiency Regulations Compliant</t>
        </is>
      </c>
      <c r="DY4" s="32" t="inlineStr">
        <is>
          <t>Safety Listing(s)</t>
        </is>
      </c>
      <c r="DZ4" s="33"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2" t="inlineStr">
        <is>
          <t>Commercial Warranty</t>
        </is>
      </c>
      <c r="EQ4" s="33" t="inlineStr">
        <is>
          <t>Commercial Warranty Length</t>
        </is>
      </c>
      <c r="ER4" s="19" t="inlineStr">
        <is>
          <t>Product Warranty</t>
        </is>
      </c>
      <c r="ES4" s="19" t="inlineStr">
        <is>
          <t>Full or Limited Warranty</t>
        </is>
      </c>
      <c r="ET4" s="19" t="inlineStr">
        <is>
          <t>Warranty Length</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4" t="inlineStr">
        <is>
          <t>Enter your product's brand (may be the same as the product's manufacturer). New brands must be created in the brand management tool in Partner Home before they can be selected here.</t>
        </is>
      </c>
      <c r="E5" s="34" t="inlineStr">
        <is>
          <t>Must be less than 64 characters and must be a unique value (products cannot be added if they have the same part number as something you already have in your catalog). This is the part number provided by the manufacturer.</t>
        </is>
      </c>
      <c r="F5" s="34" t="inlineStr">
        <is>
          <t>Must follow the standard UPC format and must be a unique value (products cannot be added if they have the same UPC as something you already have in your catalog).</t>
        </is>
      </c>
      <c r="G5" s="34" t="inlineStr">
        <is>
          <t>Please do not use abbreviations or exceed the 255 character limit. Wayfair may adjust the provided name based on marketing standards per class.</t>
        </is>
      </c>
      <c r="H5" s="34"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4" t="inlineStr">
        <is>
          <t>Enter the URL for the specific manufacturer product page of your product.</t>
        </is>
      </c>
      <c r="J5" s="34" t="inlineStr">
        <is>
          <t>Your supplier profile preference for currency is used to determine the currency of the base (wholesale) cost provided.</t>
        </is>
      </c>
      <c r="K5" s="34" t="inlineStr">
        <is>
          <t>The region selected for this sheet is used to determine the currency of the MAP provided. This may differ from the currency of your base cost.</t>
        </is>
      </c>
      <c r="L5" s="34" t="inlineStr">
        <is>
          <t>The region selected for this sheet is used to determine the currency of the MSRP provided. This may differ from the currency of your base cost.</t>
        </is>
      </c>
      <c r="M5" s="34" t="inlineStr">
        <is>
          <t>Please do not use special symbols (trademark, copyright, etc.) or extra lines/spacing. This should be a short, single paragraph product description in complete sentences highlighting details about key product information.</t>
        </is>
      </c>
      <c r="N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4"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4" t="inlineStr">
        <is>
          <t>The minimum count of items a customer must choose to purchase the product.</t>
        </is>
      </c>
      <c r="T5" s="34" t="inlineStr">
        <is>
          <t>This represents how many items the customer must buy in increments of, or in addition to. For example, a multiplier of 2 would mean a custom must buy 1 quantity, 3 quantity, 5 quantity, or some other multiple of 2.</t>
        </is>
      </c>
      <c r="U5" s="34"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4" t="inlineStr">
        <is>
          <t>[Pounds] What is the total weight of this product once assembled? Please enter just the number (i.e. 45.5) without a unit of measurement.</t>
        </is>
      </c>
      <c r="W5" s="34" t="inlineStr">
        <is>
          <t>Enter small parcel or LTL to indicate how the product can ship based on size and weight.</t>
        </is>
      </c>
      <c r="X5" s="34" t="inlineStr">
        <is>
          <t>Each product falls into 1 of 18 classes determined by a product's 'transportability' and are crucial for calculating shipping cost. The field is required when ship type is LTL.</t>
        </is>
      </c>
      <c r="Y5" s="34" t="inlineStr">
        <is>
          <t>[Hours] This is the length of time from receipt of PO to shipment from the warehouse.</t>
        </is>
      </c>
      <c r="Z5" s="34" t="inlineStr">
        <is>
          <t>[Hours] This is length of time from receipt of a replacement PO to shipment from the warehouse</t>
        </is>
      </c>
      <c r="AA5" s="34" t="inlineStr">
        <is>
          <t>5 to 7 digit number in length (depending on any sub classification) that will identify what is shipping in the box</t>
        </is>
      </c>
      <c r="AB5" s="34" t="inlineStr">
        <is>
          <t>Also known as 'knocked down'. Select 'Yes' if this product ships disassembled in a flat pack box.</t>
        </is>
      </c>
      <c r="AC5" s="34" t="inlineStr">
        <is>
          <t>Select 'Yes' if this product ships on a pallet.</t>
        </is>
      </c>
      <c r="AD5" s="34" t="inlineStr">
        <is>
          <t>[Pounds] Enter in the shipping weight (i.e. 45.5) of the packaging used for the product.  If the product ships in more than one box, this measurement is per box.</t>
        </is>
      </c>
      <c r="AE5" s="34" t="inlineStr">
        <is>
          <t>[Inches] Enter in the shipping height (i.e. 45.5) of the packaging used for the product.  If the product ships in more than one box, this measurement is per box.</t>
        </is>
      </c>
      <c r="AF5" s="34" t="inlineStr">
        <is>
          <t>[Inches] Enter in the shipping width (i.e. 45.5) of the packaging used for the product.  If the product ships in more than one box, this measurement is per box.</t>
        </is>
      </c>
      <c r="AG5" s="34" t="inlineStr">
        <is>
          <t>[Inches] Enter in the shipping depth (i.e. 45.5) of the packaging used for the product.  If the product ships in more than one box, this measurement is per box.</t>
        </is>
      </c>
      <c r="AH5" s="34" t="inlineStr">
        <is>
          <t>If the product requires a warning for Proposition 65 compliance in California, answer 'Yes' and indicate which chemicals and toxicities are applicable.</t>
        </is>
      </c>
      <c r="AI5" s="34" t="inlineStr">
        <is>
          <t>Select the chemical that requires the Prop65 warning.</t>
        </is>
      </c>
      <c r="AJ5" s="34" t="inlineStr">
        <is>
          <t>Select the toxicity that can result from the selected chemical.</t>
        </is>
      </c>
      <c r="AK5" s="34" t="inlineStr">
        <is>
          <t>Provide only a single country of manufacture for each product.</t>
        </is>
      </c>
      <c r="AL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4" t="inlineStr">
        <is>
          <t>Provide the video’s file name with extension for separate uploads or a direct public URL. Do not exceed 10 videos per product.</t>
        </is>
      </c>
      <c r="AR5" s="34" t="inlineStr">
        <is>
          <t>Provide the document’s file name with extension for separate uploads or a direct public URL. Do not exceed 10 documents per product.</t>
        </is>
      </c>
      <c r="AS5" s="34" t="inlineStr">
        <is>
          <t>Select one or more values from the provided list that best describe the document’s purpose. This classification helps customers easily find information like “Installation &amp; Assembly” guides, “Warranty Information,” or “Specifications.</t>
        </is>
      </c>
      <c r="AT5" s="34" t="inlineStr">
        <is>
          <t>If the document serves as a legal notice or certification (e.g., “ASTM F2057 - 19,” “ANSI A117.1 Compliant”), select the specific type(s) from the provided list. This is used for compliance and to display certifications to customers.</t>
        </is>
      </c>
      <c r="AU5" s="34" t="inlineStr">
        <is>
          <t>Select the country or region where this document is legally applicable. This is crucial for compliance-related documents that may differ across locations.</t>
        </is>
      </c>
      <c r="AV5" s="34" t="inlineStr">
        <is>
          <t>Select the language in which the document is written.</t>
        </is>
      </c>
      <c r="AW5" s="34" t="inlineStr">
        <is>
          <t>Provide the document’s file name with extension for separate uploads or a direct public URL. Do not exceed 10 documents per product.</t>
        </is>
      </c>
      <c r="AX5" s="34" t="inlineStr">
        <is>
          <t>Select one or more values from the provided list that best describe the document’s purpose. This classification helps customers easily find information like “Installation &amp; Assembly” guides, “Warranty Information,” or “Specifications.</t>
        </is>
      </c>
      <c r="AY5" s="34" t="inlineStr">
        <is>
          <t>If the document serves as a legal notice or certification (e.g., “ASTM F2057 - 19,” “ANSI A117.1 Compliant”), select the specific type(s) from the provided list. This is used for compliance and to display certifications to customers.</t>
        </is>
      </c>
      <c r="AZ5" s="34" t="inlineStr">
        <is>
          <t>Select the country or region where this document is legally applicable. This is crucial for compliance-related documents that may differ across locations.</t>
        </is>
      </c>
      <c r="BA5" s="34" t="inlineStr">
        <is>
          <t>Select the language in which the document is written.</t>
        </is>
      </c>
      <c r="BB5" s="34" t="inlineStr">
        <is>
          <t>Provide the document’s file name with extension for separate uploads or a direct public URL. Do not exceed 10 documents per product.</t>
        </is>
      </c>
      <c r="BC5" s="34" t="inlineStr">
        <is>
          <t>Select one or more values from the provided list that best describe the document’s purpose. This classification helps customers easily find information like “Installation &amp; Assembly” guides, “Warranty Information,” or “Specifications.</t>
        </is>
      </c>
      <c r="BD5" s="34" t="inlineStr">
        <is>
          <t>If the document serves as a legal notice or certification (e.g., “ASTM F2057 - 19,” “ANSI A117.1 Compliant”), select the specific type(s) from the provided list. This is used for compliance and to display certifications to customers.</t>
        </is>
      </c>
      <c r="BE5" s="34" t="inlineStr">
        <is>
          <t>Select the country or region where this document is legally applicable. This is crucial for compliance-related documents that may differ across locations.</t>
        </is>
      </c>
      <c r="BF5" s="34" t="inlineStr">
        <is>
          <t>Select the language in which the document is written.</t>
        </is>
      </c>
      <c r="BG5" s="34" t="inlineStr">
        <is>
          <t>What type of product is this?</t>
        </is>
      </c>
      <c r="BH5" s="34" t="inlineStr">
        <is>
          <t>Does this product have a pier / bookcase included?</t>
        </is>
      </c>
      <c r="BI5" s="34" t="inlineStr">
        <is>
          <t>Does this product have any drawers?</t>
        </is>
      </c>
      <c r="BJ5" s="34" t="inlineStr">
        <is>
          <t>How many drawers are included in this product?</t>
        </is>
      </c>
      <c r="BK5" s="34" t="inlineStr">
        <is>
          <t>Does this product include cabinets?</t>
        </is>
      </c>
      <c r="BL5" s="34" t="inlineStr">
        <is>
          <t>Does this product include shelves?</t>
        </is>
      </c>
      <c r="BM5" s="34" t="inlineStr">
        <is>
          <t>Does this product have an open space with either another shelf above it or the top surface of the product above it? We do not define the top surface of the Accent Chest/Cabinet as an exterior shelf.</t>
        </is>
      </c>
      <c r="BN5" s="34" t="inlineStr">
        <is>
          <t>Does this product have interior shelves included?</t>
        </is>
      </c>
      <c r="BO5" s="34" t="inlineStr">
        <is>
          <t>Does this product have a bridge included?</t>
        </is>
      </c>
      <c r="BP5" s="34" t="inlineStr">
        <is>
          <t>What is the design of the piece of furniture?</t>
        </is>
      </c>
      <c r="BQ5" s="34" t="inlineStr">
        <is>
          <t>What material is the product made of?</t>
        </is>
      </c>
      <c r="BR5" s="34" t="inlineStr">
        <is>
          <t>What specific type of distressing does this product have? Select all that apply.</t>
        </is>
      </c>
      <c r="BS5" s="34" t="inlineStr">
        <is>
          <t>Which of the following types of natural variation and texture does the product have? Multiple can be selected if applicable. If the product does NOT have natural variation, please select No Natural Variation.</t>
        </is>
      </c>
      <c r="BT5" s="34" t="inlineStr">
        <is>
          <t>Does this product have a shiny and sheer gloss finish over the normal painted finish?</t>
        </is>
      </c>
      <c r="BU5" s="34" t="inlineStr">
        <is>
          <t>Is the surface of the product mirrored? Please do not select “yes” if the product only features a mirror. This question refers to the surface material of the product, and if it is reflective.</t>
        </is>
      </c>
      <c r="BV5" s="34" t="inlineStr">
        <is>
          <t>Does this product have a sound bar shelf included?</t>
        </is>
      </c>
      <c r="BW5" s="34" t="inlineStr">
        <is>
          <t>Does this product have adjustable shelves?</t>
        </is>
      </c>
      <c r="BX5" s="34" t="inlineStr">
        <is>
          <t>Does this product have media storage included?</t>
        </is>
      </c>
      <c r="BY5" s="34" t="inlineStr">
        <is>
          <t>Does this product have any built-in cable or wire management, such as a hole specifically for wires (a grommet) or a tray where wires can be stored?</t>
        </is>
      </c>
      <c r="BZ5" s="34" t="inlineStr">
        <is>
          <t>Does this product have wheels or casters?</t>
        </is>
      </c>
      <c r="CA5" s="34" t="inlineStr">
        <is>
          <t>Does this product have a fireplace included?</t>
        </is>
      </c>
      <c r="CB5" s="34"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4" t="inlineStr">
        <is>
          <t>Does this product include a device to prevent the product from tipping over? Tipover restraint devices (TRDs) include brackets, straps, or other specialized hardware</t>
        </is>
      </c>
      <c r="CD5" s="34" t="inlineStr">
        <is>
          <t>Does this product have an integrated tv mount included?</t>
        </is>
      </c>
      <c r="CE5" s="34" t="inlineStr">
        <is>
          <t>Is the height of this product adjustable?</t>
        </is>
      </c>
      <c r="CF5" s="34"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4"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4" t="inlineStr">
        <is>
          <t>Which technique was used to join together the main pieces of wood to construct the overall product?</t>
        </is>
      </c>
      <c r="CI5" s="34" t="inlineStr">
        <is>
          <t>Is the wood kiln-dried? If product is not made of wood, please select "does not apply."</t>
        </is>
      </c>
      <c r="CJ5" s="34" t="inlineStr">
        <is>
          <t>What type of wood was used to construct this product? This describes the actual materials used, not the product's appearance.</t>
        </is>
      </c>
      <c r="CK5" s="34" t="inlineStr">
        <is>
          <t>Is the product a battery or does the product include batteries?</t>
        </is>
      </c>
      <c r="CL5" s="34" t="inlineStr">
        <is>
          <t>What is the composition of the batteries included with product?</t>
        </is>
      </c>
      <c r="CM5" s="34" t="inlineStr">
        <is>
          <t>What type is the battery? Button Cell, Cell, Battery?</t>
        </is>
      </c>
      <c r="CN5" s="34" t="inlineStr">
        <is>
          <t>Confirm number of batteries in this product</t>
        </is>
      </c>
      <c r="CO5" s="34" t="inlineStr">
        <is>
          <t>Do the cells/batteries ship stand alone/packed with the equipment/ contained (installed) in the equipment?</t>
        </is>
      </c>
      <c r="CP5" s="34"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4"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4" t="inlineStr">
        <is>
          <t>What is the net weight of the cells or batteries that ship with the product in grams or kilograms.</t>
        </is>
      </c>
      <c r="CS5" s="34" t="inlineStr">
        <is>
          <t>Can the amount of heat be adjusted?</t>
        </is>
      </c>
      <c r="CT5" s="34" t="inlineStr">
        <is>
          <t>Can the brightness, size, or color of the flame be adjusted?</t>
        </is>
      </c>
      <c r="CU5" s="34" t="inlineStr">
        <is>
          <t>[Pounds] What is the maximum weight capacity of the product? Please enter just the number (i.e., 45.5).</t>
        </is>
      </c>
      <c r="CV5" s="34" t="inlineStr">
        <is>
          <t>What is the appropriate way to clean and/or care for this product? Please select as many answers as applicable.</t>
        </is>
      </c>
      <c r="CW5" s="34" t="inlineStr">
        <is>
          <t>Is this product unfinished (no paint, stain, or varnish)?</t>
        </is>
      </c>
      <c r="CX5" s="34" t="inlineStr">
        <is>
          <t>What material are the shelves made of?</t>
        </is>
      </c>
      <c r="CY5" s="34" t="inlineStr">
        <is>
          <t>What is the color or finish of the product? If your color/finish name is not listed, please type in the value.</t>
        </is>
      </c>
      <c r="CZ5" s="34" t="inlineStr">
        <is>
          <t>Please select which type of glide the drawer features and/or how far it can extend.</t>
        </is>
      </c>
      <c r="DA5" s="34" t="inlineStr">
        <is>
          <t>What type of vent does this product have?</t>
        </is>
      </c>
      <c r="DB5" s="34" t="inlineStr">
        <is>
          <t>What is the source of fuel needed in order for this product to function?</t>
        </is>
      </c>
      <c r="DC5" s="34" t="inlineStr">
        <is>
          <t>Please select the design of the product.</t>
        </is>
      </c>
      <c r="DD5" s="34" t="inlineStr">
        <is>
          <t>Is there a a raised pattern of parallel lines on a surface of this product?</t>
        </is>
      </c>
      <c r="DE5" s="34" t="inlineStr">
        <is>
          <t>Is there a a concave pattern of parallel lines on a surface of this product?</t>
        </is>
      </c>
      <c r="DF5" s="34" t="inlineStr">
        <is>
          <t>What pieces are included with this product?</t>
        </is>
      </c>
      <c r="DG5" s="34" t="inlineStr">
        <is>
          <t>How many cabinets does this product have?</t>
        </is>
      </c>
      <c r="DH5" s="34" t="inlineStr">
        <is>
          <t>Do any drawers feature safety stops (intended to keep the drawers from pulling all the way out)?</t>
        </is>
      </c>
      <c r="DI5" s="34" t="inlineStr">
        <is>
          <t>What type of Fireplace is included?</t>
        </is>
      </c>
      <c r="DJ5" s="34" t="inlineStr">
        <is>
          <t>Does this product have a General Certificate of Conformity (GCC), as required by the U.S. CPSC for certain product classes?</t>
        </is>
      </c>
      <c r="DK5" s="34"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4" t="inlineStr">
        <is>
          <t>Is this product certified compliant for CARB ATCM Phase II formaldehyde emission standards from Composite Wood Products [California Air Resources Board (CARB)- Airborne Toxic Control Measures (ATCM) Phase II]</t>
        </is>
      </c>
      <c r="DM5" s="34" t="inlineStr">
        <is>
          <t>Is this product certified TSCA Title VI compliant regarding formaldehyde emissions from Composite Wood Products [Environmental Protection Agency (EPA)-Toxic Substance Control Act (TSCA)-Title VI]</t>
        </is>
      </c>
      <c r="DN5" s="34"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4"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4"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4" t="inlineStr">
        <is>
          <t>Please select the reason this product can not ship to Canada?  Please select from the options or write in a reason if not selectable</t>
        </is>
      </c>
      <c r="DR5" s="34" t="inlineStr">
        <is>
          <t>Is this product UL 1678 Listed? This means that the international standards testing company UL (Underwriters' Laboratories) has tested this product and found it to be in compliance with Category 1678 safety standards.</t>
        </is>
      </c>
      <c r="DS5" s="34"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4"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4"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4"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4"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4"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4" t="inlineStr">
        <is>
          <t>Which of the following certification or verification marks does your product have? If the item is not certified/verified with any safety listing, please select Does Not Apply.</t>
        </is>
      </c>
      <c r="DZ5" s="34"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4"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4" t="inlineStr">
        <is>
          <t>Is the packaging for this SKU ISTA Certified (1A, 3A, 6A)?</t>
        </is>
      </c>
      <c r="EC5" s="34"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4"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4" t="inlineStr">
        <is>
          <t>[Inches] What is the overall width of the TV Stand (side to side)? Please enter just the number (i.e. 45.5). Please DO NOT duplicate this tag - any additional information can be stored in Shelf Dimensions, Cabinet Dimensions, or as a bullet.</t>
        </is>
      </c>
      <c r="EF5" s="34" t="inlineStr">
        <is>
          <t>[Inches] What is the overall depth of the TV Stand (front to back)? Please enter just the number (i.e. 45.5).</t>
        </is>
      </c>
      <c r="EG5" s="34" t="inlineStr">
        <is>
          <t>[Inches] What is the overall height of the Entertainment Center (top to bottom)? Enter just the value (i.e., 45.5).</t>
        </is>
      </c>
      <c r="EH5" s="34" t="inlineStr">
        <is>
          <t>[Inches] What is the overall width of the Entertainment Center (side to side)? Please enter just the number (i.e. 45.5). Please DO NOT duplicate this tag - any additional information can be stored in Shelf Dimensions, Cabinet Dimensions, or as a bullet.</t>
        </is>
      </c>
      <c r="EI5" s="34" t="inlineStr">
        <is>
          <t>[Inches] What is the overall depth of the Entertainment Center (front to back)? Enter just the value (i.e., 45.5).</t>
        </is>
      </c>
      <c r="EJ5" s="34" t="inlineStr">
        <is>
          <t>[Pounds] What is the total weight of this product once assembled? If this product includes multiples of the same item, add weight of one individual unit (e.g. 1 Dining Chair in a set of 2). Please enter just the number (i.e. 45.5).</t>
        </is>
      </c>
      <c r="EK5" s="34"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4" t="inlineStr">
        <is>
          <t>[Inches] What is the overall height of the TV stand (top to bottom)? Enter just the value (i.e., 45.5).</t>
        </is>
      </c>
      <c r="EM5" s="34" t="inlineStr">
        <is>
          <t>Does the product require any form of assembly prior to use as intended?</t>
        </is>
      </c>
      <c r="EN5" s="34" t="inlineStr">
        <is>
          <t>What is the level of assembly required?</t>
        </is>
      </c>
      <c r="EO5" s="34" t="inlineStr">
        <is>
          <t>What additional tools will the customer need to set-up this product that are NOT included with purchase?</t>
        </is>
      </c>
      <c r="EP5" s="34" t="inlineStr">
        <is>
          <t>Does the manufacturer warranty cover the use of this product in a commercial environment?</t>
        </is>
      </c>
      <c r="EQ5" s="34"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4" t="inlineStr">
        <is>
          <t>Please indicate if there is a warranty on this product if it were to be used in a residential setting.</t>
        </is>
      </c>
      <c r="ES5" s="34" t="inlineStr">
        <is>
          <t>Please indicate if the warranty is Full or Limited.</t>
        </is>
      </c>
      <c r="ET5" s="34"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4" t="inlineStr">
        <is>
          <t>Text</t>
        </is>
      </c>
      <c r="C6" s="34" t="inlineStr">
        <is>
          <t>Text</t>
        </is>
      </c>
      <c r="D6" s="35" t="inlineStr">
        <is>
          <t>Select</t>
        </is>
      </c>
      <c r="E6" s="34" t="inlineStr">
        <is>
          <t>Text</t>
        </is>
      </c>
      <c r="F6" s="34" t="inlineStr">
        <is>
          <t>Text</t>
        </is>
      </c>
      <c r="G6" s="34" t="inlineStr">
        <is>
          <t>Text</t>
        </is>
      </c>
      <c r="H6" s="34" t="inlineStr">
        <is>
          <t>Text</t>
        </is>
      </c>
      <c r="I6" s="34" t="inlineStr">
        <is>
          <t>Text</t>
        </is>
      </c>
      <c r="J6" s="34" t="inlineStr">
        <is>
          <t>Number</t>
        </is>
      </c>
      <c r="K6" s="34" t="inlineStr">
        <is>
          <t>Number</t>
        </is>
      </c>
      <c r="L6" s="34" t="inlineStr">
        <is>
          <t>Number</t>
        </is>
      </c>
      <c r="M6" s="34" t="inlineStr">
        <is>
          <t>Text</t>
        </is>
      </c>
      <c r="N6" s="34" t="inlineStr">
        <is>
          <t>Text</t>
        </is>
      </c>
      <c r="O6" s="34" t="inlineStr">
        <is>
          <t>Text</t>
        </is>
      </c>
      <c r="P6" s="34" t="inlineStr">
        <is>
          <t>Text</t>
        </is>
      </c>
      <c r="Q6" s="34" t="inlineStr">
        <is>
          <t>Text</t>
        </is>
      </c>
      <c r="R6" s="34" t="inlineStr">
        <is>
          <t>Text</t>
        </is>
      </c>
      <c r="S6" s="34" t="inlineStr">
        <is>
          <t>Whole Number</t>
        </is>
      </c>
      <c r="T6" s="34" t="inlineStr">
        <is>
          <t>Whole Number</t>
        </is>
      </c>
      <c r="U6" s="34" t="inlineStr">
        <is>
          <t>Whole Number</t>
        </is>
      </c>
      <c r="V6" s="34" t="inlineStr">
        <is>
          <t>Number</t>
        </is>
      </c>
      <c r="W6" s="35" t="inlineStr">
        <is>
          <t>Select</t>
        </is>
      </c>
      <c r="X6" s="35" t="inlineStr">
        <is>
          <t>Select</t>
        </is>
      </c>
      <c r="Y6" s="35" t="inlineStr">
        <is>
          <t>Select</t>
        </is>
      </c>
      <c r="Z6" s="35" t="inlineStr">
        <is>
          <t>Select</t>
        </is>
      </c>
      <c r="AA6" s="34" t="inlineStr">
        <is>
          <t>Text</t>
        </is>
      </c>
      <c r="AB6" s="34" t="inlineStr">
        <is>
          <t>Yes or No</t>
        </is>
      </c>
      <c r="AC6" s="34" t="inlineStr">
        <is>
          <t>Yes or No</t>
        </is>
      </c>
      <c r="AD6" s="34" t="inlineStr">
        <is>
          <t>Number</t>
        </is>
      </c>
      <c r="AE6" s="34" t="inlineStr">
        <is>
          <t>Number</t>
        </is>
      </c>
      <c r="AF6" s="34" t="inlineStr">
        <is>
          <t>Number</t>
        </is>
      </c>
      <c r="AG6" s="34" t="inlineStr">
        <is>
          <t>Number</t>
        </is>
      </c>
      <c r="AH6" s="34" t="inlineStr">
        <is>
          <t>Yes or No</t>
        </is>
      </c>
      <c r="AI6" s="35" t="inlineStr">
        <is>
          <t>Select</t>
        </is>
      </c>
      <c r="AJ6" s="35" t="inlineStr">
        <is>
          <t>Please choose one or more from the following, using a semicolon (;) to separate each value: Cancer; Developmental</t>
        </is>
      </c>
      <c r="AK6" s="35" t="inlineStr">
        <is>
          <t>Select</t>
        </is>
      </c>
      <c r="AL6" s="34" t="inlineStr">
        <is>
          <t>Text</t>
        </is>
      </c>
      <c r="AM6" s="34" t="inlineStr">
        <is>
          <t>Text</t>
        </is>
      </c>
      <c r="AN6" s="34" t="inlineStr">
        <is>
          <t>Text</t>
        </is>
      </c>
      <c r="AO6" s="34" t="inlineStr">
        <is>
          <t>Text</t>
        </is>
      </c>
      <c r="AP6" s="34" t="inlineStr">
        <is>
          <t>Text</t>
        </is>
      </c>
      <c r="AQ6" s="34" t="inlineStr">
        <is>
          <t>Text</t>
        </is>
      </c>
      <c r="AR6" s="34" t="inlineStr">
        <is>
          <t>Text</t>
        </is>
      </c>
      <c r="AS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5" t="inlineStr">
        <is>
          <t>Select</t>
        </is>
      </c>
      <c r="AV6" s="35" t="inlineStr">
        <is>
          <t>Select</t>
        </is>
      </c>
      <c r="AW6" s="34" t="inlineStr">
        <is>
          <t>Text</t>
        </is>
      </c>
      <c r="AX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5" t="inlineStr">
        <is>
          <t>Select</t>
        </is>
      </c>
      <c r="BA6" s="35" t="inlineStr">
        <is>
          <t>Select</t>
        </is>
      </c>
      <c r="BB6" s="34" t="inlineStr">
        <is>
          <t>Text</t>
        </is>
      </c>
      <c r="BC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5" t="inlineStr">
        <is>
          <t>Select</t>
        </is>
      </c>
      <c r="BF6" s="35" t="inlineStr">
        <is>
          <t>Select</t>
        </is>
      </c>
      <c r="BG6" s="35" t="inlineStr">
        <is>
          <t>Select</t>
        </is>
      </c>
      <c r="BH6" s="34" t="inlineStr">
        <is>
          <t>Yes or No</t>
        </is>
      </c>
      <c r="BI6" s="34" t="inlineStr">
        <is>
          <t>Yes or No</t>
        </is>
      </c>
      <c r="BJ6" s="34" t="inlineStr">
        <is>
          <t>Whole Number</t>
        </is>
      </c>
      <c r="BK6" s="34" t="inlineStr">
        <is>
          <t>Yes or No</t>
        </is>
      </c>
      <c r="BL6" s="34" t="inlineStr">
        <is>
          <t>Yes or No</t>
        </is>
      </c>
      <c r="BM6" s="34" t="inlineStr">
        <is>
          <t>Yes or No</t>
        </is>
      </c>
      <c r="BN6" s="34" t="inlineStr">
        <is>
          <t>Yes or No</t>
        </is>
      </c>
      <c r="BO6" s="34" t="inlineStr">
        <is>
          <t>Yes or No</t>
        </is>
      </c>
      <c r="BP6" s="35"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5"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5"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5" t="inlineStr">
        <is>
          <t>Please choose one or more from the following, using a semicolon (;) to separate each value: No Natural Variation; Natural Wood Grain Color Variation; Weathered Steel; Wood Knots; Natural Stone Color Variation; Unavailable</t>
        </is>
      </c>
      <c r="BT6" s="34" t="inlineStr">
        <is>
          <t>Yes or No</t>
        </is>
      </c>
      <c r="BU6" s="34" t="inlineStr">
        <is>
          <t>Yes or No</t>
        </is>
      </c>
      <c r="BV6" s="34" t="inlineStr">
        <is>
          <t>Yes or No</t>
        </is>
      </c>
      <c r="BW6" s="34" t="inlineStr">
        <is>
          <t>Yes or No</t>
        </is>
      </c>
      <c r="BX6" s="34" t="inlineStr">
        <is>
          <t>Yes or No</t>
        </is>
      </c>
      <c r="BY6" s="34" t="inlineStr">
        <is>
          <t>Yes or No</t>
        </is>
      </c>
      <c r="BZ6" s="34" t="inlineStr">
        <is>
          <t>Yes or No</t>
        </is>
      </c>
      <c r="CA6" s="34" t="inlineStr">
        <is>
          <t>Yes or No</t>
        </is>
      </c>
      <c r="CB6" s="34" t="inlineStr">
        <is>
          <t>Yes or No</t>
        </is>
      </c>
      <c r="CC6" s="35" t="inlineStr">
        <is>
          <t>Select</t>
        </is>
      </c>
      <c r="CD6" s="34" t="inlineStr">
        <is>
          <t>Yes or No</t>
        </is>
      </c>
      <c r="CE6" s="34" t="inlineStr">
        <is>
          <t>Yes or No</t>
        </is>
      </c>
      <c r="CF6" s="35" t="inlineStr">
        <is>
          <t>Please choose one or more from the following, using a semicolon (;) to separate each value: Non Residential Use; Residential Use</t>
        </is>
      </c>
      <c r="CG6" s="35" t="inlineStr">
        <is>
          <t>Please choose one or more from the following, using a semicolon (;) to separate each value: Made in USA; Made in USA of Imported Materials; Product of Canada; Made In Canada; Does Not Apply</t>
        </is>
      </c>
      <c r="CH6" s="35" t="inlineStr">
        <is>
          <t>Select</t>
        </is>
      </c>
      <c r="CI6" s="34" t="inlineStr">
        <is>
          <t>Yes or No</t>
        </is>
      </c>
      <c r="CJ6" s="35"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4" t="inlineStr">
        <is>
          <t>Yes or No</t>
        </is>
      </c>
      <c r="CL6" s="35" t="inlineStr">
        <is>
          <t>Select</t>
        </is>
      </c>
      <c r="CM6" s="35" t="inlineStr">
        <is>
          <t>Select</t>
        </is>
      </c>
      <c r="CN6" s="35" t="inlineStr">
        <is>
          <t>Select</t>
        </is>
      </c>
      <c r="CO6" s="35" t="inlineStr">
        <is>
          <t>Select</t>
        </is>
      </c>
      <c r="CP6" s="35" t="inlineStr">
        <is>
          <t>Select</t>
        </is>
      </c>
      <c r="CQ6" s="35" t="inlineStr">
        <is>
          <t>Select</t>
        </is>
      </c>
      <c r="CR6" s="35" t="inlineStr">
        <is>
          <t>Select</t>
        </is>
      </c>
      <c r="CS6" s="34" t="inlineStr">
        <is>
          <t>Yes or No</t>
        </is>
      </c>
      <c r="CT6" s="34" t="inlineStr">
        <is>
          <t>Yes or No</t>
        </is>
      </c>
      <c r="CU6" s="34" t="inlineStr">
        <is>
          <t>Number</t>
        </is>
      </c>
      <c r="CV6" s="35"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4" t="inlineStr">
        <is>
          <t>Yes or No</t>
        </is>
      </c>
      <c r="CX6" s="35"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5"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5"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5" t="inlineStr">
        <is>
          <t>Select</t>
        </is>
      </c>
      <c r="DB6" s="35" t="inlineStr">
        <is>
          <t>Please choose one or more from the following, using a semicolon (;) to separate each value: Electric; Dual Fuel; Induction; Wood Pellets; Natural Gas; Liquid Propane; Wood Burning; Gel Fuel; Bio-Ethanol; Propane; Butane; Charcoal; Ethanol; Alcohol; Does Not Apply</t>
        </is>
      </c>
      <c r="DC6" s="35" t="inlineStr">
        <is>
          <t>Please choose one or more from the following, using a semicolon (;) to separate each value: Flush; Glass; Louvered; Paneled; Mirrored; Barn Doors; Frosted; Insulated; Contoured; Tinted; See Through; Double Pane; Does Not Apply</t>
        </is>
      </c>
      <c r="DD6" s="34" t="inlineStr">
        <is>
          <t>Yes or No</t>
        </is>
      </c>
      <c r="DE6" s="34" t="inlineStr">
        <is>
          <t>Yes or No</t>
        </is>
      </c>
      <c r="DF6" s="35"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4" t="inlineStr">
        <is>
          <t>Whole Number</t>
        </is>
      </c>
      <c r="DH6" s="34" t="inlineStr">
        <is>
          <t>Yes or No</t>
        </is>
      </c>
      <c r="DI6" s="35" t="inlineStr">
        <is>
          <t>Please choose one or more from the following, using a semicolon (;) to separate each value: Gel; Gas; Wood; Electric; Unavailable; Does Not Apply</t>
        </is>
      </c>
      <c r="DJ6" s="35" t="inlineStr">
        <is>
          <t>Select</t>
        </is>
      </c>
      <c r="DK6" s="34" t="inlineStr">
        <is>
          <t>Yes or No</t>
        </is>
      </c>
      <c r="DL6" s="35" t="inlineStr">
        <is>
          <t>Select</t>
        </is>
      </c>
      <c r="DM6" s="35" t="inlineStr">
        <is>
          <t>Select</t>
        </is>
      </c>
      <c r="DN6" s="35" t="inlineStr">
        <is>
          <t>Select</t>
        </is>
      </c>
      <c r="DO6" s="35" t="inlineStr">
        <is>
          <t>Select</t>
        </is>
      </c>
      <c r="DP6" s="34" t="inlineStr">
        <is>
          <t>Yes or No</t>
        </is>
      </c>
      <c r="DQ6" s="35" t="inlineStr">
        <is>
          <t>Please choose one or more from the following, using a semicolon (;) to separate each value: Dual Language; Distribution Conflict; Logistics; Does Not Apply</t>
        </is>
      </c>
      <c r="DR6" s="35" t="inlineStr">
        <is>
          <t>Select</t>
        </is>
      </c>
      <c r="DS6" s="34" t="inlineStr">
        <is>
          <t>Yes or No</t>
        </is>
      </c>
      <c r="DT6" s="35"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5" t="inlineStr">
        <is>
          <t>Select</t>
        </is>
      </c>
      <c r="DV6" s="35" t="inlineStr">
        <is>
          <t>Select</t>
        </is>
      </c>
      <c r="DW6" s="35" t="inlineStr">
        <is>
          <t>Select</t>
        </is>
      </c>
      <c r="DX6" s="35" t="inlineStr">
        <is>
          <t>Select</t>
        </is>
      </c>
      <c r="DY6" s="35"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4" t="inlineStr">
        <is>
          <t>Text</t>
        </is>
      </c>
      <c r="EA6" s="35" t="inlineStr">
        <is>
          <t>Select</t>
        </is>
      </c>
      <c r="EB6" s="35" t="inlineStr">
        <is>
          <t>Select</t>
        </is>
      </c>
      <c r="EC6" s="34" t="inlineStr">
        <is>
          <t>Yes or No</t>
        </is>
      </c>
      <c r="ED6" s="35" t="inlineStr">
        <is>
          <t>Select</t>
        </is>
      </c>
      <c r="EE6" s="34" t="inlineStr">
        <is>
          <t>Number</t>
        </is>
      </c>
      <c r="EF6" s="34" t="inlineStr">
        <is>
          <t>Number</t>
        </is>
      </c>
      <c r="EG6" s="34" t="inlineStr">
        <is>
          <t>Number</t>
        </is>
      </c>
      <c r="EH6" s="34" t="inlineStr">
        <is>
          <t>Number</t>
        </is>
      </c>
      <c r="EI6" s="34" t="inlineStr">
        <is>
          <t>Number</t>
        </is>
      </c>
      <c r="EJ6" s="34" t="inlineStr">
        <is>
          <t>Number</t>
        </is>
      </c>
      <c r="EK6" s="35" t="inlineStr">
        <is>
          <t>Select</t>
        </is>
      </c>
      <c r="EL6" s="34" t="inlineStr">
        <is>
          <t>Number</t>
        </is>
      </c>
      <c r="EM6" s="34" t="inlineStr">
        <is>
          <t>Yes or No</t>
        </is>
      </c>
      <c r="EN6" s="35" t="inlineStr">
        <is>
          <t>Select</t>
        </is>
      </c>
      <c r="EO6" s="35"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4" t="inlineStr">
        <is>
          <t>Yes or No</t>
        </is>
      </c>
      <c r="EQ6" s="35" t="inlineStr">
        <is>
          <t>Select</t>
        </is>
      </c>
      <c r="ER6" s="34" t="inlineStr">
        <is>
          <t>Yes or No</t>
        </is>
      </c>
      <c r="ES6" s="35" t="inlineStr">
        <is>
          <t>Select</t>
        </is>
      </c>
      <c r="ET6" s="35"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6" t="inlineStr">
        <is>
          <t>Default Row:</t>
        </is>
      </c>
      <c r="C7" s="36" t="inlineStr">
        <is>
          <t>N/A</t>
        </is>
      </c>
      <c r="D7" s="37" t="n"/>
      <c r="E7" s="36" t="inlineStr">
        <is>
          <t>N/A</t>
        </is>
      </c>
      <c r="F7" s="36" t="inlineStr">
        <is>
          <t>N/A</t>
        </is>
      </c>
      <c r="G7" s="36" t="inlineStr">
        <is>
          <t>N/A</t>
        </is>
      </c>
      <c r="H7" s="37" t="n"/>
      <c r="I7" s="36" t="inlineStr">
        <is>
          <t>N/A</t>
        </is>
      </c>
      <c r="J7" s="36" t="inlineStr">
        <is>
          <t>N/A</t>
        </is>
      </c>
      <c r="K7" s="37" t="n"/>
      <c r="L7" s="37" t="n"/>
      <c r="M7" s="37" t="n"/>
      <c r="N7" s="37" t="n"/>
      <c r="O7" s="37" t="n"/>
      <c r="P7" s="37" t="n"/>
      <c r="Q7" s="37" t="n"/>
      <c r="R7" s="37" t="n"/>
      <c r="S7" s="37" t="n"/>
      <c r="T7" s="37" t="n"/>
      <c r="U7" s="37" t="n"/>
      <c r="V7" s="37" t="n"/>
      <c r="W7" s="37" t="n"/>
      <c r="X7" s="37" t="n"/>
      <c r="Y7" s="37" t="n"/>
      <c r="Z7" s="37" t="n"/>
      <c r="AA7" s="37" t="n"/>
      <c r="AB7" s="37" t="n"/>
      <c r="AC7" s="37" t="n"/>
      <c r="AD7" s="37" t="n"/>
      <c r="AE7" s="37" t="n"/>
      <c r="AF7" s="37" t="n"/>
      <c r="AG7" s="37" t="n"/>
      <c r="AH7" s="37" t="n"/>
      <c r="AI7" s="37" t="n"/>
      <c r="AJ7" s="37" t="n"/>
      <c r="AK7" s="37" t="n"/>
      <c r="AL7" s="36" t="inlineStr">
        <is>
          <t>N/A</t>
        </is>
      </c>
      <c r="AM7" s="36" t="inlineStr">
        <is>
          <t>N/A</t>
        </is>
      </c>
      <c r="AN7" s="36" t="inlineStr">
        <is>
          <t>N/A</t>
        </is>
      </c>
      <c r="AO7" s="36" t="inlineStr">
        <is>
          <t>N/A</t>
        </is>
      </c>
      <c r="AP7" s="36" t="inlineStr">
        <is>
          <t>N/A</t>
        </is>
      </c>
      <c r="AQ7" s="36" t="inlineStr">
        <is>
          <t>N/A</t>
        </is>
      </c>
      <c r="AR7" s="37" t="n"/>
      <c r="AS7" s="37" t="n"/>
      <c r="AT7" s="37" t="n"/>
      <c r="AU7" s="37" t="n"/>
      <c r="AV7" s="37" t="n"/>
      <c r="AW7" s="37" t="n"/>
      <c r="AX7" s="37" t="n"/>
      <c r="AY7" s="37" t="n"/>
      <c r="AZ7" s="37" t="n"/>
      <c r="BA7" s="37" t="n"/>
      <c r="BB7" s="37" t="n"/>
      <c r="BC7" s="37" t="n"/>
      <c r="BD7" s="37" t="n"/>
      <c r="BE7" s="37" t="n"/>
      <c r="BF7" s="37" t="n"/>
      <c r="BG7" s="37" t="n"/>
      <c r="BH7" s="37" t="n"/>
      <c r="BI7" s="37" t="n"/>
      <c r="BJ7" s="37" t="n"/>
      <c r="BK7" s="37" t="n"/>
      <c r="BL7" s="37" t="n"/>
      <c r="BM7" s="37" t="n"/>
      <c r="BN7" s="37" t="n"/>
      <c r="BO7" s="37" t="n"/>
      <c r="BP7" s="37" t="n"/>
      <c r="BQ7" s="37" t="n"/>
      <c r="BR7" s="37" t="n"/>
      <c r="BS7" s="37" t="n"/>
      <c r="BT7" s="37" t="n"/>
      <c r="BU7" s="37" t="n"/>
      <c r="BV7" s="37" t="n"/>
      <c r="BW7" s="37" t="n"/>
      <c r="BX7" s="37" t="n"/>
      <c r="BY7" s="37" t="n"/>
      <c r="BZ7" s="37" t="n"/>
      <c r="CA7" s="37" t="n"/>
      <c r="CB7" s="37" t="n"/>
      <c r="CC7" s="37" t="n"/>
      <c r="CD7" s="37" t="n"/>
      <c r="CE7" s="37" t="n"/>
      <c r="CF7" s="37" t="n"/>
      <c r="CG7" s="37" t="n"/>
      <c r="CH7" s="37" t="n"/>
      <c r="CI7" s="37" t="n"/>
      <c r="CJ7" s="37" t="n"/>
      <c r="CK7" s="37" t="n"/>
      <c r="CL7" s="37" t="n"/>
      <c r="CM7" s="37" t="n"/>
      <c r="CN7" s="37" t="n"/>
      <c r="CO7" s="37" t="n"/>
      <c r="CP7" s="37" t="n"/>
      <c r="CQ7" s="37" t="n"/>
      <c r="CR7" s="37" t="n"/>
      <c r="CS7" s="37" t="n"/>
      <c r="CT7" s="37" t="n"/>
      <c r="CU7" s="37" t="n"/>
      <c r="CV7" s="37" t="n"/>
      <c r="CW7" s="37" t="n"/>
      <c r="CX7" s="37" t="n"/>
      <c r="CY7" s="37" t="n"/>
      <c r="CZ7" s="37" t="n"/>
      <c r="DA7" s="37" t="n"/>
      <c r="DB7" s="37" t="n"/>
      <c r="DC7" s="37" t="n"/>
      <c r="DD7" s="37" t="n"/>
      <c r="DE7" s="37" t="n"/>
      <c r="DF7" s="37" t="n"/>
      <c r="DG7" s="37" t="n"/>
      <c r="DH7" s="37" t="n"/>
      <c r="DI7" s="37" t="n"/>
      <c r="DJ7" s="37" t="n"/>
      <c r="DK7" s="37" t="n"/>
      <c r="DL7" s="37" t="n"/>
      <c r="DM7" s="37" t="n"/>
      <c r="DN7" s="37" t="n"/>
      <c r="DO7" s="37" t="n"/>
      <c r="DP7" s="37" t="n"/>
      <c r="DQ7" s="37" t="n"/>
      <c r="DR7" s="37" t="n"/>
      <c r="DS7" s="37" t="n"/>
      <c r="DT7" s="37" t="n"/>
      <c r="DU7" s="37" t="n"/>
      <c r="DV7" s="37" t="n"/>
      <c r="DW7" s="37" t="n"/>
      <c r="DX7" s="37" t="n"/>
      <c r="DY7" s="37" t="n"/>
      <c r="DZ7" s="37" t="n"/>
      <c r="EA7" s="37" t="n"/>
      <c r="EB7" s="37" t="n"/>
      <c r="EC7" s="37" t="n"/>
      <c r="ED7" s="37" t="n"/>
      <c r="EE7" s="37" t="n"/>
      <c r="EF7" s="37" t="n"/>
      <c r="EG7" s="37" t="n"/>
      <c r="EH7" s="37" t="n"/>
      <c r="EI7" s="37" t="n"/>
      <c r="EJ7" s="37" t="n"/>
      <c r="EK7" s="37" t="n"/>
      <c r="EL7" s="37" t="n"/>
      <c r="EM7" s="37" t="n"/>
      <c r="EN7" s="37" t="n"/>
      <c r="EO7" s="37" t="n"/>
      <c r="EP7" s="37" t="n"/>
      <c r="EQ7" s="37" t="n"/>
      <c r="ER7" s="37" t="n"/>
      <c r="ES7" s="37" t="n"/>
      <c r="ET7" s="37" t="n"/>
    </row>
    <row r="8">
      <c r="A8">
        <f t="array" ref="A8">_xlfn.BYROW(B8:EU507, _xlfn.LAMBDA(_xlpm.r, _xlfn.LET(_xlpm.high_priority_idx, IFERROR(MATCH(TRUE, (_xlpm.r = "Error") + (_xlpm.r = "Required") &gt; 0, 0), 0), IF(_xlpm.high_priority_idx &gt; 0, _xlpm.high_priority_idx + 1, IFERROR(MATCH(1, (_xlpm.r = "Warning") * 1, 0) + 1, "")))))</f>
        <v/>
      </c>
      <c r="B8" s="22">
        <f t="array" ref="B8">_xlfn.MAP('6 - TV Stands &amp; Enterta'!B8:B507, '6 - TV Stands &amp; Enterta'!B8:B507, '6 - TV Stands &amp; Enterta-WUO_ERR'!B8:B507, _xlfn.LAMBDA(_xlpm.part, _xlpm.val, _xlpm.error, IF(_xlpm.part = "", "", IF(LEN(_xlpm.error), _xlfn.SWITCH(IFERROR(_xlfn.TEXTBEFORE(_xlpm.error,":"), ""), "1", "Error", "2", "Disabled", "3", "Required", "4", "Warning", "Valid"), "Valid"))))</f>
        <v/>
      </c>
      <c r="C8" s="22">
        <f t="array" ref="C8">_xlfn.MAP('6 - TV Stands &amp; Enterta'!B8:B507, '6 - TV Stands &amp; Enterta'!C8:C507, '6 - TV Stands &amp; Enterta-WUO_ERR'!C8:C507, _xlfn.LAMBDA(_xlpm.part, _xlpm.val, _xlpm.error, IF(_xlpm.part = "", "", IF(LEN(_xlpm.error), _xlfn.SWITCH(IFERROR(_xlfn.TEXTBEFORE(_xlpm.error,":"), ""), "1", "Error", "2", "Disabled", "3", "Required", "4", "Warning", "Valid"), "Valid"))))</f>
        <v/>
      </c>
      <c r="D8" s="22">
        <f t="array" ref="D8">_xlfn.MAP('6 - TV Stands &amp; Enterta'!B8:B507, '6 - TV Stands &amp; Enterta'!D8:D507, '6 - TV Stands &amp; Enterta-WUO_ERR'!D8:D507, _xlfn.LAMBDA(_xlpm.part, _xlpm.val, _xlpm.error, IF(_xlpm.part = "", "", IF(LEN(_xlpm.error), _xlfn.SWITCH(IFERROR(_xlfn.TEXTBEFORE(_xlpm.error,":"), ""), "1", "Error", "2", "Disabled", "3", "Required", "4", "Warning", "Valid"), "Valid"))))</f>
        <v/>
      </c>
      <c r="E8" s="22">
        <f t="array" ref="E8">_xlfn.MAP('6 - TV Stands &amp; Enterta'!B8:B507, '6 - TV Stands &amp; Enterta'!E8:E507, '6 - TV Stands &amp; Enterta-WUO_ERR'!E8:E507, _xlfn.LAMBDA(_xlpm.part, _xlpm.val, _xlpm.error, IF(_xlpm.part = "", "", IF(LEN(_xlpm.error), _xlfn.SWITCH(IFERROR(_xlfn.TEXTBEFORE(_xlpm.error,":"), ""), "1", "Error", "2", "Disabled", "3", "Required", "4", "Warning", "Valid"), "Valid"))))</f>
        <v/>
      </c>
      <c r="F8" s="22">
        <f t="array" ref="F8">_xlfn.MAP('6 - TV Stands &amp; Enterta'!B8:B507, '6 - TV Stands &amp; Enterta'!F8:F507, '6 - TV Stands &amp; Enterta-WUO_ERR'!F8:F507, _xlfn.LAMBDA(_xlpm.part, _xlpm.val, _xlpm.error, IF(_xlpm.part = "", "", IF(LEN(_xlpm.error), _xlfn.SWITCH(IFERROR(_xlfn.TEXTBEFORE(_xlpm.error,":"), ""), "1", "Error", "2", "Disabled", "3", "Required", "4", "Warning", "Valid"), "Valid"))))</f>
        <v/>
      </c>
      <c r="G8" s="22">
        <f t="array" ref="G8">_xlfn.MAP('6 - TV Stands &amp; Enterta'!B8:B507, '6 - TV Stands &amp; Enterta'!G8:G507, '6 - TV Stands &amp; Enterta-WUO_ERR'!G8:G507, _xlfn.LAMBDA(_xlpm.part, _xlpm.val, _xlpm.error, IF(_xlpm.part = "", "", IF(LEN(_xlpm.error), _xlfn.SWITCH(IFERROR(_xlfn.TEXTBEFORE(_xlpm.error,":"), ""), "1", "Error", "2", "Disabled", "3", "Required", "4", "Warning", "Valid"), "Valid"))))</f>
        <v/>
      </c>
      <c r="H8" s="22">
        <f t="array" ref="H8">_xlfn.MAP('6 - TV Stands &amp; Enterta'!B8:B507, '6 - TV Stands &amp; Enterta'!H8:H507, '6 - TV Stands &amp; Enterta-WUO_ERR'!H8:H507, _xlfn.LAMBDA(_xlpm.part, _xlpm.val, _xlpm.error, IF(_xlpm.part = "", "", IF(LEN(_xlpm.error), _xlfn.SWITCH(IFERROR(_xlfn.TEXTBEFORE(_xlpm.error,":"), ""), "1", "Error", "2", "Disabled", "3", "Required", "4", "Warning", "Valid"), "Valid"))))</f>
        <v/>
      </c>
      <c r="I8" s="22">
        <f t="array" ref="I8">_xlfn.MAP('6 - TV Stands &amp; Enterta'!B8:B507, '6 - TV Stands &amp; Enterta'!I8:I507, '6 - TV Stands &amp; Enterta-WUO_ERR'!I8:I507, _xlfn.LAMBDA(_xlpm.part, _xlpm.val, _xlpm.error, IF(_xlpm.part = "", "", IF(LEN(_xlpm.error), _xlfn.SWITCH(IFERROR(_xlfn.TEXTBEFORE(_xlpm.error,":"), ""), "1", "Error", "2", "Disabled", "3", "Required", "4", "Warning", "Valid"), "Valid"))))</f>
        <v/>
      </c>
      <c r="J8" s="22">
        <f t="array" ref="J8">_xlfn.MAP('6 - TV Stands &amp; Enterta'!B8:B507, '6 - TV Stands &amp; Enterta'!J8:J507, '6 - TV Stands &amp; Enterta-WUO_ERR'!J8:J507, _xlfn.LAMBDA(_xlpm.part, _xlpm.val, _xlpm.error, IF(_xlpm.part = "", "", IF(LEN(_xlpm.error), _xlfn.SWITCH(IFERROR(_xlfn.TEXTBEFORE(_xlpm.error,":"), ""), "1", "Error", "2", "Disabled", "3", "Required", "4", "Warning", "Valid"), "Valid"))))</f>
        <v/>
      </c>
      <c r="K8" s="22">
        <f t="array" ref="K8">_xlfn.MAP('6 - TV Stands &amp; Enterta'!B8:B507, '6 - TV Stands &amp; Enterta'!K8:K507, '6 - TV Stands &amp; Enterta-WUO_ERR'!K8:K507, _xlfn.LAMBDA(_xlpm.part, _xlpm.val, _xlpm.error, IF(_xlpm.part = "", "", IF(LEN(_xlpm.error), _xlfn.SWITCH(IFERROR(_xlfn.TEXTBEFORE(_xlpm.error,":"), ""), "1", "Error", "2", "Disabled", "3", "Required", "4", "Warning", "Valid"), "Valid"))))</f>
        <v/>
      </c>
      <c r="L8" s="22">
        <f t="array" ref="L8">_xlfn.MAP('6 - TV Stands &amp; Enterta'!B8:B507, '6 - TV Stands &amp; Enterta'!L8:L507, '6 - TV Stands &amp; Enterta-WUO_ERR'!L8:L507, _xlfn.LAMBDA(_xlpm.part, _xlpm.val, _xlpm.error, IF(_xlpm.part = "", "", IF(LEN(_xlpm.error), _xlfn.SWITCH(IFERROR(_xlfn.TEXTBEFORE(_xlpm.error,":"), ""), "1", "Error", "2", "Disabled", "3", "Required", "4", "Warning", "Valid"), "Valid"))))</f>
        <v/>
      </c>
      <c r="M8" s="22">
        <f t="array" ref="M8">_xlfn.MAP('6 - TV Stands &amp; Enterta'!B8:B507, '6 - TV Stands &amp; Enterta'!M8:M507, '6 - TV Stands &amp; Enterta-WUO_ERR'!M8:M507, _xlfn.LAMBDA(_xlpm.part, _xlpm.val, _xlpm.error, IF(_xlpm.part = "", "", IF(LEN(_xlpm.error), _xlfn.SWITCH(IFERROR(_xlfn.TEXTBEFORE(_xlpm.error,":"), ""), "1", "Error", "2", "Disabled", "3", "Required", "4", "Warning", "Valid"), "Valid"))))</f>
        <v/>
      </c>
      <c r="N8" s="22">
        <f t="array" ref="N8">_xlfn.MAP('6 - TV Stands &amp; Enterta'!B8:B507, '6 - TV Stands &amp; Enterta'!N8:N507, '6 - TV Stands &amp; Enterta-WUO_ERR'!N8:N507, _xlfn.LAMBDA(_xlpm.part, _xlpm.val, _xlpm.error, IF(_xlpm.part = "", "", IF(LEN(_xlpm.error), _xlfn.SWITCH(IFERROR(_xlfn.TEXTBEFORE(_xlpm.error,":"), ""), "1", "Error", "2", "Disabled", "3", "Required", "4", "Warning", "Valid"), "Valid"))))</f>
        <v/>
      </c>
      <c r="O8" s="22">
        <f t="array" ref="O8">_xlfn.MAP('6 - TV Stands &amp; Enterta'!B8:B507, '6 - TV Stands &amp; Enterta'!O8:O507, '6 - TV Stands &amp; Enterta-WUO_ERR'!O8:O507, _xlfn.LAMBDA(_xlpm.part, _xlpm.val, _xlpm.error, IF(_xlpm.part = "", "", IF(LEN(_xlpm.error), _xlfn.SWITCH(IFERROR(_xlfn.TEXTBEFORE(_xlpm.error,":"), ""), "1", "Error", "2", "Disabled", "3", "Required", "4", "Warning", "Valid"), "Valid"))))</f>
        <v/>
      </c>
      <c r="P8" s="22">
        <f t="array" ref="P8">_xlfn.MAP('6 - TV Stands &amp; Enterta'!B8:B507, '6 - TV Stands &amp; Enterta'!P8:P507, '6 - TV Stands &amp; Enterta-WUO_ERR'!P8:P507, _xlfn.LAMBDA(_xlpm.part, _xlpm.val, _xlpm.error, IF(_xlpm.part = "", "", IF(LEN(_xlpm.error), _xlfn.SWITCH(IFERROR(_xlfn.TEXTBEFORE(_xlpm.error,":"), ""), "1", "Error", "2", "Disabled", "3", "Required", "4", "Warning", "Valid"), "Valid"))))</f>
        <v/>
      </c>
      <c r="Q8" s="22">
        <f t="array" ref="Q8">_xlfn.MAP('6 - TV Stands &amp; Enterta'!B8:B507, '6 - TV Stands &amp; Enterta'!Q8:Q507, '6 - TV Stands &amp; Enterta-WUO_ERR'!Q8:Q507, _xlfn.LAMBDA(_xlpm.part, _xlpm.val, _xlpm.error, IF(_xlpm.part = "", "", IF(LEN(_xlpm.error), _xlfn.SWITCH(IFERROR(_xlfn.TEXTBEFORE(_xlpm.error,":"), ""), "1", "Error", "2", "Disabled", "3", "Required", "4", "Warning", "Valid"), "Valid"))))</f>
        <v/>
      </c>
      <c r="R8" s="22">
        <f t="array" ref="R8">_xlfn.MAP('6 - TV Stands &amp; Enterta'!B8:B507, '6 - TV Stands &amp; Enterta'!R8:R507, '6 - TV Stands &amp; Enterta-WUO_ERR'!R8:R507, _xlfn.LAMBDA(_xlpm.part, _xlpm.val, _xlpm.error, IF(_xlpm.part = "", "", IF(LEN(_xlpm.error), _xlfn.SWITCH(IFERROR(_xlfn.TEXTBEFORE(_xlpm.error,":"), ""), "1", "Error", "2", "Disabled", "3", "Required", "4", "Warning", "Valid"), "Valid"))))</f>
        <v/>
      </c>
      <c r="S8" s="22">
        <f t="array" ref="S8">_xlfn.MAP('6 - TV Stands &amp; Enterta'!B8:B507, '6 - TV Stands &amp; Enterta'!S8:S507, '6 - TV Stands &amp; Enterta-WUO_ERR'!S8:S507, _xlfn.LAMBDA(_xlpm.part, _xlpm.val, _xlpm.error, IF(_xlpm.part = "", "", IF(LEN(_xlpm.error), _xlfn.SWITCH(IFERROR(_xlfn.TEXTBEFORE(_xlpm.error,":"), ""), "1", "Error", "2", "Disabled", "3", "Required", "4", "Warning", "Valid"), "Valid"))))</f>
        <v/>
      </c>
      <c r="T8" s="22">
        <f t="array" ref="T8">_xlfn.MAP('6 - TV Stands &amp; Enterta'!B8:B507, '6 - TV Stands &amp; Enterta'!T8:T507, '6 - TV Stands &amp; Enterta-WUO_ERR'!T8:T507, _xlfn.LAMBDA(_xlpm.part, _xlpm.val, _xlpm.error, IF(_xlpm.part = "", "", IF(LEN(_xlpm.error), _xlfn.SWITCH(IFERROR(_xlfn.TEXTBEFORE(_xlpm.error,":"), ""), "1", "Error", "2", "Disabled", "3", "Required", "4", "Warning", "Valid"), "Valid"))))</f>
        <v/>
      </c>
      <c r="U8" s="22">
        <f t="array" ref="U8">_xlfn.MAP('6 - TV Stands &amp; Enterta'!B8:B507, '6 - TV Stands &amp; Enterta'!U8:U507, '6 - TV Stands &amp; Enterta-WUO_ERR'!U8:U507, _xlfn.LAMBDA(_xlpm.part, _xlpm.val, _xlpm.error, IF(_xlpm.part = "", "", IF(LEN(_xlpm.error), _xlfn.SWITCH(IFERROR(_xlfn.TEXTBEFORE(_xlpm.error,":"), ""), "1", "Error", "2", "Disabled", "3", "Required", "4", "Warning", "Valid"), "Valid"))))</f>
        <v/>
      </c>
      <c r="V8" s="22">
        <f t="array" ref="V8">_xlfn.MAP('6 - TV Stands &amp; Enterta'!B8:B507, '6 - TV Stands &amp; Enterta'!V8:V507, '6 - TV Stands &amp; Enterta-WUO_ERR'!V8:V507, _xlfn.LAMBDA(_xlpm.part, _xlpm.val, _xlpm.error, IF(_xlpm.part = "", "", IF(LEN(_xlpm.error), _xlfn.SWITCH(IFERROR(_xlfn.TEXTBEFORE(_xlpm.error,":"), ""), "1", "Error", "2", "Disabled", "3", "Required", "4", "Warning", "Valid"), "Valid"))))</f>
        <v/>
      </c>
      <c r="W8" s="22">
        <f t="array" ref="W8">_xlfn.MAP('6 - TV Stands &amp; Enterta'!B8:B507, '6 - TV Stands &amp; Enterta'!W8:W507, '6 - TV Stands &amp; Enterta-WUO_ERR'!W8:W507, _xlfn.LAMBDA(_xlpm.part, _xlpm.val, _xlpm.error, IF(_xlpm.part = "", "", IF(LEN(_xlpm.error), _xlfn.SWITCH(IFERROR(_xlfn.TEXTBEFORE(_xlpm.error,":"), ""), "1", "Error", "2", "Disabled", "3", "Required", "4", "Warning", "Valid"), "Valid"))))</f>
        <v/>
      </c>
      <c r="X8" s="22">
        <f t="array" ref="X8">_xlfn.MAP('6 - TV Stands &amp; Enterta'!B8:B507, '6 - TV Stands &amp; Enterta'!X8:X507, '6 - TV Stands &amp; Enterta-WUO_ERR'!X8:X507, _xlfn.LAMBDA(_xlpm.part, _xlpm.val, _xlpm.error, IF(_xlpm.part = "", "", IF(LEN(_xlpm.error), _xlfn.SWITCH(IFERROR(_xlfn.TEXTBEFORE(_xlpm.error,":"), ""), "1", "Error", "2", "Disabled", "3", "Required", "4", "Warning", "Valid"), "Valid"))))</f>
        <v/>
      </c>
      <c r="Y8" s="22">
        <f t="array" ref="Y8">_xlfn.MAP('6 - TV Stands &amp; Enterta'!B8:B507, '6 - TV Stands &amp; Enterta'!Y8:Y507, '6 - TV Stands &amp; Enterta-WUO_ERR'!Y8:Y507, _xlfn.LAMBDA(_xlpm.part, _xlpm.val, _xlpm.error, IF(_xlpm.part = "", "", IF(LEN(_xlpm.error), _xlfn.SWITCH(IFERROR(_xlfn.TEXTBEFORE(_xlpm.error,":"), ""), "1", "Error", "2", "Disabled", "3", "Required", "4", "Warning", "Valid"), "Valid"))))</f>
        <v/>
      </c>
      <c r="Z8" s="22">
        <f t="array" ref="Z8">_xlfn.MAP('6 - TV Stands &amp; Enterta'!B8:B507, '6 - TV Stands &amp; Enterta'!Z8:Z507, '6 - TV Stands &amp; Enterta-WUO_ERR'!Z8:Z507, _xlfn.LAMBDA(_xlpm.part, _xlpm.val, _xlpm.error, IF(_xlpm.part = "", "", IF(LEN(_xlpm.error), _xlfn.SWITCH(IFERROR(_xlfn.TEXTBEFORE(_xlpm.error,":"), ""), "1", "Error", "2", "Disabled", "3", "Required", "4", "Warning", "Valid"), "Valid"))))</f>
        <v/>
      </c>
      <c r="AA8" s="22">
        <f t="array" ref="AA8">_xlfn.MAP('6 - TV Stands &amp; Enterta'!B8:B507, '6 - TV Stands &amp; Enterta'!AA8:AA507, '6 - TV Stands &amp; Enterta-WUO_ERR'!AA8:AA507, _xlfn.LAMBDA(_xlpm.part, _xlpm.val, _xlpm.error, IF(_xlpm.part = "", "", IF(LEN(_xlpm.error), _xlfn.SWITCH(IFERROR(_xlfn.TEXTBEFORE(_xlpm.error,":"), ""), "1", "Error", "2", "Disabled", "3", "Required", "4", "Warning", "Valid"), "Valid"))))</f>
        <v/>
      </c>
      <c r="AB8" s="22">
        <f t="array" ref="AB8">_xlfn.MAP('6 - TV Stands &amp; Enterta'!B8:B507, '6 - TV Stands &amp; Enterta'!AB8:AB507, '6 - TV Stands &amp; Enterta-WUO_ERR'!AB8:AB507, _xlfn.LAMBDA(_xlpm.part, _xlpm.val, _xlpm.error, IF(_xlpm.part = "", "", IF(LEN(_xlpm.error), _xlfn.SWITCH(IFERROR(_xlfn.TEXTBEFORE(_xlpm.error,":"), ""), "1", "Error", "2", "Disabled", "3", "Required", "4", "Warning", "Valid"), "Valid"))))</f>
        <v/>
      </c>
      <c r="AC8" s="22">
        <f t="array" ref="AC8">_xlfn.MAP('6 - TV Stands &amp; Enterta'!B8:B507, '6 - TV Stands &amp; Enterta'!AC8:AC507, '6 - TV Stands &amp; Enterta-WUO_ERR'!AC8:AC507, _xlfn.LAMBDA(_xlpm.part, _xlpm.val, _xlpm.error, IF(_xlpm.part = "", "", IF(LEN(_xlpm.error), _xlfn.SWITCH(IFERROR(_xlfn.TEXTBEFORE(_xlpm.error,":"), ""), "1", "Error", "2", "Disabled", "3", "Required", "4", "Warning", "Valid"), "Valid"))))</f>
        <v/>
      </c>
      <c r="AD8" s="22">
        <f t="array" ref="AD8">_xlfn.MAP('6 - TV Stands &amp; Enterta'!B8:B507, '6 - TV Stands &amp; Enterta'!AD8:AD507, '6 - TV Stands &amp; Enterta-WUO_ERR'!AD8:AD507, _xlfn.LAMBDA(_xlpm.part, _xlpm.val, _xlpm.error, IF(_xlpm.part = "", "", IF(LEN(_xlpm.error), _xlfn.SWITCH(IFERROR(_xlfn.TEXTBEFORE(_xlpm.error,":"), ""), "1", "Error", "2", "Disabled", "3", "Required", "4", "Warning", "Valid"), "Valid"))))</f>
        <v/>
      </c>
      <c r="AE8" s="22">
        <f t="array" ref="AE8">_xlfn.MAP('6 - TV Stands &amp; Enterta'!B8:B507, '6 - TV Stands &amp; Enterta'!AE8:AE507, '6 - TV Stands &amp; Enterta-WUO_ERR'!AE8:AE507, _xlfn.LAMBDA(_xlpm.part, _xlpm.val, _xlpm.error, IF(_xlpm.part = "", "", IF(LEN(_xlpm.error), _xlfn.SWITCH(IFERROR(_xlfn.TEXTBEFORE(_xlpm.error,":"), ""), "1", "Error", "2", "Disabled", "3", "Required", "4", "Warning", "Valid"), "Valid"))))</f>
        <v/>
      </c>
      <c r="AF8" s="22">
        <f t="array" ref="AF8">_xlfn.MAP('6 - TV Stands &amp; Enterta'!B8:B507, '6 - TV Stands &amp; Enterta'!AF8:AF507, '6 - TV Stands &amp; Enterta-WUO_ERR'!AF8:AF507, _xlfn.LAMBDA(_xlpm.part, _xlpm.val, _xlpm.error, IF(_xlpm.part = "", "", IF(LEN(_xlpm.error), _xlfn.SWITCH(IFERROR(_xlfn.TEXTBEFORE(_xlpm.error,":"), ""), "1", "Error", "2", "Disabled", "3", "Required", "4", "Warning", "Valid"), "Valid"))))</f>
        <v/>
      </c>
      <c r="AG8" s="22">
        <f t="array" ref="AG8">_xlfn.MAP('6 - TV Stands &amp; Enterta'!B8:B507, '6 - TV Stands &amp; Enterta'!AG8:AG507, '6 - TV Stands &amp; Enterta-WUO_ERR'!AG8:AG507, _xlfn.LAMBDA(_xlpm.part, _xlpm.val, _xlpm.error, IF(_xlpm.part = "", "", IF(LEN(_xlpm.error), _xlfn.SWITCH(IFERROR(_xlfn.TEXTBEFORE(_xlpm.error,":"), ""), "1", "Error", "2", "Disabled", "3", "Required", "4", "Warning", "Valid"), "Valid"))))</f>
        <v/>
      </c>
      <c r="AH8" s="22">
        <f t="array" ref="AH8">_xlfn.MAP('6 - TV Stands &amp; Enterta'!B8:B507, '6 - TV Stands &amp; Enterta'!AH8:AH507, '6 - TV Stands &amp; Enterta-WUO_ERR'!AH8:AH507, _xlfn.LAMBDA(_xlpm.part, _xlpm.val, _xlpm.error, IF(_xlpm.part = "", "", IF(LEN(_xlpm.error), _xlfn.SWITCH(IFERROR(_xlfn.TEXTBEFORE(_xlpm.error,":"), ""), "1", "Error", "2", "Disabled", "3", "Required", "4", "Warning", "Valid"), "Valid"))))</f>
        <v/>
      </c>
      <c r="AI8" s="22">
        <f t="array" ref="AI8">_xlfn.MAP('6 - TV Stands &amp; Enterta'!B8:B507, '6 - TV Stands &amp; Enterta'!AI8:AI507, '6 - TV Stands &amp; Enterta-WUO_ERR'!AI8:AI507, _xlfn.LAMBDA(_xlpm.part, _xlpm.val, _xlpm.error, IF(_xlpm.part = "", "", IF(LEN(_xlpm.error), _xlfn.SWITCH(IFERROR(_xlfn.TEXTBEFORE(_xlpm.error,":"), ""), "1", "Error", "2", "Disabled", "3", "Required", "4", "Warning", "Valid"), "Valid"))))</f>
        <v/>
      </c>
      <c r="AJ8" s="22">
        <f t="array" ref="AJ8">_xlfn.MAP('6 - TV Stands &amp; Enterta'!B8:B507, '6 - TV Stands &amp; Enterta'!AJ8:AJ507, '6 - TV Stands &amp; Enterta-WUO_ERR'!AJ8:AJ507, _xlfn.LAMBDA(_xlpm.part, _xlpm.val, _xlpm.error, IF(_xlpm.part = "", "", IF(LEN(_xlpm.error), _xlfn.SWITCH(IFERROR(_xlfn.TEXTBEFORE(_xlpm.error,":"), ""), "1", "Error", "2", "Disabled", "3", "Required", "4", "Warning", "Valid"), "Valid"))))</f>
        <v/>
      </c>
      <c r="AK8" s="22">
        <f t="array" ref="AK8">_xlfn.MAP('6 - TV Stands &amp; Enterta'!B8:B507, '6 - TV Stands &amp; Enterta'!AK8:AK507, '6 - TV Stands &amp; Enterta-WUO_ERR'!AK8:AK507, _xlfn.LAMBDA(_xlpm.part, _xlpm.val, _xlpm.error, IF(_xlpm.part = "", "", IF(LEN(_xlpm.error), _xlfn.SWITCH(IFERROR(_xlfn.TEXTBEFORE(_xlpm.error,":"), ""), "1", "Error", "2", "Disabled", "3", "Required", "4", "Warning", "Valid"), "Valid"))))</f>
        <v/>
      </c>
      <c r="AL8" s="22">
        <f t="array" ref="AL8">_xlfn.MAP('6 - TV Stands &amp; Enterta'!B8:B507, '6 - TV Stands &amp; Enterta'!AL8:AL507, '6 - TV Stands &amp; Enterta-WUO_ERR'!AL8:AL507, _xlfn.LAMBDA(_xlpm.part, _xlpm.val, _xlpm.error, IF(_xlpm.part = "", "", IF(LEN(_xlpm.error), _xlfn.SWITCH(IFERROR(_xlfn.TEXTBEFORE(_xlpm.error,":"), ""), "1", "Error", "2", "Disabled", "3", "Required", "4", "Warning", "Valid"), "Valid"))))</f>
        <v/>
      </c>
      <c r="AM8" s="22">
        <f t="array" ref="AM8">_xlfn.MAP('6 - TV Stands &amp; Enterta'!B8:B507, '6 - TV Stands &amp; Enterta'!AM8:AM507, '6 - TV Stands &amp; Enterta-WUO_ERR'!AM8:AM507, _xlfn.LAMBDA(_xlpm.part, _xlpm.val, _xlpm.error, IF(_xlpm.part = "", "", IF(LEN(_xlpm.error), _xlfn.SWITCH(IFERROR(_xlfn.TEXTBEFORE(_xlpm.error,":"), ""), "1", "Error", "2", "Disabled", "3", "Required", "4", "Warning", "Valid"), "Valid"))))</f>
        <v/>
      </c>
      <c r="AN8" s="22">
        <f t="array" ref="AN8">_xlfn.MAP('6 - TV Stands &amp; Enterta'!B8:B507, '6 - TV Stands &amp; Enterta'!AN8:AN507, '6 - TV Stands &amp; Enterta-WUO_ERR'!AN8:AN507, _xlfn.LAMBDA(_xlpm.part, _xlpm.val, _xlpm.error, IF(_xlpm.part = "", "", IF(LEN(_xlpm.error), _xlfn.SWITCH(IFERROR(_xlfn.TEXTBEFORE(_xlpm.error,":"), ""), "1", "Error", "2", "Disabled", "3", "Required", "4", "Warning", "Valid"), "Valid"))))</f>
        <v/>
      </c>
      <c r="AO8" s="22">
        <f t="array" ref="AO8">_xlfn.MAP('6 - TV Stands &amp; Enterta'!B8:B507, '6 - TV Stands &amp; Enterta'!AO8:AO507, '6 - TV Stands &amp; Enterta-WUO_ERR'!AO8:AO507, _xlfn.LAMBDA(_xlpm.part, _xlpm.val, _xlpm.error, IF(_xlpm.part = "", "", IF(LEN(_xlpm.error), _xlfn.SWITCH(IFERROR(_xlfn.TEXTBEFORE(_xlpm.error,":"), ""), "1", "Error", "2", "Disabled", "3", "Required", "4", "Warning", "Valid"), "Valid"))))</f>
        <v/>
      </c>
      <c r="AP8" s="22">
        <f t="array" ref="AP8">_xlfn.MAP('6 - TV Stands &amp; Enterta'!B8:B507, '6 - TV Stands &amp; Enterta'!AP8:AP507, '6 - TV Stands &amp; Enterta-WUO_ERR'!AP8:AP507, _xlfn.LAMBDA(_xlpm.part, _xlpm.val, _xlpm.error, IF(_xlpm.part = "", "", IF(LEN(_xlpm.error), _xlfn.SWITCH(IFERROR(_xlfn.TEXTBEFORE(_xlpm.error,":"), ""), "1", "Error", "2", "Disabled", "3", "Required", "4", "Warning", "Valid"), "Valid"))))</f>
        <v/>
      </c>
      <c r="AQ8" s="22">
        <f t="array" ref="AQ8">_xlfn.MAP('6 - TV Stands &amp; Enterta'!B8:B507, '6 - TV Stands &amp; Enterta'!AQ8:AQ507, '6 - TV Stands &amp; Enterta-WUO_ERR'!AQ8:AQ507, _xlfn.LAMBDA(_xlpm.part, _xlpm.val, _xlpm.error, IF(_xlpm.part = "", "", IF(LEN(_xlpm.error), _xlfn.SWITCH(IFERROR(_xlfn.TEXTBEFORE(_xlpm.error,":"), ""), "1", "Error", "2", "Disabled", "3", "Required", "4", "Warning", "Valid"), "Valid"))))</f>
        <v/>
      </c>
      <c r="AR8" s="22">
        <f t="array" ref="AR8">_xlfn.MAP('6 - TV Stands &amp; Enterta'!B8:B507, '6 - TV Stands &amp; Enterta'!AR8:AR507, '6 - TV Stands &amp; Enterta-WUO_ERR'!AR8:AR507, _xlfn.LAMBDA(_xlpm.part, _xlpm.val, _xlpm.error, IF(_xlpm.part = "", "", IF(LEN(_xlpm.error), _xlfn.SWITCH(IFERROR(_xlfn.TEXTBEFORE(_xlpm.error,":"), ""), "1", "Error", "2", "Disabled", "3", "Required", "4", "Warning", "Valid"), "Valid"))))</f>
        <v/>
      </c>
      <c r="AS8" s="22">
        <f t="array" ref="AS8">_xlfn.MAP('6 - TV Stands &amp; Enterta'!B8:B507, '6 - TV Stands &amp; Enterta'!AS8:AS507, '6 - TV Stands &amp; Enterta-WUO_ERR'!AS8:AS507, _xlfn.LAMBDA(_xlpm.part, _xlpm.val, _xlpm.error, IF(_xlpm.part = "", "", IF(LEN(_xlpm.error), _xlfn.SWITCH(IFERROR(_xlfn.TEXTBEFORE(_xlpm.error,":"), ""), "1", "Error", "2", "Disabled", "3", "Required", "4", "Warning", "Valid"), "Valid"))))</f>
        <v/>
      </c>
      <c r="AT8" s="22">
        <f t="array" ref="AT8">_xlfn.MAP('6 - TV Stands &amp; Enterta'!B8:B507, '6 - TV Stands &amp; Enterta'!AT8:AT507, '6 - TV Stands &amp; Enterta-WUO_ERR'!AT8:AT507, _xlfn.LAMBDA(_xlpm.part, _xlpm.val, _xlpm.error, IF(_xlpm.part = "", "", IF(LEN(_xlpm.error), _xlfn.SWITCH(IFERROR(_xlfn.TEXTBEFORE(_xlpm.error,":"), ""), "1", "Error", "2", "Disabled", "3", "Required", "4", "Warning", "Valid"), "Valid"))))</f>
        <v/>
      </c>
      <c r="AU8" s="22">
        <f t="array" ref="AU8">_xlfn.MAP('6 - TV Stands &amp; Enterta'!B8:B507, '6 - TV Stands &amp; Enterta'!AU8:AU507, '6 - TV Stands &amp; Enterta-WUO_ERR'!AU8:AU507, _xlfn.LAMBDA(_xlpm.part, _xlpm.val, _xlpm.error, IF(_xlpm.part = "", "", IF(LEN(_xlpm.error), _xlfn.SWITCH(IFERROR(_xlfn.TEXTBEFORE(_xlpm.error,":"), ""), "1", "Error", "2", "Disabled", "3", "Required", "4", "Warning", "Valid"), "Valid"))))</f>
        <v/>
      </c>
      <c r="AV8" s="22">
        <f t="array" ref="AV8">_xlfn.MAP('6 - TV Stands &amp; Enterta'!B8:B507, '6 - TV Stands &amp; Enterta'!AV8:AV507, '6 - TV Stands &amp; Enterta-WUO_ERR'!AV8:AV507, _xlfn.LAMBDA(_xlpm.part, _xlpm.val, _xlpm.error, IF(_xlpm.part = "", "", IF(LEN(_xlpm.error), _xlfn.SWITCH(IFERROR(_xlfn.TEXTBEFORE(_xlpm.error,":"), ""), "1", "Error", "2", "Disabled", "3", "Required", "4", "Warning", "Valid"), "Valid"))))</f>
        <v/>
      </c>
      <c r="AW8" s="22">
        <f t="array" ref="AW8">_xlfn.MAP('6 - TV Stands &amp; Enterta'!B8:B507, '6 - TV Stands &amp; Enterta'!AW8:AW507, '6 - TV Stands &amp; Enterta-WUO_ERR'!AW8:AW507, _xlfn.LAMBDA(_xlpm.part, _xlpm.val, _xlpm.error, IF(_xlpm.part = "", "", IF(LEN(_xlpm.error), _xlfn.SWITCH(IFERROR(_xlfn.TEXTBEFORE(_xlpm.error,":"), ""), "1", "Error", "2", "Disabled", "3", "Required", "4", "Warning", "Valid"), "Valid"))))</f>
        <v/>
      </c>
      <c r="AX8" s="22">
        <f t="array" ref="AX8">_xlfn.MAP('6 - TV Stands &amp; Enterta'!B8:B507, '6 - TV Stands &amp; Enterta'!AX8:AX507, '6 - TV Stands &amp; Enterta-WUO_ERR'!AX8:AX507, _xlfn.LAMBDA(_xlpm.part, _xlpm.val, _xlpm.error, IF(_xlpm.part = "", "", IF(LEN(_xlpm.error), _xlfn.SWITCH(IFERROR(_xlfn.TEXTBEFORE(_xlpm.error,":"), ""), "1", "Error", "2", "Disabled", "3", "Required", "4", "Warning", "Valid"), "Valid"))))</f>
        <v/>
      </c>
      <c r="AY8" s="22">
        <f t="array" ref="AY8">_xlfn.MAP('6 - TV Stands &amp; Enterta'!B8:B507, '6 - TV Stands &amp; Enterta'!AY8:AY507, '6 - TV Stands &amp; Enterta-WUO_ERR'!AY8:AY507, _xlfn.LAMBDA(_xlpm.part, _xlpm.val, _xlpm.error, IF(_xlpm.part = "", "", IF(LEN(_xlpm.error), _xlfn.SWITCH(IFERROR(_xlfn.TEXTBEFORE(_xlpm.error,":"), ""), "1", "Error", "2", "Disabled", "3", "Required", "4", "Warning", "Valid"), "Valid"))))</f>
        <v/>
      </c>
      <c r="AZ8" s="22">
        <f t="array" ref="AZ8">_xlfn.MAP('6 - TV Stands &amp; Enterta'!B8:B507, '6 - TV Stands &amp; Enterta'!AZ8:AZ507, '6 - TV Stands &amp; Enterta-WUO_ERR'!AZ8:AZ507, _xlfn.LAMBDA(_xlpm.part, _xlpm.val, _xlpm.error, IF(_xlpm.part = "", "", IF(LEN(_xlpm.error), _xlfn.SWITCH(IFERROR(_xlfn.TEXTBEFORE(_xlpm.error,":"), ""), "1", "Error", "2", "Disabled", "3", "Required", "4", "Warning", "Valid"), "Valid"))))</f>
        <v/>
      </c>
      <c r="BA8" s="22">
        <f t="array" ref="BA8">_xlfn.MAP('6 - TV Stands &amp; Enterta'!B8:B507, '6 - TV Stands &amp; Enterta'!BA8:BA507, '6 - TV Stands &amp; Enterta-WUO_ERR'!BA8:BA507, _xlfn.LAMBDA(_xlpm.part, _xlpm.val, _xlpm.error, IF(_xlpm.part = "", "", IF(LEN(_xlpm.error), _xlfn.SWITCH(IFERROR(_xlfn.TEXTBEFORE(_xlpm.error,":"), ""), "1", "Error", "2", "Disabled", "3", "Required", "4", "Warning", "Valid"), "Valid"))))</f>
        <v/>
      </c>
      <c r="BB8" s="22">
        <f t="array" ref="BB8">_xlfn.MAP('6 - TV Stands &amp; Enterta'!B8:B507, '6 - TV Stands &amp; Enterta'!BB8:BB507, '6 - TV Stands &amp; Enterta-WUO_ERR'!BB8:BB507, _xlfn.LAMBDA(_xlpm.part, _xlpm.val, _xlpm.error, IF(_xlpm.part = "", "", IF(LEN(_xlpm.error), _xlfn.SWITCH(IFERROR(_xlfn.TEXTBEFORE(_xlpm.error,":"), ""), "1", "Error", "2", "Disabled", "3", "Required", "4", "Warning", "Valid"), "Valid"))))</f>
        <v/>
      </c>
      <c r="BC8" s="22">
        <f t="array" ref="BC8">_xlfn.MAP('6 - TV Stands &amp; Enterta'!B8:B507, '6 - TV Stands &amp; Enterta'!BC8:BC507, '6 - TV Stands &amp; Enterta-WUO_ERR'!BC8:BC507, _xlfn.LAMBDA(_xlpm.part, _xlpm.val, _xlpm.error, IF(_xlpm.part = "", "", IF(LEN(_xlpm.error), _xlfn.SWITCH(IFERROR(_xlfn.TEXTBEFORE(_xlpm.error,":"), ""), "1", "Error", "2", "Disabled", "3", "Required", "4", "Warning", "Valid"), "Valid"))))</f>
        <v/>
      </c>
      <c r="BD8" s="22">
        <f t="array" ref="BD8">_xlfn.MAP('6 - TV Stands &amp; Enterta'!B8:B507, '6 - TV Stands &amp; Enterta'!BD8:BD507, '6 - TV Stands &amp; Enterta-WUO_ERR'!BD8:BD507, _xlfn.LAMBDA(_xlpm.part, _xlpm.val, _xlpm.error, IF(_xlpm.part = "", "", IF(LEN(_xlpm.error), _xlfn.SWITCH(IFERROR(_xlfn.TEXTBEFORE(_xlpm.error,":"), ""), "1", "Error", "2", "Disabled", "3", "Required", "4", "Warning", "Valid"), "Valid"))))</f>
        <v/>
      </c>
      <c r="BE8" s="22">
        <f t="array" ref="BE8">_xlfn.MAP('6 - TV Stands &amp; Enterta'!B8:B507, '6 - TV Stands &amp; Enterta'!BE8:BE507, '6 - TV Stands &amp; Enterta-WUO_ERR'!BE8:BE507, _xlfn.LAMBDA(_xlpm.part, _xlpm.val, _xlpm.error, IF(_xlpm.part = "", "", IF(LEN(_xlpm.error), _xlfn.SWITCH(IFERROR(_xlfn.TEXTBEFORE(_xlpm.error,":"), ""), "1", "Error", "2", "Disabled", "3", "Required", "4", "Warning", "Valid"), "Valid"))))</f>
        <v/>
      </c>
      <c r="BF8" s="22">
        <f t="array" ref="BF8">_xlfn.MAP('6 - TV Stands &amp; Enterta'!B8:B507, '6 - TV Stands &amp; Enterta'!BF8:BF507, '6 - TV Stands &amp; Enterta-WUO_ERR'!BF8:BF507, _xlfn.LAMBDA(_xlpm.part, _xlpm.val, _xlpm.error, IF(_xlpm.part = "", "", IF(LEN(_xlpm.error), _xlfn.SWITCH(IFERROR(_xlfn.TEXTBEFORE(_xlpm.error,":"), ""), "1", "Error", "2", "Disabled", "3", "Required", "4", "Warning", "Valid"), "Valid"))))</f>
        <v/>
      </c>
      <c r="BG8" s="22">
        <f t="array" ref="BG8">_xlfn.MAP('6 - TV Stands &amp; Enterta'!B8:B507, '6 - TV Stands &amp; Enterta'!BG8:BG507, '6 - TV Stands &amp; Enterta-WUO_ERR'!BG8:BG507, _xlfn.LAMBDA(_xlpm.part, _xlpm.val, _xlpm.error, IF(_xlpm.part = "", "", IF(LEN(_xlpm.error), _xlfn.SWITCH(IFERROR(_xlfn.TEXTBEFORE(_xlpm.error,":"), ""), "1", "Error", "2", "Disabled", "3", "Required", "4", "Warning", "Valid"), "Valid"))))</f>
        <v/>
      </c>
      <c r="BH8" s="22">
        <f t="array" ref="BH8">_xlfn.MAP('6 - TV Stands &amp; Enterta'!B8:B507, '6 - TV Stands &amp; Enterta'!BH8:BH507, '6 - TV Stands &amp; Enterta-WUO_ERR'!BH8:BH507, _xlfn.LAMBDA(_xlpm.part, _xlpm.val, _xlpm.error, IF(_xlpm.part = "", "", IF(LEN(_xlpm.error), _xlfn.SWITCH(IFERROR(_xlfn.TEXTBEFORE(_xlpm.error,":"), ""), "1", "Error", "2", "Disabled", "3", "Required", "4", "Warning", "Valid"), "Valid"))))</f>
        <v/>
      </c>
      <c r="BI8" s="22">
        <f t="array" ref="BI8">_xlfn.MAP('6 - TV Stands &amp; Enterta'!B8:B507, '6 - TV Stands &amp; Enterta'!BI8:BI507, '6 - TV Stands &amp; Enterta-WUO_ERR'!BI8:BI507, _xlfn.LAMBDA(_xlpm.part, _xlpm.val, _xlpm.error, IF(_xlpm.part = "", "", IF(LEN(_xlpm.error), _xlfn.SWITCH(IFERROR(_xlfn.TEXTBEFORE(_xlpm.error,":"), ""), "1", "Error", "2", "Disabled", "3", "Required", "4", "Warning", "Valid"), "Valid"))))</f>
        <v/>
      </c>
      <c r="BJ8" s="22">
        <f t="array" ref="BJ8">_xlfn.MAP('6 - TV Stands &amp; Enterta'!B8:B507, '6 - TV Stands &amp; Enterta'!BJ8:BJ507, '6 - TV Stands &amp; Enterta-WUO_ERR'!BJ8:BJ507, _xlfn.LAMBDA(_xlpm.part, _xlpm.val, _xlpm.error, IF(_xlpm.part = "", "", IF(LEN(_xlpm.error), _xlfn.SWITCH(IFERROR(_xlfn.TEXTBEFORE(_xlpm.error,":"), ""), "1", "Error", "2", "Disabled", "3", "Required", "4", "Warning", "Valid"), "Valid"))))</f>
        <v/>
      </c>
      <c r="BK8" s="22">
        <f t="array" ref="BK8">_xlfn.MAP('6 - TV Stands &amp; Enterta'!B8:B507, '6 - TV Stands &amp; Enterta'!BK8:BK507, '6 - TV Stands &amp; Enterta-WUO_ERR'!BK8:BK507, _xlfn.LAMBDA(_xlpm.part, _xlpm.val, _xlpm.error, IF(_xlpm.part = "", "", IF(LEN(_xlpm.error), _xlfn.SWITCH(IFERROR(_xlfn.TEXTBEFORE(_xlpm.error,":"), ""), "1", "Error", "2", "Disabled", "3", "Required", "4", "Warning", "Valid"), "Valid"))))</f>
        <v/>
      </c>
      <c r="BL8" s="22">
        <f t="array" ref="BL8">_xlfn.MAP('6 - TV Stands &amp; Enterta'!B8:B507, '6 - TV Stands &amp; Enterta'!BL8:BL507, '6 - TV Stands &amp; Enterta-WUO_ERR'!BL8:BL507, _xlfn.LAMBDA(_xlpm.part, _xlpm.val, _xlpm.error, IF(_xlpm.part = "", "", IF(LEN(_xlpm.error), _xlfn.SWITCH(IFERROR(_xlfn.TEXTBEFORE(_xlpm.error,":"), ""), "1", "Error", "2", "Disabled", "3", "Required", "4", "Warning", "Valid"), "Valid"))))</f>
        <v/>
      </c>
      <c r="BM8" s="22">
        <f t="array" ref="BM8">_xlfn.MAP('6 - TV Stands &amp; Enterta'!B8:B507, '6 - TV Stands &amp; Enterta'!BM8:BM507, '6 - TV Stands &amp; Enterta-WUO_ERR'!BM8:BM507, _xlfn.LAMBDA(_xlpm.part, _xlpm.val, _xlpm.error, IF(_xlpm.part = "", "", IF(LEN(_xlpm.error), _xlfn.SWITCH(IFERROR(_xlfn.TEXTBEFORE(_xlpm.error,":"), ""), "1", "Error", "2", "Disabled", "3", "Required", "4", "Warning", "Valid"), "Valid"))))</f>
        <v/>
      </c>
      <c r="BN8" s="22">
        <f t="array" ref="BN8">_xlfn.MAP('6 - TV Stands &amp; Enterta'!B8:B507, '6 - TV Stands &amp; Enterta'!BN8:BN507, '6 - TV Stands &amp; Enterta-WUO_ERR'!BN8:BN507, _xlfn.LAMBDA(_xlpm.part, _xlpm.val, _xlpm.error, IF(_xlpm.part = "", "", IF(LEN(_xlpm.error), _xlfn.SWITCH(IFERROR(_xlfn.TEXTBEFORE(_xlpm.error,":"), ""), "1", "Error", "2", "Disabled", "3", "Required", "4", "Warning", "Valid"), "Valid"))))</f>
        <v/>
      </c>
      <c r="BO8" s="22">
        <f t="array" ref="BO8">_xlfn.MAP('6 - TV Stands &amp; Enterta'!B8:B507, '6 - TV Stands &amp; Enterta'!BO8:BO507, '6 - TV Stands &amp; Enterta-WUO_ERR'!BO8:BO507, _xlfn.LAMBDA(_xlpm.part, _xlpm.val, _xlpm.error, IF(_xlpm.part = "", "", IF(LEN(_xlpm.error), _xlfn.SWITCH(IFERROR(_xlfn.TEXTBEFORE(_xlpm.error,":"), ""), "1", "Error", "2", "Disabled", "3", "Required", "4", "Warning", "Valid"), "Valid"))))</f>
        <v/>
      </c>
      <c r="BP8" s="22">
        <f t="array" ref="BP8">_xlfn.MAP('6 - TV Stands &amp; Enterta'!B8:B507, '6 - TV Stands &amp; Enterta'!BP8:BP507, '6 - TV Stands &amp; Enterta-WUO_ERR'!BP8:BP507, _xlfn.LAMBDA(_xlpm.part, _xlpm.val, _xlpm.error, IF(_xlpm.part = "", "", IF(LEN(_xlpm.error), _xlfn.SWITCH(IFERROR(_xlfn.TEXTBEFORE(_xlpm.error,":"), ""), "1", "Error", "2", "Disabled", "3", "Required", "4", "Warning", "Valid"), "Valid"))))</f>
        <v/>
      </c>
      <c r="BQ8" s="22">
        <f t="array" ref="BQ8">_xlfn.MAP('6 - TV Stands &amp; Enterta'!B8:B507, '6 - TV Stands &amp; Enterta'!BQ8:BQ507, '6 - TV Stands &amp; Enterta-WUO_ERR'!BQ8:BQ507, _xlfn.LAMBDA(_xlpm.part, _xlpm.val, _xlpm.error, IF(_xlpm.part = "", "", IF(LEN(_xlpm.error), _xlfn.SWITCH(IFERROR(_xlfn.TEXTBEFORE(_xlpm.error,":"), ""), "1", "Error", "2", "Disabled", "3", "Required", "4", "Warning", "Valid"), "Valid"))))</f>
        <v/>
      </c>
      <c r="BR8" s="22">
        <f t="array" ref="BR8">_xlfn.MAP('6 - TV Stands &amp; Enterta'!B8:B507, '6 - TV Stands &amp; Enterta'!BR8:BR507, '6 - TV Stands &amp; Enterta-WUO_ERR'!BR8:BR507, _xlfn.LAMBDA(_xlpm.part, _xlpm.val, _xlpm.error, IF(_xlpm.part = "", "", IF(LEN(_xlpm.error), _xlfn.SWITCH(IFERROR(_xlfn.TEXTBEFORE(_xlpm.error,":"), ""), "1", "Error", "2", "Disabled", "3", "Required", "4", "Warning", "Valid"), "Valid"))))</f>
        <v/>
      </c>
      <c r="BS8" s="22">
        <f t="array" ref="BS8">_xlfn.MAP('6 - TV Stands &amp; Enterta'!B8:B507, '6 - TV Stands &amp; Enterta'!BS8:BS507, '6 - TV Stands &amp; Enterta-WUO_ERR'!BS8:BS507, _xlfn.LAMBDA(_xlpm.part, _xlpm.val, _xlpm.error, IF(_xlpm.part = "", "", IF(LEN(_xlpm.error), _xlfn.SWITCH(IFERROR(_xlfn.TEXTBEFORE(_xlpm.error,":"), ""), "1", "Error", "2", "Disabled", "3", "Required", "4", "Warning", "Valid"), "Valid"))))</f>
        <v/>
      </c>
      <c r="BT8" s="22">
        <f t="array" ref="BT8">_xlfn.MAP('6 - TV Stands &amp; Enterta'!B8:B507, '6 - TV Stands &amp; Enterta'!BT8:BT507, '6 - TV Stands &amp; Enterta-WUO_ERR'!BT8:BT507, _xlfn.LAMBDA(_xlpm.part, _xlpm.val, _xlpm.error, IF(_xlpm.part = "", "", IF(LEN(_xlpm.error), _xlfn.SWITCH(IFERROR(_xlfn.TEXTBEFORE(_xlpm.error,":"), ""), "1", "Error", "2", "Disabled", "3", "Required", "4", "Warning", "Valid"), "Valid"))))</f>
        <v/>
      </c>
      <c r="BU8" s="22">
        <f t="array" ref="BU8">_xlfn.MAP('6 - TV Stands &amp; Enterta'!B8:B507, '6 - TV Stands &amp; Enterta'!BU8:BU507, '6 - TV Stands &amp; Enterta-WUO_ERR'!BU8:BU507, _xlfn.LAMBDA(_xlpm.part, _xlpm.val, _xlpm.error, IF(_xlpm.part = "", "", IF(LEN(_xlpm.error), _xlfn.SWITCH(IFERROR(_xlfn.TEXTBEFORE(_xlpm.error,":"), ""), "1", "Error", "2", "Disabled", "3", "Required", "4", "Warning", "Valid"), "Valid"))))</f>
        <v/>
      </c>
      <c r="BV8" s="22">
        <f t="array" ref="BV8">_xlfn.MAP('6 - TV Stands &amp; Enterta'!B8:B507, '6 - TV Stands &amp; Enterta'!BV8:BV507, '6 - TV Stands &amp; Enterta-WUO_ERR'!BV8:BV507, _xlfn.LAMBDA(_xlpm.part, _xlpm.val, _xlpm.error, IF(_xlpm.part = "", "", IF(LEN(_xlpm.error), _xlfn.SWITCH(IFERROR(_xlfn.TEXTBEFORE(_xlpm.error,":"), ""), "1", "Error", "2", "Disabled", "3", "Required", "4", "Warning", "Valid"), "Valid"))))</f>
        <v/>
      </c>
      <c r="BW8" s="22">
        <f t="array" ref="BW8">_xlfn.MAP('6 - TV Stands &amp; Enterta'!B8:B507, '6 - TV Stands &amp; Enterta'!BW8:BW507, '6 - TV Stands &amp; Enterta-WUO_ERR'!BW8:BW507, _xlfn.LAMBDA(_xlpm.part, _xlpm.val, _xlpm.error, IF(_xlpm.part = "", "", IF(LEN(_xlpm.error), _xlfn.SWITCH(IFERROR(_xlfn.TEXTBEFORE(_xlpm.error,":"), ""), "1", "Error", "2", "Disabled", "3", "Required", "4", "Warning", "Valid"), "Valid"))))</f>
        <v/>
      </c>
      <c r="BX8" s="22">
        <f t="array" ref="BX8">_xlfn.MAP('6 - TV Stands &amp; Enterta'!B8:B507, '6 - TV Stands &amp; Enterta'!BX8:BX507, '6 - TV Stands &amp; Enterta-WUO_ERR'!BX8:BX507, _xlfn.LAMBDA(_xlpm.part, _xlpm.val, _xlpm.error, IF(_xlpm.part = "", "", IF(LEN(_xlpm.error), _xlfn.SWITCH(IFERROR(_xlfn.TEXTBEFORE(_xlpm.error,":"), ""), "1", "Error", "2", "Disabled", "3", "Required", "4", "Warning", "Valid"), "Valid"))))</f>
        <v/>
      </c>
      <c r="BY8" s="22">
        <f t="array" ref="BY8">_xlfn.MAP('6 - TV Stands &amp; Enterta'!B8:B507, '6 - TV Stands &amp; Enterta'!BY8:BY507, '6 - TV Stands &amp; Enterta-WUO_ERR'!BY8:BY507, _xlfn.LAMBDA(_xlpm.part, _xlpm.val, _xlpm.error, IF(_xlpm.part = "", "", IF(LEN(_xlpm.error), _xlfn.SWITCH(IFERROR(_xlfn.TEXTBEFORE(_xlpm.error,":"), ""), "1", "Error", "2", "Disabled", "3", "Required", "4", "Warning", "Valid"), "Valid"))))</f>
        <v/>
      </c>
      <c r="BZ8" s="22">
        <f t="array" ref="BZ8">_xlfn.MAP('6 - TV Stands &amp; Enterta'!B8:B507, '6 - TV Stands &amp; Enterta'!BZ8:BZ507, '6 - TV Stands &amp; Enterta-WUO_ERR'!BZ8:BZ507, _xlfn.LAMBDA(_xlpm.part, _xlpm.val, _xlpm.error, IF(_xlpm.part = "", "", IF(LEN(_xlpm.error), _xlfn.SWITCH(IFERROR(_xlfn.TEXTBEFORE(_xlpm.error,":"), ""), "1", "Error", "2", "Disabled", "3", "Required", "4", "Warning", "Valid"), "Valid"))))</f>
        <v/>
      </c>
      <c r="CA8" s="22">
        <f t="array" ref="CA8">_xlfn.MAP('6 - TV Stands &amp; Enterta'!B8:B507, '6 - TV Stands &amp; Enterta'!CA8:CA507, '6 - TV Stands &amp; Enterta-WUO_ERR'!CA8:CA507, _xlfn.LAMBDA(_xlpm.part, _xlpm.val, _xlpm.error, IF(_xlpm.part = "", "", IF(LEN(_xlpm.error), _xlfn.SWITCH(IFERROR(_xlfn.TEXTBEFORE(_xlpm.error,":"), ""), "1", "Error", "2", "Disabled", "3", "Required", "4", "Warning", "Valid"), "Valid"))))</f>
        <v/>
      </c>
      <c r="CB8" s="22">
        <f t="array" ref="CB8">_xlfn.MAP('6 - TV Stands &amp; Enterta'!B8:B507, '6 - TV Stands &amp; Enterta'!CB8:CB507, '6 - TV Stands &amp; Enterta-WUO_ERR'!CB8:CB507, _xlfn.LAMBDA(_xlpm.part, _xlpm.val, _xlpm.error, IF(_xlpm.part = "", "", IF(LEN(_xlpm.error), _xlfn.SWITCH(IFERROR(_xlfn.TEXTBEFORE(_xlpm.error,":"), ""), "1", "Error", "2", "Disabled", "3", "Required", "4", "Warning", "Valid"), "Valid"))))</f>
        <v/>
      </c>
      <c r="CC8" s="22">
        <f t="array" ref="CC8">_xlfn.MAP('6 - TV Stands &amp; Enterta'!B8:B507, '6 - TV Stands &amp; Enterta'!CC8:CC507, '6 - TV Stands &amp; Enterta-WUO_ERR'!CC8:CC507, _xlfn.LAMBDA(_xlpm.part, _xlpm.val, _xlpm.error, IF(_xlpm.part = "", "", IF(LEN(_xlpm.error), _xlfn.SWITCH(IFERROR(_xlfn.TEXTBEFORE(_xlpm.error,":"), ""), "1", "Error", "2", "Disabled", "3", "Required", "4", "Warning", "Valid"), "Valid"))))</f>
        <v/>
      </c>
      <c r="CD8" s="22">
        <f t="array" ref="CD8">_xlfn.MAP('6 - TV Stands &amp; Enterta'!B8:B507, '6 - TV Stands &amp; Enterta'!CD8:CD507, '6 - TV Stands &amp; Enterta-WUO_ERR'!CD8:CD507, _xlfn.LAMBDA(_xlpm.part, _xlpm.val, _xlpm.error, IF(_xlpm.part = "", "", IF(LEN(_xlpm.error), _xlfn.SWITCH(IFERROR(_xlfn.TEXTBEFORE(_xlpm.error,":"), ""), "1", "Error", "2", "Disabled", "3", "Required", "4", "Warning", "Valid"), "Valid"))))</f>
        <v/>
      </c>
      <c r="CE8" s="22">
        <f t="array" ref="CE8">_xlfn.MAP('6 - TV Stands &amp; Enterta'!B8:B507, '6 - TV Stands &amp; Enterta'!CE8:CE507, '6 - TV Stands &amp; Enterta-WUO_ERR'!CE8:CE507, _xlfn.LAMBDA(_xlpm.part, _xlpm.val, _xlpm.error, IF(_xlpm.part = "", "", IF(LEN(_xlpm.error), _xlfn.SWITCH(IFERROR(_xlfn.TEXTBEFORE(_xlpm.error,":"), ""), "1", "Error", "2", "Disabled", "3", "Required", "4", "Warning", "Valid"), "Valid"))))</f>
        <v/>
      </c>
      <c r="CF8" s="22">
        <f t="array" ref="CF8">_xlfn.MAP('6 - TV Stands &amp; Enterta'!B8:B507, '6 - TV Stands &amp; Enterta'!CF8:CF507, '6 - TV Stands &amp; Enterta-WUO_ERR'!CF8:CF507, _xlfn.LAMBDA(_xlpm.part, _xlpm.val, _xlpm.error, IF(_xlpm.part = "", "", IF(LEN(_xlpm.error), _xlfn.SWITCH(IFERROR(_xlfn.TEXTBEFORE(_xlpm.error,":"), ""), "1", "Error", "2", "Disabled", "3", "Required", "4", "Warning", "Valid"), "Valid"))))</f>
        <v/>
      </c>
      <c r="CG8" s="22">
        <f t="array" ref="CG8">_xlfn.MAP('6 - TV Stands &amp; Enterta'!B8:B507, '6 - TV Stands &amp; Enterta'!CG8:CG507, '6 - TV Stands &amp; Enterta-WUO_ERR'!CG8:CG507, _xlfn.LAMBDA(_xlpm.part, _xlpm.val, _xlpm.error, IF(_xlpm.part = "", "", IF(LEN(_xlpm.error), _xlfn.SWITCH(IFERROR(_xlfn.TEXTBEFORE(_xlpm.error,":"), ""), "1", "Error", "2", "Disabled", "3", "Required", "4", "Warning", "Valid"), "Valid"))))</f>
        <v/>
      </c>
      <c r="CH8" s="22">
        <f t="array" ref="CH8">_xlfn.MAP('6 - TV Stands &amp; Enterta'!B8:B507, '6 - TV Stands &amp; Enterta'!CH8:CH507, '6 - TV Stands &amp; Enterta-WUO_ERR'!CH8:CH507, _xlfn.LAMBDA(_xlpm.part, _xlpm.val, _xlpm.error, IF(_xlpm.part = "", "", IF(LEN(_xlpm.error), _xlfn.SWITCH(IFERROR(_xlfn.TEXTBEFORE(_xlpm.error,":"), ""), "1", "Error", "2", "Disabled", "3", "Required", "4", "Warning", "Valid"), "Valid"))))</f>
        <v/>
      </c>
      <c r="CI8" s="22">
        <f t="array" ref="CI8">_xlfn.MAP('6 - TV Stands &amp; Enterta'!B8:B507, '6 - TV Stands &amp; Enterta'!CI8:CI507, '6 - TV Stands &amp; Enterta-WUO_ERR'!CI8:CI507, _xlfn.LAMBDA(_xlpm.part, _xlpm.val, _xlpm.error, IF(_xlpm.part = "", "", IF(LEN(_xlpm.error), _xlfn.SWITCH(IFERROR(_xlfn.TEXTBEFORE(_xlpm.error,":"), ""), "1", "Error", "2", "Disabled", "3", "Required", "4", "Warning", "Valid"), "Valid"))))</f>
        <v/>
      </c>
      <c r="CJ8" s="22">
        <f t="array" ref="CJ8">_xlfn.MAP('6 - TV Stands &amp; Enterta'!B8:B507, '6 - TV Stands &amp; Enterta'!CJ8:CJ507, '6 - TV Stands &amp; Enterta-WUO_ERR'!CJ8:CJ507, _xlfn.LAMBDA(_xlpm.part, _xlpm.val, _xlpm.error, IF(_xlpm.part = "", "", IF(LEN(_xlpm.error), _xlfn.SWITCH(IFERROR(_xlfn.TEXTBEFORE(_xlpm.error,":"), ""), "1", "Error", "2", "Disabled", "3", "Required", "4", "Warning", "Valid"), "Valid"))))</f>
        <v/>
      </c>
      <c r="CK8" s="22">
        <f t="array" ref="CK8">_xlfn.MAP('6 - TV Stands &amp; Enterta'!B8:B507, '6 - TV Stands &amp; Enterta'!CK8:CK507, '6 - TV Stands &amp; Enterta-WUO_ERR'!CK8:CK507, _xlfn.LAMBDA(_xlpm.part, _xlpm.val, _xlpm.error, IF(_xlpm.part = "", "", IF(LEN(_xlpm.error), _xlfn.SWITCH(IFERROR(_xlfn.TEXTBEFORE(_xlpm.error,":"), ""), "1", "Error", "2", "Disabled", "3", "Required", "4", "Warning", "Valid"), "Valid"))))</f>
        <v/>
      </c>
      <c r="CL8" s="22">
        <f t="array" ref="CL8">_xlfn.MAP('6 - TV Stands &amp; Enterta'!B8:B507, '6 - TV Stands &amp; Enterta'!CL8:CL507, '6 - TV Stands &amp; Enterta-WUO_ERR'!CL8:CL507, _xlfn.LAMBDA(_xlpm.part, _xlpm.val, _xlpm.error, IF(_xlpm.part = "", "", IF(LEN(_xlpm.error), _xlfn.SWITCH(IFERROR(_xlfn.TEXTBEFORE(_xlpm.error,":"), ""), "1", "Error", "2", "Disabled", "3", "Required", "4", "Warning", "Valid"), "Valid"))))</f>
        <v/>
      </c>
      <c r="CM8" s="22">
        <f t="array" ref="CM8">_xlfn.MAP('6 - TV Stands &amp; Enterta'!B8:B507, '6 - TV Stands &amp; Enterta'!CM8:CM507, '6 - TV Stands &amp; Enterta-WUO_ERR'!CM8:CM507, _xlfn.LAMBDA(_xlpm.part, _xlpm.val, _xlpm.error, IF(_xlpm.part = "", "", IF(LEN(_xlpm.error), _xlfn.SWITCH(IFERROR(_xlfn.TEXTBEFORE(_xlpm.error,":"), ""), "1", "Error", "2", "Disabled", "3", "Required", "4", "Warning", "Valid"), "Valid"))))</f>
        <v/>
      </c>
      <c r="CN8" s="22">
        <f t="array" ref="CN8">_xlfn.MAP('6 - TV Stands &amp; Enterta'!B8:B507, '6 - TV Stands &amp; Enterta'!CN8:CN507, '6 - TV Stands &amp; Enterta-WUO_ERR'!CN8:CN507, _xlfn.LAMBDA(_xlpm.part, _xlpm.val, _xlpm.error, IF(_xlpm.part = "", "", IF(LEN(_xlpm.error), _xlfn.SWITCH(IFERROR(_xlfn.TEXTBEFORE(_xlpm.error,":"), ""), "1", "Error", "2", "Disabled", "3", "Required", "4", "Warning", "Valid"), "Valid"))))</f>
        <v/>
      </c>
      <c r="CO8" s="22">
        <f t="array" ref="CO8">_xlfn.MAP('6 - TV Stands &amp; Enterta'!B8:B507, '6 - TV Stands &amp; Enterta'!CO8:CO507, '6 - TV Stands &amp; Enterta-WUO_ERR'!CO8:CO507, _xlfn.LAMBDA(_xlpm.part, _xlpm.val, _xlpm.error, IF(_xlpm.part = "", "", IF(LEN(_xlpm.error), _xlfn.SWITCH(IFERROR(_xlfn.TEXTBEFORE(_xlpm.error,":"), ""), "1", "Error", "2", "Disabled", "3", "Required", "4", "Warning", "Valid"), "Valid"))))</f>
        <v/>
      </c>
      <c r="CP8" s="22">
        <f t="array" ref="CP8">_xlfn.MAP('6 - TV Stands &amp; Enterta'!B8:B507, '6 - TV Stands &amp; Enterta'!CP8:CP507, '6 - TV Stands &amp; Enterta-WUO_ERR'!CP8:CP507, _xlfn.LAMBDA(_xlpm.part, _xlpm.val, _xlpm.error, IF(_xlpm.part = "", "", IF(LEN(_xlpm.error), _xlfn.SWITCH(IFERROR(_xlfn.TEXTBEFORE(_xlpm.error,":"), ""), "1", "Error", "2", "Disabled", "3", "Required", "4", "Warning", "Valid"), "Valid"))))</f>
        <v/>
      </c>
      <c r="CQ8" s="22">
        <f t="array" ref="CQ8">_xlfn.MAP('6 - TV Stands &amp; Enterta'!B8:B507, '6 - TV Stands &amp; Enterta'!CQ8:CQ507, '6 - TV Stands &amp; Enterta-WUO_ERR'!CQ8:CQ507, _xlfn.LAMBDA(_xlpm.part, _xlpm.val, _xlpm.error, IF(_xlpm.part = "", "", IF(LEN(_xlpm.error), _xlfn.SWITCH(IFERROR(_xlfn.TEXTBEFORE(_xlpm.error,":"), ""), "1", "Error", "2", "Disabled", "3", "Required", "4", "Warning", "Valid"), "Valid"))))</f>
        <v/>
      </c>
      <c r="CR8" s="22">
        <f t="array" ref="CR8">_xlfn.MAP('6 - TV Stands &amp; Enterta'!B8:B507, '6 - TV Stands &amp; Enterta'!CR8:CR507, '6 - TV Stands &amp; Enterta-WUO_ERR'!CR8:CR507, _xlfn.LAMBDA(_xlpm.part, _xlpm.val, _xlpm.error, IF(_xlpm.part = "", "", IF(LEN(_xlpm.error), _xlfn.SWITCH(IFERROR(_xlfn.TEXTBEFORE(_xlpm.error,":"), ""), "1", "Error", "2", "Disabled", "3", "Required", "4", "Warning", "Valid"), "Valid"))))</f>
        <v/>
      </c>
      <c r="CS8" s="22">
        <f t="array" ref="CS8">_xlfn.MAP('6 - TV Stands &amp; Enterta'!B8:B507, '6 - TV Stands &amp; Enterta'!CS8:CS507, '6 - TV Stands &amp; Enterta-WUO_ERR'!CS8:CS507, _xlfn.LAMBDA(_xlpm.part, _xlpm.val, _xlpm.error, IF(_xlpm.part = "", "", IF(LEN(_xlpm.error), _xlfn.SWITCH(IFERROR(_xlfn.TEXTBEFORE(_xlpm.error,":"), ""), "1", "Error", "2", "Disabled", "3", "Required", "4", "Warning", "Valid"), "Valid"))))</f>
        <v/>
      </c>
      <c r="CT8" s="22">
        <f t="array" ref="CT8">_xlfn.MAP('6 - TV Stands &amp; Enterta'!B8:B507, '6 - TV Stands &amp; Enterta'!CT8:CT507, '6 - TV Stands &amp; Enterta-WUO_ERR'!CT8:CT507, _xlfn.LAMBDA(_xlpm.part, _xlpm.val, _xlpm.error, IF(_xlpm.part = "", "", IF(LEN(_xlpm.error), _xlfn.SWITCH(IFERROR(_xlfn.TEXTBEFORE(_xlpm.error,":"), ""), "1", "Error", "2", "Disabled", "3", "Required", "4", "Warning", "Valid"), "Valid"))))</f>
        <v/>
      </c>
      <c r="CU8" s="22">
        <f t="array" ref="CU8">_xlfn.MAP('6 - TV Stands &amp; Enterta'!B8:B507, '6 - TV Stands &amp; Enterta'!CU8:CU507, '6 - TV Stands &amp; Enterta-WUO_ERR'!CU8:CU507, _xlfn.LAMBDA(_xlpm.part, _xlpm.val, _xlpm.error, IF(_xlpm.part = "", "", IF(LEN(_xlpm.error), _xlfn.SWITCH(IFERROR(_xlfn.TEXTBEFORE(_xlpm.error,":"), ""), "1", "Error", "2", "Disabled", "3", "Required", "4", "Warning", "Valid"), "Valid"))))</f>
        <v/>
      </c>
      <c r="CV8" s="22">
        <f t="array" ref="CV8">_xlfn.MAP('6 - TV Stands &amp; Enterta'!B8:B507, '6 - TV Stands &amp; Enterta'!CV8:CV507, '6 - TV Stands &amp; Enterta-WUO_ERR'!CV8:CV507, _xlfn.LAMBDA(_xlpm.part, _xlpm.val, _xlpm.error, IF(_xlpm.part = "", "", IF(LEN(_xlpm.error), _xlfn.SWITCH(IFERROR(_xlfn.TEXTBEFORE(_xlpm.error,":"), ""), "1", "Error", "2", "Disabled", "3", "Required", "4", "Warning", "Valid"), "Valid"))))</f>
        <v/>
      </c>
      <c r="CW8" s="22">
        <f t="array" ref="CW8">_xlfn.MAP('6 - TV Stands &amp; Enterta'!B8:B507, '6 - TV Stands &amp; Enterta'!CW8:CW507, '6 - TV Stands &amp; Enterta-WUO_ERR'!CW8:CW507, _xlfn.LAMBDA(_xlpm.part, _xlpm.val, _xlpm.error, IF(_xlpm.part = "", "", IF(LEN(_xlpm.error), _xlfn.SWITCH(IFERROR(_xlfn.TEXTBEFORE(_xlpm.error,":"), ""), "1", "Error", "2", "Disabled", "3", "Required", "4", "Warning", "Valid"), "Valid"))))</f>
        <v/>
      </c>
      <c r="CX8" s="22">
        <f t="array" ref="CX8">_xlfn.MAP('6 - TV Stands &amp; Enterta'!B8:B507, '6 - TV Stands &amp; Enterta'!CX8:CX507, '6 - TV Stands &amp; Enterta-WUO_ERR'!CX8:CX507, _xlfn.LAMBDA(_xlpm.part, _xlpm.val, _xlpm.error, IF(_xlpm.part = "", "", IF(LEN(_xlpm.error), _xlfn.SWITCH(IFERROR(_xlfn.TEXTBEFORE(_xlpm.error,":"), ""), "1", "Error", "2", "Disabled", "3", "Required", "4", "Warning", "Valid"), "Valid"))))</f>
        <v/>
      </c>
      <c r="CY8" s="22">
        <f t="array" ref="CY8">_xlfn.MAP('6 - TV Stands &amp; Enterta'!B8:B507, '6 - TV Stands &amp; Enterta'!CY8:CY507, '6 - TV Stands &amp; Enterta-WUO_ERR'!CY8:CY507, _xlfn.LAMBDA(_xlpm.part, _xlpm.val, _xlpm.error, IF(_xlpm.part = "", "", IF(LEN(_xlpm.error), _xlfn.SWITCH(IFERROR(_xlfn.TEXTBEFORE(_xlpm.error,":"), ""), "1", "Error", "2", "Disabled", "3", "Required", "4", "Warning", "Valid"), "Valid"))))</f>
        <v/>
      </c>
      <c r="CZ8" s="22">
        <f t="array" ref="CZ8">_xlfn.MAP('6 - TV Stands &amp; Enterta'!B8:B507, '6 - TV Stands &amp; Enterta'!CZ8:CZ507, '6 - TV Stands &amp; Enterta-WUO_ERR'!CZ8:CZ507, _xlfn.LAMBDA(_xlpm.part, _xlpm.val, _xlpm.error, IF(_xlpm.part = "", "", IF(LEN(_xlpm.error), _xlfn.SWITCH(IFERROR(_xlfn.TEXTBEFORE(_xlpm.error,":"), ""), "1", "Error", "2", "Disabled", "3", "Required", "4", "Warning", "Valid"), "Valid"))))</f>
        <v/>
      </c>
      <c r="DA8" s="22">
        <f t="array" ref="DA8">_xlfn.MAP('6 - TV Stands &amp; Enterta'!B8:B507, '6 - TV Stands &amp; Enterta'!DA8:DA507, '6 - TV Stands &amp; Enterta-WUO_ERR'!DA8:DA507, _xlfn.LAMBDA(_xlpm.part, _xlpm.val, _xlpm.error, IF(_xlpm.part = "", "", IF(LEN(_xlpm.error), _xlfn.SWITCH(IFERROR(_xlfn.TEXTBEFORE(_xlpm.error,":"), ""), "1", "Error", "2", "Disabled", "3", "Required", "4", "Warning", "Valid"), "Valid"))))</f>
        <v/>
      </c>
      <c r="DB8" s="22">
        <f t="array" ref="DB8">_xlfn.MAP('6 - TV Stands &amp; Enterta'!B8:B507, '6 - TV Stands &amp; Enterta'!DB8:DB507, '6 - TV Stands &amp; Enterta-WUO_ERR'!DB8:DB507, _xlfn.LAMBDA(_xlpm.part, _xlpm.val, _xlpm.error, IF(_xlpm.part = "", "", IF(LEN(_xlpm.error), _xlfn.SWITCH(IFERROR(_xlfn.TEXTBEFORE(_xlpm.error,":"), ""), "1", "Error", "2", "Disabled", "3", "Required", "4", "Warning", "Valid"), "Valid"))))</f>
        <v/>
      </c>
      <c r="DC8" s="22">
        <f t="array" ref="DC8">_xlfn.MAP('6 - TV Stands &amp; Enterta'!B8:B507, '6 - TV Stands &amp; Enterta'!DC8:DC507, '6 - TV Stands &amp; Enterta-WUO_ERR'!DC8:DC507, _xlfn.LAMBDA(_xlpm.part, _xlpm.val, _xlpm.error, IF(_xlpm.part = "", "", IF(LEN(_xlpm.error), _xlfn.SWITCH(IFERROR(_xlfn.TEXTBEFORE(_xlpm.error,":"), ""), "1", "Error", "2", "Disabled", "3", "Required", "4", "Warning", "Valid"), "Valid"))))</f>
        <v/>
      </c>
      <c r="DD8" s="22">
        <f t="array" ref="DD8">_xlfn.MAP('6 - TV Stands &amp; Enterta'!B8:B507, '6 - TV Stands &amp; Enterta'!DD8:DD507, '6 - TV Stands &amp; Enterta-WUO_ERR'!DD8:DD507, _xlfn.LAMBDA(_xlpm.part, _xlpm.val, _xlpm.error, IF(_xlpm.part = "", "", IF(LEN(_xlpm.error), _xlfn.SWITCH(IFERROR(_xlfn.TEXTBEFORE(_xlpm.error,":"), ""), "1", "Error", "2", "Disabled", "3", "Required", "4", "Warning", "Valid"), "Valid"))))</f>
        <v/>
      </c>
      <c r="DE8" s="22">
        <f t="array" ref="DE8">_xlfn.MAP('6 - TV Stands &amp; Enterta'!B8:B507, '6 - TV Stands &amp; Enterta'!DE8:DE507, '6 - TV Stands &amp; Enterta-WUO_ERR'!DE8:DE507, _xlfn.LAMBDA(_xlpm.part, _xlpm.val, _xlpm.error, IF(_xlpm.part = "", "", IF(LEN(_xlpm.error), _xlfn.SWITCH(IFERROR(_xlfn.TEXTBEFORE(_xlpm.error,":"), ""), "1", "Error", "2", "Disabled", "3", "Required", "4", "Warning", "Valid"), "Valid"))))</f>
        <v/>
      </c>
      <c r="DF8" s="22">
        <f t="array" ref="DF8">_xlfn.MAP('6 - TV Stands &amp; Enterta'!B8:B507, '6 - TV Stands &amp; Enterta'!DF8:DF507, '6 - TV Stands &amp; Enterta-WUO_ERR'!DF8:DF507, _xlfn.LAMBDA(_xlpm.part, _xlpm.val, _xlpm.error, IF(_xlpm.part = "", "", IF(LEN(_xlpm.error), _xlfn.SWITCH(IFERROR(_xlfn.TEXTBEFORE(_xlpm.error,":"), ""), "1", "Error", "2", "Disabled", "3", "Required", "4", "Warning", "Valid"), "Valid"))))</f>
        <v/>
      </c>
      <c r="DG8" s="22">
        <f t="array" ref="DG8">_xlfn.MAP('6 - TV Stands &amp; Enterta'!B8:B507, '6 - TV Stands &amp; Enterta'!DG8:DG507, '6 - TV Stands &amp; Enterta-WUO_ERR'!DG8:DG507, _xlfn.LAMBDA(_xlpm.part, _xlpm.val, _xlpm.error, IF(_xlpm.part = "", "", IF(LEN(_xlpm.error), _xlfn.SWITCH(IFERROR(_xlfn.TEXTBEFORE(_xlpm.error,":"), ""), "1", "Error", "2", "Disabled", "3", "Required", "4", "Warning", "Valid"), "Valid"))))</f>
        <v/>
      </c>
      <c r="DH8" s="22">
        <f t="array" ref="DH8">_xlfn.MAP('6 - TV Stands &amp; Enterta'!B8:B507, '6 - TV Stands &amp; Enterta'!DH8:DH507, '6 - TV Stands &amp; Enterta-WUO_ERR'!DH8:DH507, _xlfn.LAMBDA(_xlpm.part, _xlpm.val, _xlpm.error, IF(_xlpm.part = "", "", IF(LEN(_xlpm.error), _xlfn.SWITCH(IFERROR(_xlfn.TEXTBEFORE(_xlpm.error,":"), ""), "1", "Error", "2", "Disabled", "3", "Required", "4", "Warning", "Valid"), "Valid"))))</f>
        <v/>
      </c>
      <c r="DI8" s="22">
        <f t="array" ref="DI8">_xlfn.MAP('6 - TV Stands &amp; Enterta'!B8:B507, '6 - TV Stands &amp; Enterta'!DI8:DI507, '6 - TV Stands &amp; Enterta-WUO_ERR'!DI8:DI507, _xlfn.LAMBDA(_xlpm.part, _xlpm.val, _xlpm.error, IF(_xlpm.part = "", "", IF(LEN(_xlpm.error), _xlfn.SWITCH(IFERROR(_xlfn.TEXTBEFORE(_xlpm.error,":"), ""), "1", "Error", "2", "Disabled", "3", "Required", "4", "Warning", "Valid"), "Valid"))))</f>
        <v/>
      </c>
      <c r="DJ8" s="22">
        <f t="array" ref="DJ8">_xlfn.MAP('6 - TV Stands &amp; Enterta'!B8:B507, '6 - TV Stands &amp; Enterta'!DJ8:DJ507, '6 - TV Stands &amp; Enterta-WUO_ERR'!DJ8:DJ507, _xlfn.LAMBDA(_xlpm.part, _xlpm.val, _xlpm.error, IF(_xlpm.part = "", "", IF(LEN(_xlpm.error), _xlfn.SWITCH(IFERROR(_xlfn.TEXTBEFORE(_xlpm.error,":"), ""), "1", "Error", "2", "Disabled", "3", "Required", "4", "Warning", "Valid"), "Valid"))))</f>
        <v/>
      </c>
      <c r="DK8" s="22">
        <f t="array" ref="DK8">_xlfn.MAP('6 - TV Stands &amp; Enterta'!B8:B507, '6 - TV Stands &amp; Enterta'!DK8:DK507, '6 - TV Stands &amp; Enterta-WUO_ERR'!DK8:DK507, _xlfn.LAMBDA(_xlpm.part, _xlpm.val, _xlpm.error, IF(_xlpm.part = "", "", IF(LEN(_xlpm.error), _xlfn.SWITCH(IFERROR(_xlfn.TEXTBEFORE(_xlpm.error,":"), ""), "1", "Error", "2", "Disabled", "3", "Required", "4", "Warning", "Valid"), "Valid"))))</f>
        <v/>
      </c>
      <c r="DL8" s="22">
        <f t="array" ref="DL8">_xlfn.MAP('6 - TV Stands &amp; Enterta'!B8:B507, '6 - TV Stands &amp; Enterta'!DL8:DL507, '6 - TV Stands &amp; Enterta-WUO_ERR'!DL8:DL507, _xlfn.LAMBDA(_xlpm.part, _xlpm.val, _xlpm.error, IF(_xlpm.part = "", "", IF(LEN(_xlpm.error), _xlfn.SWITCH(IFERROR(_xlfn.TEXTBEFORE(_xlpm.error,":"), ""), "1", "Error", "2", "Disabled", "3", "Required", "4", "Warning", "Valid"), "Valid"))))</f>
        <v/>
      </c>
      <c r="DM8" s="22">
        <f t="array" ref="DM8">_xlfn.MAP('6 - TV Stands &amp; Enterta'!B8:B507, '6 - TV Stands &amp; Enterta'!DM8:DM507, '6 - TV Stands &amp; Enterta-WUO_ERR'!DM8:DM507, _xlfn.LAMBDA(_xlpm.part, _xlpm.val, _xlpm.error, IF(_xlpm.part = "", "", IF(LEN(_xlpm.error), _xlfn.SWITCH(IFERROR(_xlfn.TEXTBEFORE(_xlpm.error,":"), ""), "1", "Error", "2", "Disabled", "3", "Required", "4", "Warning", "Valid"), "Valid"))))</f>
        <v/>
      </c>
      <c r="DN8" s="22">
        <f t="array" ref="DN8">_xlfn.MAP('6 - TV Stands &amp; Enterta'!B8:B507, '6 - TV Stands &amp; Enterta'!DN8:DN507, '6 - TV Stands &amp; Enterta-WUO_ERR'!DN8:DN507, _xlfn.LAMBDA(_xlpm.part, _xlpm.val, _xlpm.error, IF(_xlpm.part = "", "", IF(LEN(_xlpm.error), _xlfn.SWITCH(IFERROR(_xlfn.TEXTBEFORE(_xlpm.error,":"), ""), "1", "Error", "2", "Disabled", "3", "Required", "4", "Warning", "Valid"), "Valid"))))</f>
        <v/>
      </c>
      <c r="DO8" s="22">
        <f t="array" ref="DO8">_xlfn.MAP('6 - TV Stands &amp; Enterta'!B8:B507, '6 - TV Stands &amp; Enterta'!DO8:DO507, '6 - TV Stands &amp; Enterta-WUO_ERR'!DO8:DO507, _xlfn.LAMBDA(_xlpm.part, _xlpm.val, _xlpm.error, IF(_xlpm.part = "", "", IF(LEN(_xlpm.error), _xlfn.SWITCH(IFERROR(_xlfn.TEXTBEFORE(_xlpm.error,":"), ""), "1", "Error", "2", "Disabled", "3", "Required", "4", "Warning", "Valid"), "Valid"))))</f>
        <v/>
      </c>
      <c r="DP8" s="22">
        <f t="array" ref="DP8">_xlfn.MAP('6 - TV Stands &amp; Enterta'!B8:B507, '6 - TV Stands &amp; Enterta'!DP8:DP507, '6 - TV Stands &amp; Enterta-WUO_ERR'!DP8:DP507, _xlfn.LAMBDA(_xlpm.part, _xlpm.val, _xlpm.error, IF(_xlpm.part = "", "", IF(LEN(_xlpm.error), _xlfn.SWITCH(IFERROR(_xlfn.TEXTBEFORE(_xlpm.error,":"), ""), "1", "Error", "2", "Disabled", "3", "Required", "4", "Warning", "Valid"), "Valid"))))</f>
        <v/>
      </c>
      <c r="DQ8" s="22">
        <f t="array" ref="DQ8">_xlfn.MAP('6 - TV Stands &amp; Enterta'!B8:B507, '6 - TV Stands &amp; Enterta'!DQ8:DQ507, '6 - TV Stands &amp; Enterta-WUO_ERR'!DQ8:DQ507, _xlfn.LAMBDA(_xlpm.part, _xlpm.val, _xlpm.error, IF(_xlpm.part = "", "", IF(LEN(_xlpm.error), _xlfn.SWITCH(IFERROR(_xlfn.TEXTBEFORE(_xlpm.error,":"), ""), "1", "Error", "2", "Disabled", "3", "Required", "4", "Warning", "Valid"), "Valid"))))</f>
        <v/>
      </c>
      <c r="DR8" s="22">
        <f t="array" ref="DR8">_xlfn.MAP('6 - TV Stands &amp; Enterta'!B8:B507, '6 - TV Stands &amp; Enterta'!DR8:DR507, '6 - TV Stands &amp; Enterta-WUO_ERR'!DR8:DR507, _xlfn.LAMBDA(_xlpm.part, _xlpm.val, _xlpm.error, IF(_xlpm.part = "", "", IF(LEN(_xlpm.error), _xlfn.SWITCH(IFERROR(_xlfn.TEXTBEFORE(_xlpm.error,":"), ""), "1", "Error", "2", "Disabled", "3", "Required", "4", "Warning", "Valid"), "Valid"))))</f>
        <v/>
      </c>
      <c r="DS8" s="22">
        <f t="array" ref="DS8">_xlfn.MAP('6 - TV Stands &amp; Enterta'!B8:B507, '6 - TV Stands &amp; Enterta'!DS8:DS507, '6 - TV Stands &amp; Enterta-WUO_ERR'!DS8:DS507, _xlfn.LAMBDA(_xlpm.part, _xlpm.val, _xlpm.error, IF(_xlpm.part = "", "", IF(LEN(_xlpm.error), _xlfn.SWITCH(IFERROR(_xlfn.TEXTBEFORE(_xlpm.error,":"), ""), "1", "Error", "2", "Disabled", "3", "Required", "4", "Warning", "Valid"), "Valid"))))</f>
        <v/>
      </c>
      <c r="DT8" s="22">
        <f t="array" ref="DT8">_xlfn.MAP('6 - TV Stands &amp; Enterta'!B8:B507, '6 - TV Stands &amp; Enterta'!DT8:DT507, '6 - TV Stands &amp; Enterta-WUO_ERR'!DT8:DT507, _xlfn.LAMBDA(_xlpm.part, _xlpm.val, _xlpm.error, IF(_xlpm.part = "", "", IF(LEN(_xlpm.error), _xlfn.SWITCH(IFERROR(_xlfn.TEXTBEFORE(_xlpm.error,":"), ""), "1", "Error", "2", "Disabled", "3", "Required", "4", "Warning", "Valid"), "Valid"))))</f>
        <v/>
      </c>
      <c r="DU8" s="22">
        <f t="array" ref="DU8">_xlfn.MAP('6 - TV Stands &amp; Enterta'!B8:B507, '6 - TV Stands &amp; Enterta'!DU8:DU507, '6 - TV Stands &amp; Enterta-WUO_ERR'!DU8:DU507, _xlfn.LAMBDA(_xlpm.part, _xlpm.val, _xlpm.error, IF(_xlpm.part = "", "", IF(LEN(_xlpm.error), _xlfn.SWITCH(IFERROR(_xlfn.TEXTBEFORE(_xlpm.error,":"), ""), "1", "Error", "2", "Disabled", "3", "Required", "4", "Warning", "Valid"), "Valid"))))</f>
        <v/>
      </c>
      <c r="DV8" s="22">
        <f t="array" ref="DV8">_xlfn.MAP('6 - TV Stands &amp; Enterta'!B8:B507, '6 - TV Stands &amp; Enterta'!DV8:DV507, '6 - TV Stands &amp; Enterta-WUO_ERR'!DV8:DV507, _xlfn.LAMBDA(_xlpm.part, _xlpm.val, _xlpm.error, IF(_xlpm.part = "", "", IF(LEN(_xlpm.error), _xlfn.SWITCH(IFERROR(_xlfn.TEXTBEFORE(_xlpm.error,":"), ""), "1", "Error", "2", "Disabled", "3", "Required", "4", "Warning", "Valid"), "Valid"))))</f>
        <v/>
      </c>
      <c r="DW8" s="22">
        <f t="array" ref="DW8">_xlfn.MAP('6 - TV Stands &amp; Enterta'!B8:B507, '6 - TV Stands &amp; Enterta'!DW8:DW507, '6 - TV Stands &amp; Enterta-WUO_ERR'!DW8:DW507, _xlfn.LAMBDA(_xlpm.part, _xlpm.val, _xlpm.error, IF(_xlpm.part = "", "", IF(LEN(_xlpm.error), _xlfn.SWITCH(IFERROR(_xlfn.TEXTBEFORE(_xlpm.error,":"), ""), "1", "Error", "2", "Disabled", "3", "Required", "4", "Warning", "Valid"), "Valid"))))</f>
        <v/>
      </c>
      <c r="DX8" s="22">
        <f t="array" ref="DX8">_xlfn.MAP('6 - TV Stands &amp; Enterta'!B8:B507, '6 - TV Stands &amp; Enterta'!DX8:DX507, '6 - TV Stands &amp; Enterta-WUO_ERR'!DX8:DX507, _xlfn.LAMBDA(_xlpm.part, _xlpm.val, _xlpm.error, IF(_xlpm.part = "", "", IF(LEN(_xlpm.error), _xlfn.SWITCH(IFERROR(_xlfn.TEXTBEFORE(_xlpm.error,":"), ""), "1", "Error", "2", "Disabled", "3", "Required", "4", "Warning", "Valid"), "Valid"))))</f>
        <v/>
      </c>
      <c r="DY8" s="22">
        <f t="array" ref="DY8">_xlfn.MAP('6 - TV Stands &amp; Enterta'!B8:B507, '6 - TV Stands &amp; Enterta'!DY8:DY507, '6 - TV Stands &amp; Enterta-WUO_ERR'!DY8:DY507, _xlfn.LAMBDA(_xlpm.part, _xlpm.val, _xlpm.error, IF(_xlpm.part = "", "", IF(LEN(_xlpm.error), _xlfn.SWITCH(IFERROR(_xlfn.TEXTBEFORE(_xlpm.error,":"), ""), "1", "Error", "2", "Disabled", "3", "Required", "4", "Warning", "Valid"), "Valid"))))</f>
        <v/>
      </c>
      <c r="DZ8" s="22">
        <f t="array" ref="DZ8">_xlfn.MAP('6 - TV Stands &amp; Enterta'!B8:B507, '6 - TV Stands &amp; Enterta'!DZ8:DZ507, '6 - TV Stands &amp; Enterta-WUO_ERR'!DZ8:DZ507, _xlfn.LAMBDA(_xlpm.part, _xlpm.val, _xlpm.error, IF(_xlpm.part = "", "", IF(LEN(_xlpm.error), _xlfn.SWITCH(IFERROR(_xlfn.TEXTBEFORE(_xlpm.error,":"), ""), "1", "Error", "2", "Disabled", "3", "Required", "4", "Warning", "Valid"), "Valid"))))</f>
        <v/>
      </c>
      <c r="EA8" s="22">
        <f t="array" ref="EA8">_xlfn.MAP('6 - TV Stands &amp; Enterta'!B8:B507, '6 - TV Stands &amp; Enterta'!EA8:EA507, '6 - TV Stands &amp; Enterta-WUO_ERR'!EA8:EA507, _xlfn.LAMBDA(_xlpm.part, _xlpm.val, _xlpm.error, IF(_xlpm.part = "", "", IF(LEN(_xlpm.error), _xlfn.SWITCH(IFERROR(_xlfn.TEXTBEFORE(_xlpm.error,":"), ""), "1", "Error", "2", "Disabled", "3", "Required", "4", "Warning", "Valid"), "Valid"))))</f>
        <v/>
      </c>
      <c r="EB8" s="22">
        <f t="array" ref="EB8">_xlfn.MAP('6 - TV Stands &amp; Enterta'!B8:B507, '6 - TV Stands &amp; Enterta'!EB8:EB507, '6 - TV Stands &amp; Enterta-WUO_ERR'!EB8:EB507, _xlfn.LAMBDA(_xlpm.part, _xlpm.val, _xlpm.error, IF(_xlpm.part = "", "", IF(LEN(_xlpm.error), _xlfn.SWITCH(IFERROR(_xlfn.TEXTBEFORE(_xlpm.error,":"), ""), "1", "Error", "2", "Disabled", "3", "Required", "4", "Warning", "Valid"), "Valid"))))</f>
        <v/>
      </c>
      <c r="EC8" s="22">
        <f t="array" ref="EC8">_xlfn.MAP('6 - TV Stands &amp; Enterta'!B8:B507, '6 - TV Stands &amp; Enterta'!EC8:EC507, '6 - TV Stands &amp; Enterta-WUO_ERR'!EC8:EC507, _xlfn.LAMBDA(_xlpm.part, _xlpm.val, _xlpm.error, IF(_xlpm.part = "", "", IF(LEN(_xlpm.error), _xlfn.SWITCH(IFERROR(_xlfn.TEXTBEFORE(_xlpm.error,":"), ""), "1", "Error", "2", "Disabled", "3", "Required", "4", "Warning", "Valid"), "Valid"))))</f>
        <v/>
      </c>
      <c r="ED8" s="22">
        <f t="array" ref="ED8">_xlfn.MAP('6 - TV Stands &amp; Enterta'!B8:B507, '6 - TV Stands &amp; Enterta'!ED8:ED507, '6 - TV Stands &amp; Enterta-WUO_ERR'!ED8:ED507, _xlfn.LAMBDA(_xlpm.part, _xlpm.val, _xlpm.error, IF(_xlpm.part = "", "", IF(LEN(_xlpm.error), _xlfn.SWITCH(IFERROR(_xlfn.TEXTBEFORE(_xlpm.error,":"), ""), "1", "Error", "2", "Disabled", "3", "Required", "4", "Warning", "Valid"), "Valid"))))</f>
        <v/>
      </c>
      <c r="EE8" s="22">
        <f t="array" ref="EE8">_xlfn.MAP('6 - TV Stands &amp; Enterta'!B8:B507, '6 - TV Stands &amp; Enterta'!EE8:EE507, '6 - TV Stands &amp; Enterta-WUO_ERR'!EE8:EE507, _xlfn.LAMBDA(_xlpm.part, _xlpm.val, _xlpm.error, IF(_xlpm.part = "", "", IF(LEN(_xlpm.error), _xlfn.SWITCH(IFERROR(_xlfn.TEXTBEFORE(_xlpm.error,":"), ""), "1", "Error", "2", "Disabled", "3", "Required", "4", "Warning", "Valid"), "Valid"))))</f>
        <v/>
      </c>
      <c r="EF8" s="22">
        <f t="array" ref="EF8">_xlfn.MAP('6 - TV Stands &amp; Enterta'!B8:B507, '6 - TV Stands &amp; Enterta'!EF8:EF507, '6 - TV Stands &amp; Enterta-WUO_ERR'!EF8:EF507, _xlfn.LAMBDA(_xlpm.part, _xlpm.val, _xlpm.error, IF(_xlpm.part = "", "", IF(LEN(_xlpm.error), _xlfn.SWITCH(IFERROR(_xlfn.TEXTBEFORE(_xlpm.error,":"), ""), "1", "Error", "2", "Disabled", "3", "Required", "4", "Warning", "Valid"), "Valid"))))</f>
        <v/>
      </c>
      <c r="EG8" s="22">
        <f t="array" ref="EG8">_xlfn.MAP('6 - TV Stands &amp; Enterta'!B8:B507, '6 - TV Stands &amp; Enterta'!EG8:EG507, '6 - TV Stands &amp; Enterta-WUO_ERR'!EG8:EG507, _xlfn.LAMBDA(_xlpm.part, _xlpm.val, _xlpm.error, IF(_xlpm.part = "", "", IF(LEN(_xlpm.error), _xlfn.SWITCH(IFERROR(_xlfn.TEXTBEFORE(_xlpm.error,":"), ""), "1", "Error", "2", "Disabled", "3", "Required", "4", "Warning", "Valid"), "Valid"))))</f>
        <v/>
      </c>
      <c r="EH8" s="22">
        <f t="array" ref="EH8">_xlfn.MAP('6 - TV Stands &amp; Enterta'!B8:B507, '6 - TV Stands &amp; Enterta'!EH8:EH507, '6 - TV Stands &amp; Enterta-WUO_ERR'!EH8:EH507, _xlfn.LAMBDA(_xlpm.part, _xlpm.val, _xlpm.error, IF(_xlpm.part = "", "", IF(LEN(_xlpm.error), _xlfn.SWITCH(IFERROR(_xlfn.TEXTBEFORE(_xlpm.error,":"), ""), "1", "Error", "2", "Disabled", "3", "Required", "4", "Warning", "Valid"), "Valid"))))</f>
        <v/>
      </c>
      <c r="EI8" s="22">
        <f t="array" ref="EI8">_xlfn.MAP('6 - TV Stands &amp; Enterta'!B8:B507, '6 - TV Stands &amp; Enterta'!EI8:EI507, '6 - TV Stands &amp; Enterta-WUO_ERR'!EI8:EI507, _xlfn.LAMBDA(_xlpm.part, _xlpm.val, _xlpm.error, IF(_xlpm.part = "", "", IF(LEN(_xlpm.error), _xlfn.SWITCH(IFERROR(_xlfn.TEXTBEFORE(_xlpm.error,":"), ""), "1", "Error", "2", "Disabled", "3", "Required", "4", "Warning", "Valid"), "Valid"))))</f>
        <v/>
      </c>
      <c r="EJ8" s="22">
        <f t="array" ref="EJ8">_xlfn.MAP('6 - TV Stands &amp; Enterta'!B8:B507, '6 - TV Stands &amp; Enterta'!EJ8:EJ507, '6 - TV Stands &amp; Enterta-WUO_ERR'!EJ8:EJ507, _xlfn.LAMBDA(_xlpm.part, _xlpm.val, _xlpm.error, IF(_xlpm.part = "", "", IF(LEN(_xlpm.error), _xlfn.SWITCH(IFERROR(_xlfn.TEXTBEFORE(_xlpm.error,":"), ""), "1", "Error", "2", "Disabled", "3", "Required", "4", "Warning", "Valid"), "Valid"))))</f>
        <v/>
      </c>
      <c r="EK8" s="22">
        <f t="array" ref="EK8">_xlfn.MAP('6 - TV Stands &amp; Enterta'!B8:B507, '6 - TV Stands &amp; Enterta'!EK8:EK507, '6 - TV Stands &amp; Enterta-WUO_ERR'!EK8:EK507, _xlfn.LAMBDA(_xlpm.part, _xlpm.val, _xlpm.error, IF(_xlpm.part = "", "", IF(LEN(_xlpm.error), _xlfn.SWITCH(IFERROR(_xlfn.TEXTBEFORE(_xlpm.error,":"), ""), "1", "Error", "2", "Disabled", "3", "Required", "4", "Warning", "Valid"), "Valid"))))</f>
        <v/>
      </c>
      <c r="EL8" s="22">
        <f t="array" ref="EL8">_xlfn.MAP('6 - TV Stands &amp; Enterta'!B8:B507, '6 - TV Stands &amp; Enterta'!EL8:EL507, '6 - TV Stands &amp; Enterta-WUO_ERR'!EL8:EL507, _xlfn.LAMBDA(_xlpm.part, _xlpm.val, _xlpm.error, IF(_xlpm.part = "", "", IF(LEN(_xlpm.error), _xlfn.SWITCH(IFERROR(_xlfn.TEXTBEFORE(_xlpm.error,":"), ""), "1", "Error", "2", "Disabled", "3", "Required", "4", "Warning", "Valid"), "Valid"))))</f>
        <v/>
      </c>
      <c r="EM8" s="22">
        <f t="array" ref="EM8">_xlfn.MAP('6 - TV Stands &amp; Enterta'!B8:B507, '6 - TV Stands &amp; Enterta'!EM8:EM507, '6 - TV Stands &amp; Enterta-WUO_ERR'!EM8:EM507, _xlfn.LAMBDA(_xlpm.part, _xlpm.val, _xlpm.error, IF(_xlpm.part = "", "", IF(LEN(_xlpm.error), _xlfn.SWITCH(IFERROR(_xlfn.TEXTBEFORE(_xlpm.error,":"), ""), "1", "Error", "2", "Disabled", "3", "Required", "4", "Warning", "Valid"), "Valid"))))</f>
        <v/>
      </c>
      <c r="EN8" s="22">
        <f t="array" ref="EN8">_xlfn.MAP('6 - TV Stands &amp; Enterta'!B8:B507, '6 - TV Stands &amp; Enterta'!EN8:EN507, '6 - TV Stands &amp; Enterta-WUO_ERR'!EN8:EN507, _xlfn.LAMBDA(_xlpm.part, _xlpm.val, _xlpm.error, IF(_xlpm.part = "", "", IF(LEN(_xlpm.error), _xlfn.SWITCH(IFERROR(_xlfn.TEXTBEFORE(_xlpm.error,":"), ""), "1", "Error", "2", "Disabled", "3", "Required", "4", "Warning", "Valid"), "Valid"))))</f>
        <v/>
      </c>
      <c r="EO8" s="22">
        <f t="array" ref="EO8">_xlfn.MAP('6 - TV Stands &amp; Enterta'!B8:B507, '6 - TV Stands &amp; Enterta'!EO8:EO507, '6 - TV Stands &amp; Enterta-WUO_ERR'!EO8:EO507, _xlfn.LAMBDA(_xlpm.part, _xlpm.val, _xlpm.error, IF(_xlpm.part = "", "", IF(LEN(_xlpm.error), _xlfn.SWITCH(IFERROR(_xlfn.TEXTBEFORE(_xlpm.error,":"), ""), "1", "Error", "2", "Disabled", "3", "Required", "4", "Warning", "Valid"), "Valid"))))</f>
        <v/>
      </c>
      <c r="EP8" s="22">
        <f t="array" ref="EP8">_xlfn.MAP('6 - TV Stands &amp; Enterta'!B8:B507, '6 - TV Stands &amp; Enterta'!EP8:EP507, '6 - TV Stands &amp; Enterta-WUO_ERR'!EP8:EP507, _xlfn.LAMBDA(_xlpm.part, _xlpm.val, _xlpm.error, IF(_xlpm.part = "", "", IF(LEN(_xlpm.error), _xlfn.SWITCH(IFERROR(_xlfn.TEXTBEFORE(_xlpm.error,":"), ""), "1", "Error", "2", "Disabled", "3", "Required", "4", "Warning", "Valid"), "Valid"))))</f>
        <v/>
      </c>
      <c r="EQ8" s="22">
        <f t="array" ref="EQ8">_xlfn.MAP('6 - TV Stands &amp; Enterta'!B8:B507, '6 - TV Stands &amp; Enterta'!EQ8:EQ507, '6 - TV Stands &amp; Enterta-WUO_ERR'!EQ8:EQ507, _xlfn.LAMBDA(_xlpm.part, _xlpm.val, _xlpm.error, IF(_xlpm.part = "", "", IF(LEN(_xlpm.error), _xlfn.SWITCH(IFERROR(_xlfn.TEXTBEFORE(_xlpm.error,":"), ""), "1", "Error", "2", "Disabled", "3", "Required", "4", "Warning", "Valid"), "Valid"))))</f>
        <v/>
      </c>
      <c r="ER8" s="22">
        <f t="array" ref="ER8">_xlfn.MAP('6 - TV Stands &amp; Enterta'!B8:B507, '6 - TV Stands &amp; Enterta'!ER8:ER507, '6 - TV Stands &amp; Enterta-WUO_ERR'!ER8:ER507, _xlfn.LAMBDA(_xlpm.part, _xlpm.val, _xlpm.error, IF(_xlpm.part = "", "", IF(LEN(_xlpm.error), _xlfn.SWITCH(IFERROR(_xlfn.TEXTBEFORE(_xlpm.error,":"), ""), "1", "Error", "2", "Disabled", "3", "Required", "4", "Warning", "Valid"), "Valid"))))</f>
        <v/>
      </c>
      <c r="ES8" s="22">
        <f t="array" ref="ES8">_xlfn.MAP('6 - TV Stands &amp; Enterta'!B8:B507, '6 - TV Stands &amp; Enterta'!ES8:ES507, '6 - TV Stands &amp; Enterta-WUO_ERR'!ES8:ES507, _xlfn.LAMBDA(_xlpm.part, _xlpm.val, _xlpm.error, IF(_xlpm.part = "", "", IF(LEN(_xlpm.error), _xlfn.SWITCH(IFERROR(_xlfn.TEXTBEFORE(_xlpm.error,":"), ""), "1", "Error", "2", "Disabled", "3", "Required", "4", "Warning", "Valid"), "Valid"))))</f>
        <v/>
      </c>
      <c r="ET8" s="22">
        <f t="array" ref="ET8">_xlfn.MAP('6 - TV Stands &amp; Enterta'!B8:B507, '6 - TV Stands &amp; Enterta'!ET8:ET507, '6 - TV Stands &amp; Enterta-WUO_ERR'!ET8:ET507,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18.7109375" customWidth="1" style="22" min="3" max="4"/>
    <col width="17.7109375" customWidth="1" style="22" min="5" max="6"/>
    <col hidden="1" min="26" max="26"/>
  </cols>
  <sheetData>
    <row r="1" hidden="1">
      <c r="B1" s="22" t="inlineStr">
        <is>
          <t>core::supplierPartNumber</t>
        </is>
      </c>
      <c r="C1" s="22" t="inlineStr">
        <is>
          <t>shippingAndFulfillment::weight</t>
        </is>
      </c>
      <c r="D1" s="22" t="inlineStr">
        <is>
          <t>shippingAndFulfillment::height</t>
        </is>
      </c>
      <c r="E1" s="22" t="inlineStr">
        <is>
          <t>shippingAndFulfillment::width</t>
        </is>
      </c>
      <c r="F1" s="22" t="inlineStr">
        <is>
          <t>shippingAndFulfillment::depth</t>
        </is>
      </c>
    </row>
    <row r="2">
      <c r="B2" s="23" t="inlineStr">
        <is>
          <t>Basic Information</t>
        </is>
      </c>
      <c r="C2" s="27" t="inlineStr">
        <is>
          <t>Carton Details</t>
        </is>
      </c>
      <c r="D2" s="40" t="n"/>
      <c r="E2" s="40" t="n"/>
      <c r="F2" s="41" t="n"/>
    </row>
    <row r="3">
      <c r="B3" s="31" t="inlineStr">
        <is>
          <t>Required</t>
        </is>
      </c>
      <c r="C3" s="31" t="inlineStr">
        <is>
          <t>Conditional</t>
        </is>
      </c>
      <c r="D3" s="31" t="inlineStr">
        <is>
          <t>Conditional</t>
        </is>
      </c>
      <c r="E3" s="31" t="inlineStr">
        <is>
          <t>Conditional</t>
        </is>
      </c>
      <c r="F3" s="31"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4" t="inlineStr">
        <is>
          <t>Displays the error status and message for the first error in the row, with a link to the corresponding cell.</t>
        </is>
      </c>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[Pounds] Enter in the shipping weight (i.e. 45.5) of the packaging used for the product.  If the product ships in more than one box, this measurement is per box.</t>
        </is>
      </c>
      <c r="D5" s="34" t="inlineStr">
        <is>
          <t>[Inches] Enter in the shipping height (i.e. 45.5) of the packaging used for the product.  If the product ships in more than one box, this measurement is per box.</t>
        </is>
      </c>
      <c r="E5" s="34" t="inlineStr">
        <is>
          <t>[Inches] Enter in the shipping width (i.e. 45.5) of the packaging used for the product.  If the product ships in more than one box, this measurement is per box.</t>
        </is>
      </c>
      <c r="F5" s="34" t="inlineStr">
        <is>
          <t>[Inches] Enter in the shipping depth (i.e. 45.5) of the packaging used for the product.  If the product ships in more than one box, this measurement is per box.</t>
        </is>
      </c>
    </row>
    <row r="6" ht="50" customHeight="1">
      <c r="A6" s="34" t="inlineStr">
        <is>
          <t>Read-Only</t>
        </is>
      </c>
      <c r="B6" s="34" t="inlineStr">
        <is>
          <t>Text</t>
        </is>
      </c>
      <c r="C6" s="34" t="inlineStr">
        <is>
          <t>Number</t>
        </is>
      </c>
      <c r="D6" s="34" t="inlineStr">
        <is>
          <t>Number</t>
        </is>
      </c>
      <c r="E6" s="34" t="inlineStr">
        <is>
          <t>Number</t>
        </is>
      </c>
      <c r="F6" s="34" t="inlineStr">
        <is>
          <t>Number</t>
        </is>
      </c>
    </row>
    <row r="7">
      <c r="A7" s="38">
        <f>IF('Additional Cartons'!B7 = "", "", IF('Additional Cartons-WUO_ERR'!A7 = "", "Validated", HYPERLINK("#" &amp; ADDRESS(7, 'Additional Cartons-WUO_TRK'!A7),_xlfn.TEXTAFTER('Additional Cartons-WUO_ERR'!A7, ":"))))</f>
        <v/>
      </c>
      <c r="Z7">
        <f t="array" ref="Z7">IF(B7:B507="", "", IFERROR(_xlfn.XLOOKUP(B7:B507, _xlfn.VSTACK('6 - TV Stands &amp; Enterta'!B7:B507), _xlfn.VSTACK('6 - TV Stands &amp; Enterta'!G7:G507)), ""))</f>
        <v/>
      </c>
    </row>
    <row r="8">
      <c r="A8" s="38">
        <f>IF('Additional Cartons'!B8 = "", "", IF('Additional Cartons-WUO_ERR'!A8 = "", "Validated", HYPERLINK("#" &amp; ADDRESS(8, 'Additional Cartons-WUO_TRK'!A8),_xlfn.TEXTAFTER('Additional Cartons-WUO_ERR'!A8, ":"))))</f>
        <v/>
      </c>
    </row>
    <row r="9">
      <c r="A9" s="38">
        <f>IF('Additional Cartons'!B9 = "", "", IF('Additional Cartons-WUO_ERR'!A9 = "", "Validated", HYPERLINK("#" &amp; ADDRESS(9, 'Additional Cartons-WUO_TRK'!A9),_xlfn.TEXTAFTER('Additional Cartons-WUO_ERR'!A9, ":"))))</f>
        <v/>
      </c>
    </row>
    <row r="10">
      <c r="A10" s="38">
        <f>IF('Additional Cartons'!B10 = "", "", IF('Additional Cartons-WUO_ERR'!A10 = "", "Validated", HYPERLINK("#" &amp; ADDRESS(10, 'Additional Cartons-WUO_TRK'!A10),_xlfn.TEXTAFTER('Additional Cartons-WUO_ERR'!A10, ":"))))</f>
        <v/>
      </c>
    </row>
    <row r="11">
      <c r="A11" s="38">
        <f>IF('Additional Cartons'!B11 = "", "", IF('Additional Cartons-WUO_ERR'!A11 = "", "Validated", HYPERLINK("#" &amp; ADDRESS(11, 'Additional Cartons-WUO_TRK'!A11),_xlfn.TEXTAFTER('Additional Cartons-WUO_ERR'!A11, ":"))))</f>
        <v/>
      </c>
    </row>
    <row r="12">
      <c r="A12" s="38">
        <f>IF('Additional Cartons'!B12 = "", "", IF('Additional Cartons-WUO_ERR'!A12 = "", "Validated", HYPERLINK("#" &amp; ADDRESS(12, 'Additional Cartons-WUO_TRK'!A12),_xlfn.TEXTAFTER('Additional Cartons-WUO_ERR'!A12, ":"))))</f>
        <v/>
      </c>
    </row>
    <row r="13">
      <c r="A13" s="38">
        <f>IF('Additional Cartons'!B13 = "", "", IF('Additional Cartons-WUO_ERR'!A13 = "", "Validated", HYPERLINK("#" &amp; ADDRESS(13, 'Additional Cartons-WUO_TRK'!A13),_xlfn.TEXTAFTER('Additional Cartons-WUO_ERR'!A13, ":"))))</f>
        <v/>
      </c>
    </row>
    <row r="14">
      <c r="A14" s="38">
        <f>IF('Additional Cartons'!B14 = "", "", IF('Additional Cartons-WUO_ERR'!A14 = "", "Validated", HYPERLINK("#" &amp; ADDRESS(14, 'Additional Cartons-WUO_TRK'!A14),_xlfn.TEXTAFTER('Additional Cartons-WUO_ERR'!A14, ":"))))</f>
        <v/>
      </c>
    </row>
    <row r="15">
      <c r="A15" s="38">
        <f>IF('Additional Cartons'!B15 = "", "", IF('Additional Cartons-WUO_ERR'!A15 = "", "Validated", HYPERLINK("#" &amp; ADDRESS(15, 'Additional Cartons-WUO_TRK'!A15),_xlfn.TEXTAFTER('Additional Cartons-WUO_ERR'!A15, ":"))))</f>
        <v/>
      </c>
    </row>
    <row r="16">
      <c r="A16" s="38">
        <f>IF('Additional Cartons'!B16 = "", "", IF('Additional Cartons-WUO_ERR'!A16 = "", "Validated", HYPERLINK("#" &amp; ADDRESS(16, 'Additional Cartons-WUO_TRK'!A16),_xlfn.TEXTAFTER('Additional Cartons-WUO_ERR'!A16, ":"))))</f>
        <v/>
      </c>
    </row>
    <row r="17">
      <c r="A17" s="38">
        <f>IF('Additional Cartons'!B17 = "", "", IF('Additional Cartons-WUO_ERR'!A17 = "", "Validated", HYPERLINK("#" &amp; ADDRESS(17, 'Additional Cartons-WUO_TRK'!A17),_xlfn.TEXTAFTER('Additional Cartons-WUO_ERR'!A17, ":"))))</f>
        <v/>
      </c>
    </row>
    <row r="18">
      <c r="A18" s="38">
        <f>IF('Additional Cartons'!B18 = "", "", IF('Additional Cartons-WUO_ERR'!A18 = "", "Validated", HYPERLINK("#" &amp; ADDRESS(18, 'Additional Cartons-WUO_TRK'!A18),_xlfn.TEXTAFTER('Additional Cartons-WUO_ERR'!A18, ":"))))</f>
        <v/>
      </c>
    </row>
    <row r="19">
      <c r="A19" s="38">
        <f>IF('Additional Cartons'!B19 = "", "", IF('Additional Cartons-WUO_ERR'!A19 = "", "Validated", HYPERLINK("#" &amp; ADDRESS(19, 'Additional Cartons-WUO_TRK'!A19),_xlfn.TEXTAFTER('Additional Cartons-WUO_ERR'!A19, ":"))))</f>
        <v/>
      </c>
    </row>
    <row r="20">
      <c r="A20" s="38">
        <f>IF('Additional Cartons'!B20 = "", "", IF('Additional Cartons-WUO_ERR'!A20 = "", "Validated", HYPERLINK("#" &amp; ADDRESS(20, 'Additional Cartons-WUO_TRK'!A20),_xlfn.TEXTAFTER('Additional Cartons-WUO_ERR'!A20, ":"))))</f>
        <v/>
      </c>
    </row>
    <row r="21">
      <c r="A21" s="38">
        <f>IF('Additional Cartons'!B21 = "", "", IF('Additional Cartons-WUO_ERR'!A21 = "", "Validated", HYPERLINK("#" &amp; ADDRESS(21, 'Additional Cartons-WUO_TRK'!A21),_xlfn.TEXTAFTER('Additional Cartons-WUO_ERR'!A21, ":"))))</f>
        <v/>
      </c>
    </row>
    <row r="22">
      <c r="A22" s="38">
        <f>IF('Additional Cartons'!B22 = "", "", IF('Additional Cartons-WUO_ERR'!A22 = "", "Validated", HYPERLINK("#" &amp; ADDRESS(22, 'Additional Cartons-WUO_TRK'!A22),_xlfn.TEXTAFTER('Additional Cartons-WUO_ERR'!A22, ":"))))</f>
        <v/>
      </c>
    </row>
    <row r="23">
      <c r="A23" s="38">
        <f>IF('Additional Cartons'!B23 = "", "", IF('Additional Cartons-WUO_ERR'!A23 = "", "Validated", HYPERLINK("#" &amp; ADDRESS(23, 'Additional Cartons-WUO_TRK'!A23),_xlfn.TEXTAFTER('Additional Cartons-WUO_ERR'!A23, ":"))))</f>
        <v/>
      </c>
    </row>
    <row r="24">
      <c r="A24" s="38">
        <f>IF('Additional Cartons'!B24 = "", "", IF('Additional Cartons-WUO_ERR'!A24 = "", "Validated", HYPERLINK("#" &amp; ADDRESS(24, 'Additional Cartons-WUO_TRK'!A24),_xlfn.TEXTAFTER('Additional Cartons-WUO_ERR'!A24, ":"))))</f>
        <v/>
      </c>
    </row>
    <row r="25">
      <c r="A25" s="38">
        <f>IF('Additional Cartons'!B25 = "", "", IF('Additional Cartons-WUO_ERR'!A25 = "", "Validated", HYPERLINK("#" &amp; ADDRESS(25, 'Additional Cartons-WUO_TRK'!A25),_xlfn.TEXTAFTER('Additional Cartons-WUO_ERR'!A25, ":"))))</f>
        <v/>
      </c>
    </row>
    <row r="26">
      <c r="A26" s="38">
        <f>IF('Additional Cartons'!B26 = "", "", IF('Additional Cartons-WUO_ERR'!A26 = "", "Validated", HYPERLINK("#" &amp; ADDRESS(26, 'Additional Cartons-WUO_TRK'!A26),_xlfn.TEXTAFTER('Additional Cartons-WUO_ERR'!A26, ":"))))</f>
        <v/>
      </c>
    </row>
    <row r="27">
      <c r="A27" s="38">
        <f>IF('Additional Cartons'!B27 = "", "", IF('Additional Cartons-WUO_ERR'!A27 = "", "Validated", HYPERLINK("#" &amp; ADDRESS(27, 'Additional Cartons-WUO_TRK'!A27),_xlfn.TEXTAFTER('Additional Cartons-WUO_ERR'!A27, ":"))))</f>
        <v/>
      </c>
    </row>
    <row r="28">
      <c r="A28" s="38">
        <f>IF('Additional Cartons'!B28 = "", "", IF('Additional Cartons-WUO_ERR'!A28 = "", "Validated", HYPERLINK("#" &amp; ADDRESS(28, 'Additional Cartons-WUO_TRK'!A28),_xlfn.TEXTAFTER('Additional Cartons-WUO_ERR'!A28, ":"))))</f>
        <v/>
      </c>
    </row>
    <row r="29">
      <c r="A29" s="38">
        <f>IF('Additional Cartons'!B29 = "", "", IF('Additional Cartons-WUO_ERR'!A29 = "", "Validated", HYPERLINK("#" &amp; ADDRESS(29, 'Additional Cartons-WUO_TRK'!A29),_xlfn.TEXTAFTER('Additional Cartons-WUO_ERR'!A29, ":"))))</f>
        <v/>
      </c>
    </row>
    <row r="30">
      <c r="A30" s="38">
        <f>IF('Additional Cartons'!B30 = "", "", IF('Additional Cartons-WUO_ERR'!A30 = "", "Validated", HYPERLINK("#" &amp; ADDRESS(30, 'Additional Cartons-WUO_TRK'!A30),_xlfn.TEXTAFTER('Additional Cartons-WUO_ERR'!A30, ":"))))</f>
        <v/>
      </c>
    </row>
    <row r="31">
      <c r="A31" s="38">
        <f>IF('Additional Cartons'!B31 = "", "", IF('Additional Cartons-WUO_ERR'!A31 = "", "Validated", HYPERLINK("#" &amp; ADDRESS(31, 'Additional Cartons-WUO_TRK'!A31),_xlfn.TEXTAFTER('Additional Cartons-WUO_ERR'!A31, ":"))))</f>
        <v/>
      </c>
    </row>
    <row r="32">
      <c r="A32" s="38">
        <f>IF('Additional Cartons'!B32 = "", "", IF('Additional Cartons-WUO_ERR'!A32 = "", "Validated", HYPERLINK("#" &amp; ADDRESS(32, 'Additional Cartons-WUO_TRK'!A32),_xlfn.TEXTAFTER('Additional Cartons-WUO_ERR'!A32, ":"))))</f>
        <v/>
      </c>
    </row>
    <row r="33">
      <c r="A33" s="38">
        <f>IF('Additional Cartons'!B33 = "", "", IF('Additional Cartons-WUO_ERR'!A33 = "", "Validated", HYPERLINK("#" &amp; ADDRESS(33, 'Additional Cartons-WUO_TRK'!A33),_xlfn.TEXTAFTER('Additional Cartons-WUO_ERR'!A33, ":"))))</f>
        <v/>
      </c>
    </row>
    <row r="34">
      <c r="A34" s="38">
        <f>IF('Additional Cartons'!B34 = "", "", IF('Additional Cartons-WUO_ERR'!A34 = "", "Validated", HYPERLINK("#" &amp; ADDRESS(34, 'Additional Cartons-WUO_TRK'!A34),_xlfn.TEXTAFTER('Additional Cartons-WUO_ERR'!A34, ":"))))</f>
        <v/>
      </c>
    </row>
    <row r="35">
      <c r="A35" s="38">
        <f>IF('Additional Cartons'!B35 = "", "", IF('Additional Cartons-WUO_ERR'!A35 = "", "Validated", HYPERLINK("#" &amp; ADDRESS(35, 'Additional Cartons-WUO_TRK'!A35),_xlfn.TEXTAFTER('Additional Cartons-WUO_ERR'!A35, ":"))))</f>
        <v/>
      </c>
    </row>
    <row r="36">
      <c r="A36" s="38">
        <f>IF('Additional Cartons'!B36 = "", "", IF('Additional Cartons-WUO_ERR'!A36 = "", "Validated", HYPERLINK("#" &amp; ADDRESS(36, 'Additional Cartons-WUO_TRK'!A36),_xlfn.TEXTAFTER('Additional Cartons-WUO_ERR'!A36, ":"))))</f>
        <v/>
      </c>
    </row>
    <row r="37">
      <c r="A37" s="38">
        <f>IF('Additional Cartons'!B37 = "", "", IF('Additional Cartons-WUO_ERR'!A37 = "", "Validated", HYPERLINK("#" &amp; ADDRESS(37, 'Additional Cartons-WUO_TRK'!A37),_xlfn.TEXTAFTER('Additional Cartons-WUO_ERR'!A37, ":"))))</f>
        <v/>
      </c>
    </row>
    <row r="38">
      <c r="A38" s="38">
        <f>IF('Additional Cartons'!B38 = "", "", IF('Additional Cartons-WUO_ERR'!A38 = "", "Validated", HYPERLINK("#" &amp; ADDRESS(38, 'Additional Cartons-WUO_TRK'!A38),_xlfn.TEXTAFTER('Additional Cartons-WUO_ERR'!A38, ":"))))</f>
        <v/>
      </c>
    </row>
    <row r="39">
      <c r="A39" s="38">
        <f>IF('Additional Cartons'!B39 = "", "", IF('Additional Cartons-WUO_ERR'!A39 = "", "Validated", HYPERLINK("#" &amp; ADDRESS(39, 'Additional Cartons-WUO_TRK'!A39),_xlfn.TEXTAFTER('Additional Cartons-WUO_ERR'!A39, ":"))))</f>
        <v/>
      </c>
    </row>
    <row r="40">
      <c r="A40" s="38">
        <f>IF('Additional Cartons'!B40 = "", "", IF('Additional Cartons-WUO_ERR'!A40 = "", "Validated", HYPERLINK("#" &amp; ADDRESS(40, 'Additional Cartons-WUO_TRK'!A40),_xlfn.TEXTAFTER('Additional Cartons-WUO_ERR'!A40, ":"))))</f>
        <v/>
      </c>
    </row>
    <row r="41">
      <c r="A41" s="38">
        <f>IF('Additional Cartons'!B41 = "", "", IF('Additional Cartons-WUO_ERR'!A41 = "", "Validated", HYPERLINK("#" &amp; ADDRESS(41, 'Additional Cartons-WUO_TRK'!A41),_xlfn.TEXTAFTER('Additional Cartons-WUO_ERR'!A41, ":"))))</f>
        <v/>
      </c>
    </row>
    <row r="42">
      <c r="A42" s="38">
        <f>IF('Additional Cartons'!B42 = "", "", IF('Additional Cartons-WUO_ERR'!A42 = "", "Validated", HYPERLINK("#" &amp; ADDRESS(42, 'Additional Cartons-WUO_TRK'!A42),_xlfn.TEXTAFTER('Additional Cartons-WUO_ERR'!A42, ":"))))</f>
        <v/>
      </c>
    </row>
    <row r="43">
      <c r="A43" s="38">
        <f>IF('Additional Cartons'!B43 = "", "", IF('Additional Cartons-WUO_ERR'!A43 = "", "Validated", HYPERLINK("#" &amp; ADDRESS(43, 'Additional Cartons-WUO_TRK'!A43),_xlfn.TEXTAFTER('Additional Cartons-WUO_ERR'!A43, ":"))))</f>
        <v/>
      </c>
    </row>
    <row r="44">
      <c r="A44" s="38">
        <f>IF('Additional Cartons'!B44 = "", "", IF('Additional Cartons-WUO_ERR'!A44 = "", "Validated", HYPERLINK("#" &amp; ADDRESS(44, 'Additional Cartons-WUO_TRK'!A44),_xlfn.TEXTAFTER('Additional Cartons-WUO_ERR'!A44, ":"))))</f>
        <v/>
      </c>
    </row>
    <row r="45">
      <c r="A45" s="38">
        <f>IF('Additional Cartons'!B45 = "", "", IF('Additional Cartons-WUO_ERR'!A45 = "", "Validated", HYPERLINK("#" &amp; ADDRESS(45, 'Additional Cartons-WUO_TRK'!A45),_xlfn.TEXTAFTER('Additional Cartons-WUO_ERR'!A45, ":"))))</f>
        <v/>
      </c>
    </row>
    <row r="46">
      <c r="A46" s="38">
        <f>IF('Additional Cartons'!B46 = "", "", IF('Additional Cartons-WUO_ERR'!A46 = "", "Validated", HYPERLINK("#" &amp; ADDRESS(46, 'Additional Cartons-WUO_TRK'!A46),_xlfn.TEXTAFTER('Additional Cartons-WUO_ERR'!A46, ":"))))</f>
        <v/>
      </c>
    </row>
    <row r="47">
      <c r="A47" s="38">
        <f>IF('Additional Cartons'!B47 = "", "", IF('Additional Cartons-WUO_ERR'!A47 = "", "Validated", HYPERLINK("#" &amp; ADDRESS(47, 'Additional Cartons-WUO_TRK'!A47),_xlfn.TEXTAFTER('Additional Cartons-WUO_ERR'!A47, ":"))))</f>
        <v/>
      </c>
    </row>
    <row r="48">
      <c r="A48" s="38">
        <f>IF('Additional Cartons'!B48 = "", "", IF('Additional Cartons-WUO_ERR'!A48 = "", "Validated", HYPERLINK("#" &amp; ADDRESS(48, 'Additional Cartons-WUO_TRK'!A48),_xlfn.TEXTAFTER('Additional Cartons-WUO_ERR'!A48, ":"))))</f>
        <v/>
      </c>
    </row>
    <row r="49">
      <c r="A49" s="38">
        <f>IF('Additional Cartons'!B49 = "", "", IF('Additional Cartons-WUO_ERR'!A49 = "", "Validated", HYPERLINK("#" &amp; ADDRESS(49, 'Additional Cartons-WUO_TRK'!A49),_xlfn.TEXTAFTER('Additional Cartons-WUO_ERR'!A49, ":"))))</f>
        <v/>
      </c>
    </row>
    <row r="50">
      <c r="A50" s="38">
        <f>IF('Additional Cartons'!B50 = "", "", IF('Additional Cartons-WUO_ERR'!A50 = "", "Validated", HYPERLINK("#" &amp; ADDRESS(50, 'Additional Cartons-WUO_TRK'!A50),_xlfn.TEXTAFTER('Additional Cartons-WUO_ERR'!A50, ":"))))</f>
        <v/>
      </c>
    </row>
    <row r="51">
      <c r="A51" s="38">
        <f>IF('Additional Cartons'!B51 = "", "", IF('Additional Cartons-WUO_ERR'!A51 = "", "Validated", HYPERLINK("#" &amp; ADDRESS(51, 'Additional Cartons-WUO_TRK'!A51),_xlfn.TEXTAFTER('Additional Cartons-WUO_ERR'!A51, ":"))))</f>
        <v/>
      </c>
    </row>
    <row r="52">
      <c r="A52" s="38">
        <f>IF('Additional Cartons'!B52 = "", "", IF('Additional Cartons-WUO_ERR'!A52 = "", "Validated", HYPERLINK("#" &amp; ADDRESS(52, 'Additional Cartons-WUO_TRK'!A52),_xlfn.TEXTAFTER('Additional Cartons-WUO_ERR'!A52, ":"))))</f>
        <v/>
      </c>
    </row>
    <row r="53">
      <c r="A53" s="38">
        <f>IF('Additional Cartons'!B53 = "", "", IF('Additional Cartons-WUO_ERR'!A53 = "", "Validated", HYPERLINK("#" &amp; ADDRESS(53, 'Additional Cartons-WUO_TRK'!A53),_xlfn.TEXTAFTER('Additional Cartons-WUO_ERR'!A53, ":"))))</f>
        <v/>
      </c>
    </row>
    <row r="54">
      <c r="A54" s="38">
        <f>IF('Additional Cartons'!B54 = "", "", IF('Additional Cartons-WUO_ERR'!A54 = "", "Validated", HYPERLINK("#" &amp; ADDRESS(54, 'Additional Cartons-WUO_TRK'!A54),_xlfn.TEXTAFTER('Additional Cartons-WUO_ERR'!A54, ":"))))</f>
        <v/>
      </c>
    </row>
    <row r="55">
      <c r="A55" s="38">
        <f>IF('Additional Cartons'!B55 = "", "", IF('Additional Cartons-WUO_ERR'!A55 = "", "Validated", HYPERLINK("#" &amp; ADDRESS(55, 'Additional Cartons-WUO_TRK'!A55),_xlfn.TEXTAFTER('Additional Cartons-WUO_ERR'!A55, ":"))))</f>
        <v/>
      </c>
    </row>
    <row r="56">
      <c r="A56" s="38">
        <f>IF('Additional Cartons'!B56 = "", "", IF('Additional Cartons-WUO_ERR'!A56 = "", "Validated", HYPERLINK("#" &amp; ADDRESS(56, 'Additional Cartons-WUO_TRK'!A56),_xlfn.TEXTAFTER('Additional Cartons-WUO_ERR'!A56, ":"))))</f>
        <v/>
      </c>
    </row>
    <row r="57">
      <c r="A57" s="38">
        <f>IF('Additional Cartons'!B57 = "", "", IF('Additional Cartons-WUO_ERR'!A57 = "", "Validated", HYPERLINK("#" &amp; ADDRESS(57, 'Additional Cartons-WUO_TRK'!A57),_xlfn.TEXTAFTER('Additional Cartons-WUO_ERR'!A57, ":"))))</f>
        <v/>
      </c>
    </row>
    <row r="58">
      <c r="A58" s="38">
        <f>IF('Additional Cartons'!B58 = "", "", IF('Additional Cartons-WUO_ERR'!A58 = "", "Validated", HYPERLINK("#" &amp; ADDRESS(58, 'Additional Cartons-WUO_TRK'!A58),_xlfn.TEXTAFTER('Additional Cartons-WUO_ERR'!A58, ":"))))</f>
        <v/>
      </c>
    </row>
    <row r="59">
      <c r="A59" s="38">
        <f>IF('Additional Cartons'!B59 = "", "", IF('Additional Cartons-WUO_ERR'!A59 = "", "Validated", HYPERLINK("#" &amp; ADDRESS(59, 'Additional Cartons-WUO_TRK'!A59),_xlfn.TEXTAFTER('Additional Cartons-WUO_ERR'!A59, ":"))))</f>
        <v/>
      </c>
    </row>
    <row r="60">
      <c r="A60" s="38">
        <f>IF('Additional Cartons'!B60 = "", "", IF('Additional Cartons-WUO_ERR'!A60 = "", "Validated", HYPERLINK("#" &amp; ADDRESS(60, 'Additional Cartons-WUO_TRK'!A60),_xlfn.TEXTAFTER('Additional Cartons-WUO_ERR'!A60, ":"))))</f>
        <v/>
      </c>
    </row>
    <row r="61">
      <c r="A61" s="38">
        <f>IF('Additional Cartons'!B61 = "", "", IF('Additional Cartons-WUO_ERR'!A61 = "", "Validated", HYPERLINK("#" &amp; ADDRESS(61, 'Additional Cartons-WUO_TRK'!A61),_xlfn.TEXTAFTER('Additional Cartons-WUO_ERR'!A61, ":"))))</f>
        <v/>
      </c>
    </row>
    <row r="62">
      <c r="A62" s="38">
        <f>IF('Additional Cartons'!B62 = "", "", IF('Additional Cartons-WUO_ERR'!A62 = "", "Validated", HYPERLINK("#" &amp; ADDRESS(62, 'Additional Cartons-WUO_TRK'!A62),_xlfn.TEXTAFTER('Additional Cartons-WUO_ERR'!A62, ":"))))</f>
        <v/>
      </c>
    </row>
    <row r="63">
      <c r="A63" s="38">
        <f>IF('Additional Cartons'!B63 = "", "", IF('Additional Cartons-WUO_ERR'!A63 = "", "Validated", HYPERLINK("#" &amp; ADDRESS(63, 'Additional Cartons-WUO_TRK'!A63),_xlfn.TEXTAFTER('Additional Cartons-WUO_ERR'!A63, ":"))))</f>
        <v/>
      </c>
    </row>
    <row r="64">
      <c r="A64" s="38">
        <f>IF('Additional Cartons'!B64 = "", "", IF('Additional Cartons-WUO_ERR'!A64 = "", "Validated", HYPERLINK("#" &amp; ADDRESS(64, 'Additional Cartons-WUO_TRK'!A64),_xlfn.TEXTAFTER('Additional Cartons-WUO_ERR'!A64, ":"))))</f>
        <v/>
      </c>
    </row>
    <row r="65">
      <c r="A65" s="38">
        <f>IF('Additional Cartons'!B65 = "", "", IF('Additional Cartons-WUO_ERR'!A65 = "", "Validated", HYPERLINK("#" &amp; ADDRESS(65, 'Additional Cartons-WUO_TRK'!A65),_xlfn.TEXTAFTER('Additional Cartons-WUO_ERR'!A65, ":"))))</f>
        <v/>
      </c>
    </row>
    <row r="66">
      <c r="A66" s="38">
        <f>IF('Additional Cartons'!B66 = "", "", IF('Additional Cartons-WUO_ERR'!A66 = "", "Validated", HYPERLINK("#" &amp; ADDRESS(66, 'Additional Cartons-WUO_TRK'!A66),_xlfn.TEXTAFTER('Additional Cartons-WUO_ERR'!A66, ":"))))</f>
        <v/>
      </c>
    </row>
    <row r="67">
      <c r="A67" s="38">
        <f>IF('Additional Cartons'!B67 = "", "", IF('Additional Cartons-WUO_ERR'!A67 = "", "Validated", HYPERLINK("#" &amp; ADDRESS(67, 'Additional Cartons-WUO_TRK'!A67),_xlfn.TEXTAFTER('Additional Cartons-WUO_ERR'!A67, ":"))))</f>
        <v/>
      </c>
    </row>
    <row r="68">
      <c r="A68" s="38">
        <f>IF('Additional Cartons'!B68 = "", "", IF('Additional Cartons-WUO_ERR'!A68 = "", "Validated", HYPERLINK("#" &amp; ADDRESS(68, 'Additional Cartons-WUO_TRK'!A68),_xlfn.TEXTAFTER('Additional Cartons-WUO_ERR'!A68, ":"))))</f>
        <v/>
      </c>
    </row>
    <row r="69">
      <c r="A69" s="38">
        <f>IF('Additional Cartons'!B69 = "", "", IF('Additional Cartons-WUO_ERR'!A69 = "", "Validated", HYPERLINK("#" &amp; ADDRESS(69, 'Additional Cartons-WUO_TRK'!A69),_xlfn.TEXTAFTER('Additional Cartons-WUO_ERR'!A69, ":"))))</f>
        <v/>
      </c>
    </row>
    <row r="70">
      <c r="A70" s="38">
        <f>IF('Additional Cartons'!B70 = "", "", IF('Additional Cartons-WUO_ERR'!A70 = "", "Validated", HYPERLINK("#" &amp; ADDRESS(70, 'Additional Cartons-WUO_TRK'!A70),_xlfn.TEXTAFTER('Additional Cartons-WUO_ERR'!A70, ":"))))</f>
        <v/>
      </c>
    </row>
    <row r="71">
      <c r="A71" s="38">
        <f>IF('Additional Cartons'!B71 = "", "", IF('Additional Cartons-WUO_ERR'!A71 = "", "Validated", HYPERLINK("#" &amp; ADDRESS(71, 'Additional Cartons-WUO_TRK'!A71),_xlfn.TEXTAFTER('Additional Cartons-WUO_ERR'!A71, ":"))))</f>
        <v/>
      </c>
    </row>
    <row r="72">
      <c r="A72" s="38">
        <f>IF('Additional Cartons'!B72 = "", "", IF('Additional Cartons-WUO_ERR'!A72 = "", "Validated", HYPERLINK("#" &amp; ADDRESS(72, 'Additional Cartons-WUO_TRK'!A72),_xlfn.TEXTAFTER('Additional Cartons-WUO_ERR'!A72, ":"))))</f>
        <v/>
      </c>
    </row>
    <row r="73">
      <c r="A73" s="38">
        <f>IF('Additional Cartons'!B73 = "", "", IF('Additional Cartons-WUO_ERR'!A73 = "", "Validated", HYPERLINK("#" &amp; ADDRESS(73, 'Additional Cartons-WUO_TRK'!A73),_xlfn.TEXTAFTER('Additional Cartons-WUO_ERR'!A73, ":"))))</f>
        <v/>
      </c>
    </row>
    <row r="74">
      <c r="A74" s="38">
        <f>IF('Additional Cartons'!B74 = "", "", IF('Additional Cartons-WUO_ERR'!A74 = "", "Validated", HYPERLINK("#" &amp; ADDRESS(74, 'Additional Cartons-WUO_TRK'!A74),_xlfn.TEXTAFTER('Additional Cartons-WUO_ERR'!A74, ":"))))</f>
        <v/>
      </c>
    </row>
    <row r="75">
      <c r="A75" s="38">
        <f>IF('Additional Cartons'!B75 = "", "", IF('Additional Cartons-WUO_ERR'!A75 = "", "Validated", HYPERLINK("#" &amp; ADDRESS(75, 'Additional Cartons-WUO_TRK'!A75),_xlfn.TEXTAFTER('Additional Cartons-WUO_ERR'!A75, ":"))))</f>
        <v/>
      </c>
    </row>
    <row r="76">
      <c r="A76" s="38">
        <f>IF('Additional Cartons'!B76 = "", "", IF('Additional Cartons-WUO_ERR'!A76 = "", "Validated", HYPERLINK("#" &amp; ADDRESS(76, 'Additional Cartons-WUO_TRK'!A76),_xlfn.TEXTAFTER('Additional Cartons-WUO_ERR'!A76, ":"))))</f>
        <v/>
      </c>
    </row>
    <row r="77">
      <c r="A77" s="38">
        <f>IF('Additional Cartons'!B77 = "", "", IF('Additional Cartons-WUO_ERR'!A77 = "", "Validated", HYPERLINK("#" &amp; ADDRESS(77, 'Additional Cartons-WUO_TRK'!A77),_xlfn.TEXTAFTER('Additional Cartons-WUO_ERR'!A77, ":"))))</f>
        <v/>
      </c>
    </row>
    <row r="78">
      <c r="A78" s="38">
        <f>IF('Additional Cartons'!B78 = "", "", IF('Additional Cartons-WUO_ERR'!A78 = "", "Validated", HYPERLINK("#" &amp; ADDRESS(78, 'Additional Cartons-WUO_TRK'!A78),_xlfn.TEXTAFTER('Additional Cartons-WUO_ERR'!A78, ":"))))</f>
        <v/>
      </c>
    </row>
    <row r="79">
      <c r="A79" s="38">
        <f>IF('Additional Cartons'!B79 = "", "", IF('Additional Cartons-WUO_ERR'!A79 = "", "Validated", HYPERLINK("#" &amp; ADDRESS(79, 'Additional Cartons-WUO_TRK'!A79),_xlfn.TEXTAFTER('Additional Cartons-WUO_ERR'!A79, ":"))))</f>
        <v/>
      </c>
    </row>
    <row r="80">
      <c r="A80" s="38">
        <f>IF('Additional Cartons'!B80 = "", "", IF('Additional Cartons-WUO_ERR'!A80 = "", "Validated", HYPERLINK("#" &amp; ADDRESS(80, 'Additional Cartons-WUO_TRK'!A80),_xlfn.TEXTAFTER('Additional Cartons-WUO_ERR'!A80, ":"))))</f>
        <v/>
      </c>
    </row>
    <row r="81">
      <c r="A81" s="38">
        <f>IF('Additional Cartons'!B81 = "", "", IF('Additional Cartons-WUO_ERR'!A81 = "", "Validated", HYPERLINK("#" &amp; ADDRESS(81, 'Additional Cartons-WUO_TRK'!A81),_xlfn.TEXTAFTER('Additional Cartons-WUO_ERR'!A81, ":"))))</f>
        <v/>
      </c>
    </row>
    <row r="82">
      <c r="A82" s="38">
        <f>IF('Additional Cartons'!B82 = "", "", IF('Additional Cartons-WUO_ERR'!A82 = "", "Validated", HYPERLINK("#" &amp; ADDRESS(82, 'Additional Cartons-WUO_TRK'!A82),_xlfn.TEXTAFTER('Additional Cartons-WUO_ERR'!A82, ":"))))</f>
        <v/>
      </c>
    </row>
    <row r="83">
      <c r="A83" s="38">
        <f>IF('Additional Cartons'!B83 = "", "", IF('Additional Cartons-WUO_ERR'!A83 = "", "Validated", HYPERLINK("#" &amp; ADDRESS(83, 'Additional Cartons-WUO_TRK'!A83),_xlfn.TEXTAFTER('Additional Cartons-WUO_ERR'!A83, ":"))))</f>
        <v/>
      </c>
    </row>
    <row r="84">
      <c r="A84" s="38">
        <f>IF('Additional Cartons'!B84 = "", "", IF('Additional Cartons-WUO_ERR'!A84 = "", "Validated", HYPERLINK("#" &amp; ADDRESS(84, 'Additional Cartons-WUO_TRK'!A84),_xlfn.TEXTAFTER('Additional Cartons-WUO_ERR'!A84, ":"))))</f>
        <v/>
      </c>
    </row>
    <row r="85">
      <c r="A85" s="38">
        <f>IF('Additional Cartons'!B85 = "", "", IF('Additional Cartons-WUO_ERR'!A85 = "", "Validated", HYPERLINK("#" &amp; ADDRESS(85, 'Additional Cartons-WUO_TRK'!A85),_xlfn.TEXTAFTER('Additional Cartons-WUO_ERR'!A85, ":"))))</f>
        <v/>
      </c>
    </row>
    <row r="86">
      <c r="A86" s="38">
        <f>IF('Additional Cartons'!B86 = "", "", IF('Additional Cartons-WUO_ERR'!A86 = "", "Validated", HYPERLINK("#" &amp; ADDRESS(86, 'Additional Cartons-WUO_TRK'!A86),_xlfn.TEXTAFTER('Additional Cartons-WUO_ERR'!A86, ":"))))</f>
        <v/>
      </c>
    </row>
    <row r="87">
      <c r="A87" s="38">
        <f>IF('Additional Cartons'!B87 = "", "", IF('Additional Cartons-WUO_ERR'!A87 = "", "Validated", HYPERLINK("#" &amp; ADDRESS(87, 'Additional Cartons-WUO_TRK'!A87),_xlfn.TEXTAFTER('Additional Cartons-WUO_ERR'!A87, ":"))))</f>
        <v/>
      </c>
    </row>
    <row r="88">
      <c r="A88" s="38">
        <f>IF('Additional Cartons'!B88 = "", "", IF('Additional Cartons-WUO_ERR'!A88 = "", "Validated", HYPERLINK("#" &amp; ADDRESS(88, 'Additional Cartons-WUO_TRK'!A88),_xlfn.TEXTAFTER('Additional Cartons-WUO_ERR'!A88, ":"))))</f>
        <v/>
      </c>
    </row>
    <row r="89">
      <c r="A89" s="38">
        <f>IF('Additional Cartons'!B89 = "", "", IF('Additional Cartons-WUO_ERR'!A89 = "", "Validated", HYPERLINK("#" &amp; ADDRESS(89, 'Additional Cartons-WUO_TRK'!A89),_xlfn.TEXTAFTER('Additional Cartons-WUO_ERR'!A89, ":"))))</f>
        <v/>
      </c>
    </row>
    <row r="90">
      <c r="A90" s="38">
        <f>IF('Additional Cartons'!B90 = "", "", IF('Additional Cartons-WUO_ERR'!A90 = "", "Validated", HYPERLINK("#" &amp; ADDRESS(90, 'Additional Cartons-WUO_TRK'!A90),_xlfn.TEXTAFTER('Additional Cartons-WUO_ERR'!A90, ":"))))</f>
        <v/>
      </c>
    </row>
    <row r="91">
      <c r="A91" s="38">
        <f>IF('Additional Cartons'!B91 = "", "", IF('Additional Cartons-WUO_ERR'!A91 = "", "Validated", HYPERLINK("#" &amp; ADDRESS(91, 'Additional Cartons-WUO_TRK'!A91),_xlfn.TEXTAFTER('Additional Cartons-WUO_ERR'!A91, ":"))))</f>
        <v/>
      </c>
    </row>
    <row r="92">
      <c r="A92" s="38">
        <f>IF('Additional Cartons'!B92 = "", "", IF('Additional Cartons-WUO_ERR'!A92 = "", "Validated", HYPERLINK("#" &amp; ADDRESS(92, 'Additional Cartons-WUO_TRK'!A92),_xlfn.TEXTAFTER('Additional Cartons-WUO_ERR'!A92, ":"))))</f>
        <v/>
      </c>
    </row>
    <row r="93">
      <c r="A93" s="38">
        <f>IF('Additional Cartons'!B93 = "", "", IF('Additional Cartons-WUO_ERR'!A93 = "", "Validated", HYPERLINK("#" &amp; ADDRESS(93, 'Additional Cartons-WUO_TRK'!A93),_xlfn.TEXTAFTER('Additional Cartons-WUO_ERR'!A93, ":"))))</f>
        <v/>
      </c>
    </row>
    <row r="94">
      <c r="A94" s="38">
        <f>IF('Additional Cartons'!B94 = "", "", IF('Additional Cartons-WUO_ERR'!A94 = "", "Validated", HYPERLINK("#" &amp; ADDRESS(94, 'Additional Cartons-WUO_TRK'!A94),_xlfn.TEXTAFTER('Additional Cartons-WUO_ERR'!A94, ":"))))</f>
        <v/>
      </c>
    </row>
    <row r="95">
      <c r="A95" s="38">
        <f>IF('Additional Cartons'!B95 = "", "", IF('Additional Cartons-WUO_ERR'!A95 = "", "Validated", HYPERLINK("#" &amp; ADDRESS(95, 'Additional Cartons-WUO_TRK'!A95),_xlfn.TEXTAFTER('Additional Cartons-WUO_ERR'!A95, ":"))))</f>
        <v/>
      </c>
    </row>
    <row r="96">
      <c r="A96" s="38">
        <f>IF('Additional Cartons'!B96 = "", "", IF('Additional Cartons-WUO_ERR'!A96 = "", "Validated", HYPERLINK("#" &amp; ADDRESS(96, 'Additional Cartons-WUO_TRK'!A96),_xlfn.TEXTAFTER('Additional Cartons-WUO_ERR'!A96, ":"))))</f>
        <v/>
      </c>
    </row>
    <row r="97">
      <c r="A97" s="38">
        <f>IF('Additional Cartons'!B97 = "", "", IF('Additional Cartons-WUO_ERR'!A97 = "", "Validated", HYPERLINK("#" &amp; ADDRESS(97, 'Additional Cartons-WUO_TRK'!A97),_xlfn.TEXTAFTER('Additional Cartons-WUO_ERR'!A97, ":"))))</f>
        <v/>
      </c>
    </row>
    <row r="98">
      <c r="A98" s="38">
        <f>IF('Additional Cartons'!B98 = "", "", IF('Additional Cartons-WUO_ERR'!A98 = "", "Validated", HYPERLINK("#" &amp; ADDRESS(98, 'Additional Cartons-WUO_TRK'!A98),_xlfn.TEXTAFTER('Additional Cartons-WUO_ERR'!A98, ":"))))</f>
        <v/>
      </c>
    </row>
    <row r="99">
      <c r="A99" s="38">
        <f>IF('Additional Cartons'!B99 = "", "", IF('Additional Cartons-WUO_ERR'!A99 = "", "Validated", HYPERLINK("#" &amp; ADDRESS(99, 'Additional Cartons-WUO_TRK'!A99),_xlfn.TEXTAFTER('Additional Cartons-WUO_ERR'!A99, ":"))))</f>
        <v/>
      </c>
    </row>
    <row r="100">
      <c r="A100" s="38">
        <f>IF('Additional Cartons'!B100 = "", "", IF('Additional Cartons-WUO_ERR'!A100 = "", "Validated", HYPERLINK("#" &amp; ADDRESS(100, 'Additional Cartons-WUO_TRK'!A100),_xlfn.TEXTAFTER('Additional Cartons-WUO_ERR'!A100, ":"))))</f>
        <v/>
      </c>
    </row>
    <row r="101">
      <c r="A101" s="38">
        <f>IF('Additional Cartons'!B101 = "", "", IF('Additional Cartons-WUO_ERR'!A101 = "", "Validated", HYPERLINK("#" &amp; ADDRESS(101, 'Additional Cartons-WUO_TRK'!A101),_xlfn.TEXTAFTER('Additional Cartons-WUO_ERR'!A101, ":"))))</f>
        <v/>
      </c>
    </row>
    <row r="102">
      <c r="A102" s="38">
        <f>IF('Additional Cartons'!B102 = "", "", IF('Additional Cartons-WUO_ERR'!A102 = "", "Validated", HYPERLINK("#" &amp; ADDRESS(102, 'Additional Cartons-WUO_TRK'!A102),_xlfn.TEXTAFTER('Additional Cartons-WUO_ERR'!A102, ":"))))</f>
        <v/>
      </c>
    </row>
    <row r="103">
      <c r="A103" s="38">
        <f>IF('Additional Cartons'!B103 = "", "", IF('Additional Cartons-WUO_ERR'!A103 = "", "Validated", HYPERLINK("#" &amp; ADDRESS(103, 'Additional Cartons-WUO_TRK'!A103),_xlfn.TEXTAFTER('Additional Cartons-WUO_ERR'!A103, ":"))))</f>
        <v/>
      </c>
    </row>
    <row r="104">
      <c r="A104" s="38">
        <f>IF('Additional Cartons'!B104 = "", "", IF('Additional Cartons-WUO_ERR'!A104 = "", "Validated", HYPERLINK("#" &amp; ADDRESS(104, 'Additional Cartons-WUO_TRK'!A104),_xlfn.TEXTAFTER('Additional Cartons-WUO_ERR'!A104, ":"))))</f>
        <v/>
      </c>
    </row>
    <row r="105">
      <c r="A105" s="38">
        <f>IF('Additional Cartons'!B105 = "", "", IF('Additional Cartons-WUO_ERR'!A105 = "", "Validated", HYPERLINK("#" &amp; ADDRESS(105, 'Additional Cartons-WUO_TRK'!A105),_xlfn.TEXTAFTER('Additional Cartons-WUO_ERR'!A105, ":"))))</f>
        <v/>
      </c>
    </row>
    <row r="106">
      <c r="A106" s="38">
        <f>IF('Additional Cartons'!B106 = "", "", IF('Additional Cartons-WUO_ERR'!A106 = "", "Validated", HYPERLINK("#" &amp; ADDRESS(106, 'Additional Cartons-WUO_TRK'!A106),_xlfn.TEXTAFTER('Additional Cartons-WUO_ERR'!A106, ":"))))</f>
        <v/>
      </c>
    </row>
    <row r="107">
      <c r="A107" s="38">
        <f>IF('Additional Cartons'!B107 = "", "", IF('Additional Cartons-WUO_ERR'!A107 = "", "Validated", HYPERLINK("#" &amp; ADDRESS(107, 'Additional Cartons-WUO_TRK'!A107),_xlfn.TEXTAFTER('Additional Cartons-WUO_ERR'!A107, ":"))))</f>
        <v/>
      </c>
    </row>
    <row r="108">
      <c r="A108" s="38">
        <f>IF('Additional Cartons'!B108 = "", "", IF('Additional Cartons-WUO_ERR'!A108 = "", "Validated", HYPERLINK("#" &amp; ADDRESS(108, 'Additional Cartons-WUO_TRK'!A108),_xlfn.TEXTAFTER('Additional Cartons-WUO_ERR'!A108, ":"))))</f>
        <v/>
      </c>
    </row>
    <row r="109">
      <c r="A109" s="38">
        <f>IF('Additional Cartons'!B109 = "", "", IF('Additional Cartons-WUO_ERR'!A109 = "", "Validated", HYPERLINK("#" &amp; ADDRESS(109, 'Additional Cartons-WUO_TRK'!A109),_xlfn.TEXTAFTER('Additional Cartons-WUO_ERR'!A109, ":"))))</f>
        <v/>
      </c>
    </row>
    <row r="110">
      <c r="A110" s="38">
        <f>IF('Additional Cartons'!B110 = "", "", IF('Additional Cartons-WUO_ERR'!A110 = "", "Validated", HYPERLINK("#" &amp; ADDRESS(110, 'Additional Cartons-WUO_TRK'!A110),_xlfn.TEXTAFTER('Additional Cartons-WUO_ERR'!A110, ":"))))</f>
        <v/>
      </c>
    </row>
    <row r="111">
      <c r="A111" s="38">
        <f>IF('Additional Cartons'!B111 = "", "", IF('Additional Cartons-WUO_ERR'!A111 = "", "Validated", HYPERLINK("#" &amp; ADDRESS(111, 'Additional Cartons-WUO_TRK'!A111),_xlfn.TEXTAFTER('Additional Cartons-WUO_ERR'!A111, ":"))))</f>
        <v/>
      </c>
    </row>
    <row r="112">
      <c r="A112" s="38">
        <f>IF('Additional Cartons'!B112 = "", "", IF('Additional Cartons-WUO_ERR'!A112 = "", "Validated", HYPERLINK("#" &amp; ADDRESS(112, 'Additional Cartons-WUO_TRK'!A112),_xlfn.TEXTAFTER('Additional Cartons-WUO_ERR'!A112, ":"))))</f>
        <v/>
      </c>
    </row>
    <row r="113">
      <c r="A113" s="38">
        <f>IF('Additional Cartons'!B113 = "", "", IF('Additional Cartons-WUO_ERR'!A113 = "", "Validated", HYPERLINK("#" &amp; ADDRESS(113, 'Additional Cartons-WUO_TRK'!A113),_xlfn.TEXTAFTER('Additional Cartons-WUO_ERR'!A113, ":"))))</f>
        <v/>
      </c>
    </row>
    <row r="114">
      <c r="A114" s="38">
        <f>IF('Additional Cartons'!B114 = "", "", IF('Additional Cartons-WUO_ERR'!A114 = "", "Validated", HYPERLINK("#" &amp; ADDRESS(114, 'Additional Cartons-WUO_TRK'!A114),_xlfn.TEXTAFTER('Additional Cartons-WUO_ERR'!A114, ":"))))</f>
        <v/>
      </c>
    </row>
    <row r="115">
      <c r="A115" s="38">
        <f>IF('Additional Cartons'!B115 = "", "", IF('Additional Cartons-WUO_ERR'!A115 = "", "Validated", HYPERLINK("#" &amp; ADDRESS(115, 'Additional Cartons-WUO_TRK'!A115),_xlfn.TEXTAFTER('Additional Cartons-WUO_ERR'!A115, ":"))))</f>
        <v/>
      </c>
    </row>
    <row r="116">
      <c r="A116" s="38">
        <f>IF('Additional Cartons'!B116 = "", "", IF('Additional Cartons-WUO_ERR'!A116 = "", "Validated", HYPERLINK("#" &amp; ADDRESS(116, 'Additional Cartons-WUO_TRK'!A116),_xlfn.TEXTAFTER('Additional Cartons-WUO_ERR'!A116, ":"))))</f>
        <v/>
      </c>
    </row>
    <row r="117">
      <c r="A117" s="38">
        <f>IF('Additional Cartons'!B117 = "", "", IF('Additional Cartons-WUO_ERR'!A117 = "", "Validated", HYPERLINK("#" &amp; ADDRESS(117, 'Additional Cartons-WUO_TRK'!A117),_xlfn.TEXTAFTER('Additional Cartons-WUO_ERR'!A117, ":"))))</f>
        <v/>
      </c>
    </row>
    <row r="118">
      <c r="A118" s="38">
        <f>IF('Additional Cartons'!B118 = "", "", IF('Additional Cartons-WUO_ERR'!A118 = "", "Validated", HYPERLINK("#" &amp; ADDRESS(118, 'Additional Cartons-WUO_TRK'!A118),_xlfn.TEXTAFTER('Additional Cartons-WUO_ERR'!A118, ":"))))</f>
        <v/>
      </c>
    </row>
    <row r="119">
      <c r="A119" s="38">
        <f>IF('Additional Cartons'!B119 = "", "", IF('Additional Cartons-WUO_ERR'!A119 = "", "Validated", HYPERLINK("#" &amp; ADDRESS(119, 'Additional Cartons-WUO_TRK'!A119),_xlfn.TEXTAFTER('Additional Cartons-WUO_ERR'!A119, ":"))))</f>
        <v/>
      </c>
    </row>
    <row r="120">
      <c r="A120" s="38">
        <f>IF('Additional Cartons'!B120 = "", "", IF('Additional Cartons-WUO_ERR'!A120 = "", "Validated", HYPERLINK("#" &amp; ADDRESS(120, 'Additional Cartons-WUO_TRK'!A120),_xlfn.TEXTAFTER('Additional Cartons-WUO_ERR'!A120, ":"))))</f>
        <v/>
      </c>
    </row>
    <row r="121">
      <c r="A121" s="38">
        <f>IF('Additional Cartons'!B121 = "", "", IF('Additional Cartons-WUO_ERR'!A121 = "", "Validated", HYPERLINK("#" &amp; ADDRESS(121, 'Additional Cartons-WUO_TRK'!A121),_xlfn.TEXTAFTER('Additional Cartons-WUO_ERR'!A121, ":"))))</f>
        <v/>
      </c>
    </row>
    <row r="122">
      <c r="A122" s="38">
        <f>IF('Additional Cartons'!B122 = "", "", IF('Additional Cartons-WUO_ERR'!A122 = "", "Validated", HYPERLINK("#" &amp; ADDRESS(122, 'Additional Cartons-WUO_TRK'!A122),_xlfn.TEXTAFTER('Additional Cartons-WUO_ERR'!A122, ":"))))</f>
        <v/>
      </c>
    </row>
    <row r="123">
      <c r="A123" s="38">
        <f>IF('Additional Cartons'!B123 = "", "", IF('Additional Cartons-WUO_ERR'!A123 = "", "Validated", HYPERLINK("#" &amp; ADDRESS(123, 'Additional Cartons-WUO_TRK'!A123),_xlfn.TEXTAFTER('Additional Cartons-WUO_ERR'!A123, ":"))))</f>
        <v/>
      </c>
    </row>
    <row r="124">
      <c r="A124" s="38">
        <f>IF('Additional Cartons'!B124 = "", "", IF('Additional Cartons-WUO_ERR'!A124 = "", "Validated", HYPERLINK("#" &amp; ADDRESS(124, 'Additional Cartons-WUO_TRK'!A124),_xlfn.TEXTAFTER('Additional Cartons-WUO_ERR'!A124, ":"))))</f>
        <v/>
      </c>
    </row>
    <row r="125">
      <c r="A125" s="38">
        <f>IF('Additional Cartons'!B125 = "", "", IF('Additional Cartons-WUO_ERR'!A125 = "", "Validated", HYPERLINK("#" &amp; ADDRESS(125, 'Additional Cartons-WUO_TRK'!A125),_xlfn.TEXTAFTER('Additional Cartons-WUO_ERR'!A125, ":"))))</f>
        <v/>
      </c>
    </row>
    <row r="126">
      <c r="A126" s="38">
        <f>IF('Additional Cartons'!B126 = "", "", IF('Additional Cartons-WUO_ERR'!A126 = "", "Validated", HYPERLINK("#" &amp; ADDRESS(126, 'Additional Cartons-WUO_TRK'!A126),_xlfn.TEXTAFTER('Additional Cartons-WUO_ERR'!A126, ":"))))</f>
        <v/>
      </c>
    </row>
    <row r="127">
      <c r="A127" s="38">
        <f>IF('Additional Cartons'!B127 = "", "", IF('Additional Cartons-WUO_ERR'!A127 = "", "Validated", HYPERLINK("#" &amp; ADDRESS(127, 'Additional Cartons-WUO_TRK'!A127),_xlfn.TEXTAFTER('Additional Cartons-WUO_ERR'!A127, ":"))))</f>
        <v/>
      </c>
    </row>
    <row r="128">
      <c r="A128" s="38">
        <f>IF('Additional Cartons'!B128 = "", "", IF('Additional Cartons-WUO_ERR'!A128 = "", "Validated", HYPERLINK("#" &amp; ADDRESS(128, 'Additional Cartons-WUO_TRK'!A128),_xlfn.TEXTAFTER('Additional Cartons-WUO_ERR'!A128, ":"))))</f>
        <v/>
      </c>
    </row>
    <row r="129">
      <c r="A129" s="38">
        <f>IF('Additional Cartons'!B129 = "", "", IF('Additional Cartons-WUO_ERR'!A129 = "", "Validated", HYPERLINK("#" &amp; ADDRESS(129, 'Additional Cartons-WUO_TRK'!A129),_xlfn.TEXTAFTER('Additional Cartons-WUO_ERR'!A129, ":"))))</f>
        <v/>
      </c>
    </row>
    <row r="130">
      <c r="A130" s="38">
        <f>IF('Additional Cartons'!B130 = "", "", IF('Additional Cartons-WUO_ERR'!A130 = "", "Validated", HYPERLINK("#" &amp; ADDRESS(130, 'Additional Cartons-WUO_TRK'!A130),_xlfn.TEXTAFTER('Additional Cartons-WUO_ERR'!A130, ":"))))</f>
        <v/>
      </c>
    </row>
    <row r="131">
      <c r="A131" s="38">
        <f>IF('Additional Cartons'!B131 = "", "", IF('Additional Cartons-WUO_ERR'!A131 = "", "Validated", HYPERLINK("#" &amp; ADDRESS(131, 'Additional Cartons-WUO_TRK'!A131),_xlfn.TEXTAFTER('Additional Cartons-WUO_ERR'!A131, ":"))))</f>
        <v/>
      </c>
    </row>
    <row r="132">
      <c r="A132" s="38">
        <f>IF('Additional Cartons'!B132 = "", "", IF('Additional Cartons-WUO_ERR'!A132 = "", "Validated", HYPERLINK("#" &amp; ADDRESS(132, 'Additional Cartons-WUO_TRK'!A132),_xlfn.TEXTAFTER('Additional Cartons-WUO_ERR'!A132, ":"))))</f>
        <v/>
      </c>
    </row>
    <row r="133">
      <c r="A133" s="38">
        <f>IF('Additional Cartons'!B133 = "", "", IF('Additional Cartons-WUO_ERR'!A133 = "", "Validated", HYPERLINK("#" &amp; ADDRESS(133, 'Additional Cartons-WUO_TRK'!A133),_xlfn.TEXTAFTER('Additional Cartons-WUO_ERR'!A133, ":"))))</f>
        <v/>
      </c>
    </row>
    <row r="134">
      <c r="A134" s="38">
        <f>IF('Additional Cartons'!B134 = "", "", IF('Additional Cartons-WUO_ERR'!A134 = "", "Validated", HYPERLINK("#" &amp; ADDRESS(134, 'Additional Cartons-WUO_TRK'!A134),_xlfn.TEXTAFTER('Additional Cartons-WUO_ERR'!A134, ":"))))</f>
        <v/>
      </c>
    </row>
    <row r="135">
      <c r="A135" s="38">
        <f>IF('Additional Cartons'!B135 = "", "", IF('Additional Cartons-WUO_ERR'!A135 = "", "Validated", HYPERLINK("#" &amp; ADDRESS(135, 'Additional Cartons-WUO_TRK'!A135),_xlfn.TEXTAFTER('Additional Cartons-WUO_ERR'!A135, ":"))))</f>
        <v/>
      </c>
    </row>
    <row r="136">
      <c r="A136" s="38">
        <f>IF('Additional Cartons'!B136 = "", "", IF('Additional Cartons-WUO_ERR'!A136 = "", "Validated", HYPERLINK("#" &amp; ADDRESS(136, 'Additional Cartons-WUO_TRK'!A136),_xlfn.TEXTAFTER('Additional Cartons-WUO_ERR'!A136, ":"))))</f>
        <v/>
      </c>
    </row>
    <row r="137">
      <c r="A137" s="38">
        <f>IF('Additional Cartons'!B137 = "", "", IF('Additional Cartons-WUO_ERR'!A137 = "", "Validated", HYPERLINK("#" &amp; ADDRESS(137, 'Additional Cartons-WUO_TRK'!A137),_xlfn.TEXTAFTER('Additional Cartons-WUO_ERR'!A137, ":"))))</f>
        <v/>
      </c>
    </row>
    <row r="138">
      <c r="A138" s="38">
        <f>IF('Additional Cartons'!B138 = "", "", IF('Additional Cartons-WUO_ERR'!A138 = "", "Validated", HYPERLINK("#" &amp; ADDRESS(138, 'Additional Cartons-WUO_TRK'!A138),_xlfn.TEXTAFTER('Additional Cartons-WUO_ERR'!A138, ":"))))</f>
        <v/>
      </c>
    </row>
    <row r="139">
      <c r="A139" s="38">
        <f>IF('Additional Cartons'!B139 = "", "", IF('Additional Cartons-WUO_ERR'!A139 = "", "Validated", HYPERLINK("#" &amp; ADDRESS(139, 'Additional Cartons-WUO_TRK'!A139),_xlfn.TEXTAFTER('Additional Cartons-WUO_ERR'!A139, ":"))))</f>
        <v/>
      </c>
    </row>
    <row r="140">
      <c r="A140" s="38">
        <f>IF('Additional Cartons'!B140 = "", "", IF('Additional Cartons-WUO_ERR'!A140 = "", "Validated", HYPERLINK("#" &amp; ADDRESS(140, 'Additional Cartons-WUO_TRK'!A140),_xlfn.TEXTAFTER('Additional Cartons-WUO_ERR'!A140, ":"))))</f>
        <v/>
      </c>
    </row>
    <row r="141">
      <c r="A141" s="38">
        <f>IF('Additional Cartons'!B141 = "", "", IF('Additional Cartons-WUO_ERR'!A141 = "", "Validated", HYPERLINK("#" &amp; ADDRESS(141, 'Additional Cartons-WUO_TRK'!A141),_xlfn.TEXTAFTER('Additional Cartons-WUO_ERR'!A141, ":"))))</f>
        <v/>
      </c>
    </row>
    <row r="142">
      <c r="A142" s="38">
        <f>IF('Additional Cartons'!B142 = "", "", IF('Additional Cartons-WUO_ERR'!A142 = "", "Validated", HYPERLINK("#" &amp; ADDRESS(142, 'Additional Cartons-WUO_TRK'!A142),_xlfn.TEXTAFTER('Additional Cartons-WUO_ERR'!A142, ":"))))</f>
        <v/>
      </c>
    </row>
    <row r="143">
      <c r="A143" s="38">
        <f>IF('Additional Cartons'!B143 = "", "", IF('Additional Cartons-WUO_ERR'!A143 = "", "Validated", HYPERLINK("#" &amp; ADDRESS(143, 'Additional Cartons-WUO_TRK'!A143),_xlfn.TEXTAFTER('Additional Cartons-WUO_ERR'!A143, ":"))))</f>
        <v/>
      </c>
    </row>
    <row r="144">
      <c r="A144" s="38">
        <f>IF('Additional Cartons'!B144 = "", "", IF('Additional Cartons-WUO_ERR'!A144 = "", "Validated", HYPERLINK("#" &amp; ADDRESS(144, 'Additional Cartons-WUO_TRK'!A144),_xlfn.TEXTAFTER('Additional Cartons-WUO_ERR'!A144, ":"))))</f>
        <v/>
      </c>
    </row>
    <row r="145">
      <c r="A145" s="38">
        <f>IF('Additional Cartons'!B145 = "", "", IF('Additional Cartons-WUO_ERR'!A145 = "", "Validated", HYPERLINK("#" &amp; ADDRESS(145, 'Additional Cartons-WUO_TRK'!A145),_xlfn.TEXTAFTER('Additional Cartons-WUO_ERR'!A145, ":"))))</f>
        <v/>
      </c>
    </row>
    <row r="146">
      <c r="A146" s="38">
        <f>IF('Additional Cartons'!B146 = "", "", IF('Additional Cartons-WUO_ERR'!A146 = "", "Validated", HYPERLINK("#" &amp; ADDRESS(146, 'Additional Cartons-WUO_TRK'!A146),_xlfn.TEXTAFTER('Additional Cartons-WUO_ERR'!A146, ":"))))</f>
        <v/>
      </c>
    </row>
    <row r="147">
      <c r="A147" s="38">
        <f>IF('Additional Cartons'!B147 = "", "", IF('Additional Cartons-WUO_ERR'!A147 = "", "Validated", HYPERLINK("#" &amp; ADDRESS(147, 'Additional Cartons-WUO_TRK'!A147),_xlfn.TEXTAFTER('Additional Cartons-WUO_ERR'!A147, ":"))))</f>
        <v/>
      </c>
    </row>
    <row r="148">
      <c r="A148" s="38">
        <f>IF('Additional Cartons'!B148 = "", "", IF('Additional Cartons-WUO_ERR'!A148 = "", "Validated", HYPERLINK("#" &amp; ADDRESS(148, 'Additional Cartons-WUO_TRK'!A148),_xlfn.TEXTAFTER('Additional Cartons-WUO_ERR'!A148, ":"))))</f>
        <v/>
      </c>
    </row>
    <row r="149">
      <c r="A149" s="38">
        <f>IF('Additional Cartons'!B149 = "", "", IF('Additional Cartons-WUO_ERR'!A149 = "", "Validated", HYPERLINK("#" &amp; ADDRESS(149, 'Additional Cartons-WUO_TRK'!A149),_xlfn.TEXTAFTER('Additional Cartons-WUO_ERR'!A149, ":"))))</f>
        <v/>
      </c>
    </row>
    <row r="150">
      <c r="A150" s="38">
        <f>IF('Additional Cartons'!B150 = "", "", IF('Additional Cartons-WUO_ERR'!A150 = "", "Validated", HYPERLINK("#" &amp; ADDRESS(150, 'Additional Cartons-WUO_TRK'!A150),_xlfn.TEXTAFTER('Additional Cartons-WUO_ERR'!A150, ":"))))</f>
        <v/>
      </c>
    </row>
    <row r="151">
      <c r="A151" s="38">
        <f>IF('Additional Cartons'!B151 = "", "", IF('Additional Cartons-WUO_ERR'!A151 = "", "Validated", HYPERLINK("#" &amp; ADDRESS(151, 'Additional Cartons-WUO_TRK'!A151),_xlfn.TEXTAFTER('Additional Cartons-WUO_ERR'!A151, ":"))))</f>
        <v/>
      </c>
    </row>
    <row r="152">
      <c r="A152" s="38">
        <f>IF('Additional Cartons'!B152 = "", "", IF('Additional Cartons-WUO_ERR'!A152 = "", "Validated", HYPERLINK("#" &amp; ADDRESS(152, 'Additional Cartons-WUO_TRK'!A152),_xlfn.TEXTAFTER('Additional Cartons-WUO_ERR'!A152, ":"))))</f>
        <v/>
      </c>
    </row>
    <row r="153">
      <c r="A153" s="38">
        <f>IF('Additional Cartons'!B153 = "", "", IF('Additional Cartons-WUO_ERR'!A153 = "", "Validated", HYPERLINK("#" &amp; ADDRESS(153, 'Additional Cartons-WUO_TRK'!A153),_xlfn.TEXTAFTER('Additional Cartons-WUO_ERR'!A153, ":"))))</f>
        <v/>
      </c>
    </row>
    <row r="154">
      <c r="A154" s="38">
        <f>IF('Additional Cartons'!B154 = "", "", IF('Additional Cartons-WUO_ERR'!A154 = "", "Validated", HYPERLINK("#" &amp; ADDRESS(154, 'Additional Cartons-WUO_TRK'!A154),_xlfn.TEXTAFTER('Additional Cartons-WUO_ERR'!A154, ":"))))</f>
        <v/>
      </c>
    </row>
    <row r="155">
      <c r="A155" s="38">
        <f>IF('Additional Cartons'!B155 = "", "", IF('Additional Cartons-WUO_ERR'!A155 = "", "Validated", HYPERLINK("#" &amp; ADDRESS(155, 'Additional Cartons-WUO_TRK'!A155),_xlfn.TEXTAFTER('Additional Cartons-WUO_ERR'!A155, ":"))))</f>
        <v/>
      </c>
    </row>
    <row r="156">
      <c r="A156" s="38">
        <f>IF('Additional Cartons'!B156 = "", "", IF('Additional Cartons-WUO_ERR'!A156 = "", "Validated", HYPERLINK("#" &amp; ADDRESS(156, 'Additional Cartons-WUO_TRK'!A156),_xlfn.TEXTAFTER('Additional Cartons-WUO_ERR'!A156, ":"))))</f>
        <v/>
      </c>
    </row>
    <row r="157">
      <c r="A157" s="38">
        <f>IF('Additional Cartons'!B157 = "", "", IF('Additional Cartons-WUO_ERR'!A157 = "", "Validated", HYPERLINK("#" &amp; ADDRESS(157, 'Additional Cartons-WUO_TRK'!A157),_xlfn.TEXTAFTER('Additional Cartons-WUO_ERR'!A157, ":"))))</f>
        <v/>
      </c>
    </row>
    <row r="158">
      <c r="A158" s="38">
        <f>IF('Additional Cartons'!B158 = "", "", IF('Additional Cartons-WUO_ERR'!A158 = "", "Validated", HYPERLINK("#" &amp; ADDRESS(158, 'Additional Cartons-WUO_TRK'!A158),_xlfn.TEXTAFTER('Additional Cartons-WUO_ERR'!A158, ":"))))</f>
        <v/>
      </c>
    </row>
    <row r="159">
      <c r="A159" s="38">
        <f>IF('Additional Cartons'!B159 = "", "", IF('Additional Cartons-WUO_ERR'!A159 = "", "Validated", HYPERLINK("#" &amp; ADDRESS(159, 'Additional Cartons-WUO_TRK'!A159),_xlfn.TEXTAFTER('Additional Cartons-WUO_ERR'!A159, ":"))))</f>
        <v/>
      </c>
    </row>
    <row r="160">
      <c r="A160" s="38">
        <f>IF('Additional Cartons'!B160 = "", "", IF('Additional Cartons-WUO_ERR'!A160 = "", "Validated", HYPERLINK("#" &amp; ADDRESS(160, 'Additional Cartons-WUO_TRK'!A160),_xlfn.TEXTAFTER('Additional Cartons-WUO_ERR'!A160, ":"))))</f>
        <v/>
      </c>
    </row>
    <row r="161">
      <c r="A161" s="38">
        <f>IF('Additional Cartons'!B161 = "", "", IF('Additional Cartons-WUO_ERR'!A161 = "", "Validated", HYPERLINK("#" &amp; ADDRESS(161, 'Additional Cartons-WUO_TRK'!A161),_xlfn.TEXTAFTER('Additional Cartons-WUO_ERR'!A161, ":"))))</f>
        <v/>
      </c>
    </row>
    <row r="162">
      <c r="A162" s="38">
        <f>IF('Additional Cartons'!B162 = "", "", IF('Additional Cartons-WUO_ERR'!A162 = "", "Validated", HYPERLINK("#" &amp; ADDRESS(162, 'Additional Cartons-WUO_TRK'!A162),_xlfn.TEXTAFTER('Additional Cartons-WUO_ERR'!A162, ":"))))</f>
        <v/>
      </c>
    </row>
    <row r="163">
      <c r="A163" s="38">
        <f>IF('Additional Cartons'!B163 = "", "", IF('Additional Cartons-WUO_ERR'!A163 = "", "Validated", HYPERLINK("#" &amp; ADDRESS(163, 'Additional Cartons-WUO_TRK'!A163),_xlfn.TEXTAFTER('Additional Cartons-WUO_ERR'!A163, ":"))))</f>
        <v/>
      </c>
    </row>
    <row r="164">
      <c r="A164" s="38">
        <f>IF('Additional Cartons'!B164 = "", "", IF('Additional Cartons-WUO_ERR'!A164 = "", "Validated", HYPERLINK("#" &amp; ADDRESS(164, 'Additional Cartons-WUO_TRK'!A164),_xlfn.TEXTAFTER('Additional Cartons-WUO_ERR'!A164, ":"))))</f>
        <v/>
      </c>
    </row>
    <row r="165">
      <c r="A165" s="38">
        <f>IF('Additional Cartons'!B165 = "", "", IF('Additional Cartons-WUO_ERR'!A165 = "", "Validated", HYPERLINK("#" &amp; ADDRESS(165, 'Additional Cartons-WUO_TRK'!A165),_xlfn.TEXTAFTER('Additional Cartons-WUO_ERR'!A165, ":"))))</f>
        <v/>
      </c>
    </row>
    <row r="166">
      <c r="A166" s="38">
        <f>IF('Additional Cartons'!B166 = "", "", IF('Additional Cartons-WUO_ERR'!A166 = "", "Validated", HYPERLINK("#" &amp; ADDRESS(166, 'Additional Cartons-WUO_TRK'!A166),_xlfn.TEXTAFTER('Additional Cartons-WUO_ERR'!A166, ":"))))</f>
        <v/>
      </c>
    </row>
    <row r="167">
      <c r="A167" s="38">
        <f>IF('Additional Cartons'!B167 = "", "", IF('Additional Cartons-WUO_ERR'!A167 = "", "Validated", HYPERLINK("#" &amp; ADDRESS(167, 'Additional Cartons-WUO_TRK'!A167),_xlfn.TEXTAFTER('Additional Cartons-WUO_ERR'!A167, ":"))))</f>
        <v/>
      </c>
    </row>
    <row r="168">
      <c r="A168" s="38">
        <f>IF('Additional Cartons'!B168 = "", "", IF('Additional Cartons-WUO_ERR'!A168 = "", "Validated", HYPERLINK("#" &amp; ADDRESS(168, 'Additional Cartons-WUO_TRK'!A168),_xlfn.TEXTAFTER('Additional Cartons-WUO_ERR'!A168, ":"))))</f>
        <v/>
      </c>
    </row>
    <row r="169">
      <c r="A169" s="38">
        <f>IF('Additional Cartons'!B169 = "", "", IF('Additional Cartons-WUO_ERR'!A169 = "", "Validated", HYPERLINK("#" &amp; ADDRESS(169, 'Additional Cartons-WUO_TRK'!A169),_xlfn.TEXTAFTER('Additional Cartons-WUO_ERR'!A169, ":"))))</f>
        <v/>
      </c>
    </row>
    <row r="170">
      <c r="A170" s="38">
        <f>IF('Additional Cartons'!B170 = "", "", IF('Additional Cartons-WUO_ERR'!A170 = "", "Validated", HYPERLINK("#" &amp; ADDRESS(170, 'Additional Cartons-WUO_TRK'!A170),_xlfn.TEXTAFTER('Additional Cartons-WUO_ERR'!A170, ":"))))</f>
        <v/>
      </c>
    </row>
    <row r="171">
      <c r="A171" s="38">
        <f>IF('Additional Cartons'!B171 = "", "", IF('Additional Cartons-WUO_ERR'!A171 = "", "Validated", HYPERLINK("#" &amp; ADDRESS(171, 'Additional Cartons-WUO_TRK'!A171),_xlfn.TEXTAFTER('Additional Cartons-WUO_ERR'!A171, ":"))))</f>
        <v/>
      </c>
    </row>
    <row r="172">
      <c r="A172" s="38">
        <f>IF('Additional Cartons'!B172 = "", "", IF('Additional Cartons-WUO_ERR'!A172 = "", "Validated", HYPERLINK("#" &amp; ADDRESS(172, 'Additional Cartons-WUO_TRK'!A172),_xlfn.TEXTAFTER('Additional Cartons-WUO_ERR'!A172, ":"))))</f>
        <v/>
      </c>
    </row>
    <row r="173">
      <c r="A173" s="38">
        <f>IF('Additional Cartons'!B173 = "", "", IF('Additional Cartons-WUO_ERR'!A173 = "", "Validated", HYPERLINK("#" &amp; ADDRESS(173, 'Additional Cartons-WUO_TRK'!A173),_xlfn.TEXTAFTER('Additional Cartons-WUO_ERR'!A173, ":"))))</f>
        <v/>
      </c>
    </row>
    <row r="174">
      <c r="A174" s="38">
        <f>IF('Additional Cartons'!B174 = "", "", IF('Additional Cartons-WUO_ERR'!A174 = "", "Validated", HYPERLINK("#" &amp; ADDRESS(174, 'Additional Cartons-WUO_TRK'!A174),_xlfn.TEXTAFTER('Additional Cartons-WUO_ERR'!A174, ":"))))</f>
        <v/>
      </c>
    </row>
    <row r="175">
      <c r="A175" s="38">
        <f>IF('Additional Cartons'!B175 = "", "", IF('Additional Cartons-WUO_ERR'!A175 = "", "Validated", HYPERLINK("#" &amp; ADDRESS(175, 'Additional Cartons-WUO_TRK'!A175),_xlfn.TEXTAFTER('Additional Cartons-WUO_ERR'!A175, ":"))))</f>
        <v/>
      </c>
    </row>
    <row r="176">
      <c r="A176" s="38">
        <f>IF('Additional Cartons'!B176 = "", "", IF('Additional Cartons-WUO_ERR'!A176 = "", "Validated", HYPERLINK("#" &amp; ADDRESS(176, 'Additional Cartons-WUO_TRK'!A176),_xlfn.TEXTAFTER('Additional Cartons-WUO_ERR'!A176, ":"))))</f>
        <v/>
      </c>
    </row>
    <row r="177">
      <c r="A177" s="38">
        <f>IF('Additional Cartons'!B177 = "", "", IF('Additional Cartons-WUO_ERR'!A177 = "", "Validated", HYPERLINK("#" &amp; ADDRESS(177, 'Additional Cartons-WUO_TRK'!A177),_xlfn.TEXTAFTER('Additional Cartons-WUO_ERR'!A177, ":"))))</f>
        <v/>
      </c>
    </row>
    <row r="178">
      <c r="A178" s="38">
        <f>IF('Additional Cartons'!B178 = "", "", IF('Additional Cartons-WUO_ERR'!A178 = "", "Validated", HYPERLINK("#" &amp; ADDRESS(178, 'Additional Cartons-WUO_TRK'!A178),_xlfn.TEXTAFTER('Additional Cartons-WUO_ERR'!A178, ":"))))</f>
        <v/>
      </c>
    </row>
    <row r="179">
      <c r="A179" s="38">
        <f>IF('Additional Cartons'!B179 = "", "", IF('Additional Cartons-WUO_ERR'!A179 = "", "Validated", HYPERLINK("#" &amp; ADDRESS(179, 'Additional Cartons-WUO_TRK'!A179),_xlfn.TEXTAFTER('Additional Cartons-WUO_ERR'!A179, ":"))))</f>
        <v/>
      </c>
    </row>
    <row r="180">
      <c r="A180" s="38">
        <f>IF('Additional Cartons'!B180 = "", "", IF('Additional Cartons-WUO_ERR'!A180 = "", "Validated", HYPERLINK("#" &amp; ADDRESS(180, 'Additional Cartons-WUO_TRK'!A180),_xlfn.TEXTAFTER('Additional Cartons-WUO_ERR'!A180, ":"))))</f>
        <v/>
      </c>
    </row>
    <row r="181">
      <c r="A181" s="38">
        <f>IF('Additional Cartons'!B181 = "", "", IF('Additional Cartons-WUO_ERR'!A181 = "", "Validated", HYPERLINK("#" &amp; ADDRESS(181, 'Additional Cartons-WUO_TRK'!A181),_xlfn.TEXTAFTER('Additional Cartons-WUO_ERR'!A181, ":"))))</f>
        <v/>
      </c>
    </row>
    <row r="182">
      <c r="A182" s="38">
        <f>IF('Additional Cartons'!B182 = "", "", IF('Additional Cartons-WUO_ERR'!A182 = "", "Validated", HYPERLINK("#" &amp; ADDRESS(182, 'Additional Cartons-WUO_TRK'!A182),_xlfn.TEXTAFTER('Additional Cartons-WUO_ERR'!A182, ":"))))</f>
        <v/>
      </c>
    </row>
    <row r="183">
      <c r="A183" s="38">
        <f>IF('Additional Cartons'!B183 = "", "", IF('Additional Cartons-WUO_ERR'!A183 = "", "Validated", HYPERLINK("#" &amp; ADDRESS(183, 'Additional Cartons-WUO_TRK'!A183),_xlfn.TEXTAFTER('Additional Cartons-WUO_ERR'!A183, ":"))))</f>
        <v/>
      </c>
    </row>
    <row r="184">
      <c r="A184" s="38">
        <f>IF('Additional Cartons'!B184 = "", "", IF('Additional Cartons-WUO_ERR'!A184 = "", "Validated", HYPERLINK("#" &amp; ADDRESS(184, 'Additional Cartons-WUO_TRK'!A184),_xlfn.TEXTAFTER('Additional Cartons-WUO_ERR'!A184, ":"))))</f>
        <v/>
      </c>
    </row>
    <row r="185">
      <c r="A185" s="38">
        <f>IF('Additional Cartons'!B185 = "", "", IF('Additional Cartons-WUO_ERR'!A185 = "", "Validated", HYPERLINK("#" &amp; ADDRESS(185, 'Additional Cartons-WUO_TRK'!A185),_xlfn.TEXTAFTER('Additional Cartons-WUO_ERR'!A185, ":"))))</f>
        <v/>
      </c>
    </row>
    <row r="186">
      <c r="A186" s="38">
        <f>IF('Additional Cartons'!B186 = "", "", IF('Additional Cartons-WUO_ERR'!A186 = "", "Validated", HYPERLINK("#" &amp; ADDRESS(186, 'Additional Cartons-WUO_TRK'!A186),_xlfn.TEXTAFTER('Additional Cartons-WUO_ERR'!A186, ":"))))</f>
        <v/>
      </c>
    </row>
    <row r="187">
      <c r="A187" s="38">
        <f>IF('Additional Cartons'!B187 = "", "", IF('Additional Cartons-WUO_ERR'!A187 = "", "Validated", HYPERLINK("#" &amp; ADDRESS(187, 'Additional Cartons-WUO_TRK'!A187),_xlfn.TEXTAFTER('Additional Cartons-WUO_ERR'!A187, ":"))))</f>
        <v/>
      </c>
    </row>
    <row r="188">
      <c r="A188" s="38">
        <f>IF('Additional Cartons'!B188 = "", "", IF('Additional Cartons-WUO_ERR'!A188 = "", "Validated", HYPERLINK("#" &amp; ADDRESS(188, 'Additional Cartons-WUO_TRK'!A188),_xlfn.TEXTAFTER('Additional Cartons-WUO_ERR'!A188, ":"))))</f>
        <v/>
      </c>
    </row>
    <row r="189">
      <c r="A189" s="38">
        <f>IF('Additional Cartons'!B189 = "", "", IF('Additional Cartons-WUO_ERR'!A189 = "", "Validated", HYPERLINK("#" &amp; ADDRESS(189, 'Additional Cartons-WUO_TRK'!A189),_xlfn.TEXTAFTER('Additional Cartons-WUO_ERR'!A189, ":"))))</f>
        <v/>
      </c>
    </row>
    <row r="190">
      <c r="A190" s="38">
        <f>IF('Additional Cartons'!B190 = "", "", IF('Additional Cartons-WUO_ERR'!A190 = "", "Validated", HYPERLINK("#" &amp; ADDRESS(190, 'Additional Cartons-WUO_TRK'!A190),_xlfn.TEXTAFTER('Additional Cartons-WUO_ERR'!A190, ":"))))</f>
        <v/>
      </c>
    </row>
    <row r="191">
      <c r="A191" s="38">
        <f>IF('Additional Cartons'!B191 = "", "", IF('Additional Cartons-WUO_ERR'!A191 = "", "Validated", HYPERLINK("#" &amp; ADDRESS(191, 'Additional Cartons-WUO_TRK'!A191),_xlfn.TEXTAFTER('Additional Cartons-WUO_ERR'!A191, ":"))))</f>
        <v/>
      </c>
    </row>
    <row r="192">
      <c r="A192" s="38">
        <f>IF('Additional Cartons'!B192 = "", "", IF('Additional Cartons-WUO_ERR'!A192 = "", "Validated", HYPERLINK("#" &amp; ADDRESS(192, 'Additional Cartons-WUO_TRK'!A192),_xlfn.TEXTAFTER('Additional Cartons-WUO_ERR'!A192, ":"))))</f>
        <v/>
      </c>
    </row>
    <row r="193">
      <c r="A193" s="38">
        <f>IF('Additional Cartons'!B193 = "", "", IF('Additional Cartons-WUO_ERR'!A193 = "", "Validated", HYPERLINK("#" &amp; ADDRESS(193, 'Additional Cartons-WUO_TRK'!A193),_xlfn.TEXTAFTER('Additional Cartons-WUO_ERR'!A193, ":"))))</f>
        <v/>
      </c>
    </row>
    <row r="194">
      <c r="A194" s="38">
        <f>IF('Additional Cartons'!B194 = "", "", IF('Additional Cartons-WUO_ERR'!A194 = "", "Validated", HYPERLINK("#" &amp; ADDRESS(194, 'Additional Cartons-WUO_TRK'!A194),_xlfn.TEXTAFTER('Additional Cartons-WUO_ERR'!A194, ":"))))</f>
        <v/>
      </c>
    </row>
    <row r="195">
      <c r="A195" s="38">
        <f>IF('Additional Cartons'!B195 = "", "", IF('Additional Cartons-WUO_ERR'!A195 = "", "Validated", HYPERLINK("#" &amp; ADDRESS(195, 'Additional Cartons-WUO_TRK'!A195),_xlfn.TEXTAFTER('Additional Cartons-WUO_ERR'!A195, ":"))))</f>
        <v/>
      </c>
    </row>
    <row r="196">
      <c r="A196" s="38">
        <f>IF('Additional Cartons'!B196 = "", "", IF('Additional Cartons-WUO_ERR'!A196 = "", "Validated", HYPERLINK("#" &amp; ADDRESS(196, 'Additional Cartons-WUO_TRK'!A196),_xlfn.TEXTAFTER('Additional Cartons-WUO_ERR'!A196, ":"))))</f>
        <v/>
      </c>
    </row>
    <row r="197">
      <c r="A197" s="38">
        <f>IF('Additional Cartons'!B197 = "", "", IF('Additional Cartons-WUO_ERR'!A197 = "", "Validated", HYPERLINK("#" &amp; ADDRESS(197, 'Additional Cartons-WUO_TRK'!A197),_xlfn.TEXTAFTER('Additional Cartons-WUO_ERR'!A197, ":"))))</f>
        <v/>
      </c>
    </row>
    <row r="198">
      <c r="A198" s="38">
        <f>IF('Additional Cartons'!B198 = "", "", IF('Additional Cartons-WUO_ERR'!A198 = "", "Validated", HYPERLINK("#" &amp; ADDRESS(198, 'Additional Cartons-WUO_TRK'!A198),_xlfn.TEXTAFTER('Additional Cartons-WUO_ERR'!A198, ":"))))</f>
        <v/>
      </c>
    </row>
    <row r="199">
      <c r="A199" s="38">
        <f>IF('Additional Cartons'!B199 = "", "", IF('Additional Cartons-WUO_ERR'!A199 = "", "Validated", HYPERLINK("#" &amp; ADDRESS(199, 'Additional Cartons-WUO_TRK'!A199),_xlfn.TEXTAFTER('Additional Cartons-WUO_ERR'!A199, ":"))))</f>
        <v/>
      </c>
    </row>
    <row r="200">
      <c r="A200" s="38">
        <f>IF('Additional Cartons'!B200 = "", "", IF('Additional Cartons-WUO_ERR'!A200 = "", "Validated", HYPERLINK("#" &amp; ADDRESS(200, 'Additional Cartons-WUO_TRK'!A200),_xlfn.TEXTAFTER('Additional Cartons-WUO_ERR'!A200, ":"))))</f>
        <v/>
      </c>
    </row>
    <row r="201">
      <c r="A201" s="38">
        <f>IF('Additional Cartons'!B201 = "", "", IF('Additional Cartons-WUO_ERR'!A201 = "", "Validated", HYPERLINK("#" &amp; ADDRESS(201, 'Additional Cartons-WUO_TRK'!A201),_xlfn.TEXTAFTER('Additional Cartons-WUO_ERR'!A201, ":"))))</f>
        <v/>
      </c>
    </row>
    <row r="202">
      <c r="A202" s="38">
        <f>IF('Additional Cartons'!B202 = "", "", IF('Additional Cartons-WUO_ERR'!A202 = "", "Validated", HYPERLINK("#" &amp; ADDRESS(202, 'Additional Cartons-WUO_TRK'!A202),_xlfn.TEXTAFTER('Additional Cartons-WUO_ERR'!A202, ":"))))</f>
        <v/>
      </c>
    </row>
    <row r="203">
      <c r="A203" s="38">
        <f>IF('Additional Cartons'!B203 = "", "", IF('Additional Cartons-WUO_ERR'!A203 = "", "Validated", HYPERLINK("#" &amp; ADDRESS(203, 'Additional Cartons-WUO_TRK'!A203),_xlfn.TEXTAFTER('Additional Cartons-WUO_ERR'!A203, ":"))))</f>
        <v/>
      </c>
    </row>
    <row r="204">
      <c r="A204" s="38">
        <f>IF('Additional Cartons'!B204 = "", "", IF('Additional Cartons-WUO_ERR'!A204 = "", "Validated", HYPERLINK("#" &amp; ADDRESS(204, 'Additional Cartons-WUO_TRK'!A204),_xlfn.TEXTAFTER('Additional Cartons-WUO_ERR'!A204, ":"))))</f>
        <v/>
      </c>
    </row>
    <row r="205">
      <c r="A205" s="38">
        <f>IF('Additional Cartons'!B205 = "", "", IF('Additional Cartons-WUO_ERR'!A205 = "", "Validated", HYPERLINK("#" &amp; ADDRESS(205, 'Additional Cartons-WUO_TRK'!A205),_xlfn.TEXTAFTER('Additional Cartons-WUO_ERR'!A205, ":"))))</f>
        <v/>
      </c>
    </row>
    <row r="206">
      <c r="A206" s="38">
        <f>IF('Additional Cartons'!B206 = "", "", IF('Additional Cartons-WUO_ERR'!A206 = "", "Validated", HYPERLINK("#" &amp; ADDRESS(206, 'Additional Cartons-WUO_TRK'!A206),_xlfn.TEXTAFTER('Additional Cartons-WUO_ERR'!A206, ":"))))</f>
        <v/>
      </c>
    </row>
    <row r="207">
      <c r="A207" s="38">
        <f>IF('Additional Cartons'!B207 = "", "", IF('Additional Cartons-WUO_ERR'!A207 = "", "Validated", HYPERLINK("#" &amp; ADDRESS(207, 'Additional Cartons-WUO_TRK'!A207),_xlfn.TEXTAFTER('Additional Cartons-WUO_ERR'!A207, ":"))))</f>
        <v/>
      </c>
    </row>
    <row r="208">
      <c r="A208" s="38">
        <f>IF('Additional Cartons'!B208 = "", "", IF('Additional Cartons-WUO_ERR'!A208 = "", "Validated", HYPERLINK("#" &amp; ADDRESS(208, 'Additional Cartons-WUO_TRK'!A208),_xlfn.TEXTAFTER('Additional Cartons-WUO_ERR'!A208, ":"))))</f>
        <v/>
      </c>
    </row>
    <row r="209">
      <c r="A209" s="38">
        <f>IF('Additional Cartons'!B209 = "", "", IF('Additional Cartons-WUO_ERR'!A209 = "", "Validated", HYPERLINK("#" &amp; ADDRESS(209, 'Additional Cartons-WUO_TRK'!A209),_xlfn.TEXTAFTER('Additional Cartons-WUO_ERR'!A209, ":"))))</f>
        <v/>
      </c>
    </row>
    <row r="210">
      <c r="A210" s="38">
        <f>IF('Additional Cartons'!B210 = "", "", IF('Additional Cartons-WUO_ERR'!A210 = "", "Validated", HYPERLINK("#" &amp; ADDRESS(210, 'Additional Cartons-WUO_TRK'!A210),_xlfn.TEXTAFTER('Additional Cartons-WUO_ERR'!A210, ":"))))</f>
        <v/>
      </c>
    </row>
    <row r="211">
      <c r="A211" s="38">
        <f>IF('Additional Cartons'!B211 = "", "", IF('Additional Cartons-WUO_ERR'!A211 = "", "Validated", HYPERLINK("#" &amp; ADDRESS(211, 'Additional Cartons-WUO_TRK'!A211),_xlfn.TEXTAFTER('Additional Cartons-WUO_ERR'!A211, ":"))))</f>
        <v/>
      </c>
    </row>
    <row r="212">
      <c r="A212" s="38">
        <f>IF('Additional Cartons'!B212 = "", "", IF('Additional Cartons-WUO_ERR'!A212 = "", "Validated", HYPERLINK("#" &amp; ADDRESS(212, 'Additional Cartons-WUO_TRK'!A212),_xlfn.TEXTAFTER('Additional Cartons-WUO_ERR'!A212, ":"))))</f>
        <v/>
      </c>
    </row>
    <row r="213">
      <c r="A213" s="38">
        <f>IF('Additional Cartons'!B213 = "", "", IF('Additional Cartons-WUO_ERR'!A213 = "", "Validated", HYPERLINK("#" &amp; ADDRESS(213, 'Additional Cartons-WUO_TRK'!A213),_xlfn.TEXTAFTER('Additional Cartons-WUO_ERR'!A213, ":"))))</f>
        <v/>
      </c>
    </row>
    <row r="214">
      <c r="A214" s="38">
        <f>IF('Additional Cartons'!B214 = "", "", IF('Additional Cartons-WUO_ERR'!A214 = "", "Validated", HYPERLINK("#" &amp; ADDRESS(214, 'Additional Cartons-WUO_TRK'!A214),_xlfn.TEXTAFTER('Additional Cartons-WUO_ERR'!A214, ":"))))</f>
        <v/>
      </c>
    </row>
    <row r="215">
      <c r="A215" s="38">
        <f>IF('Additional Cartons'!B215 = "", "", IF('Additional Cartons-WUO_ERR'!A215 = "", "Validated", HYPERLINK("#" &amp; ADDRESS(215, 'Additional Cartons-WUO_TRK'!A215),_xlfn.TEXTAFTER('Additional Cartons-WUO_ERR'!A215, ":"))))</f>
        <v/>
      </c>
    </row>
    <row r="216">
      <c r="A216" s="38">
        <f>IF('Additional Cartons'!B216 = "", "", IF('Additional Cartons-WUO_ERR'!A216 = "", "Validated", HYPERLINK("#" &amp; ADDRESS(216, 'Additional Cartons-WUO_TRK'!A216),_xlfn.TEXTAFTER('Additional Cartons-WUO_ERR'!A216, ":"))))</f>
        <v/>
      </c>
    </row>
    <row r="217">
      <c r="A217" s="38">
        <f>IF('Additional Cartons'!B217 = "", "", IF('Additional Cartons-WUO_ERR'!A217 = "", "Validated", HYPERLINK("#" &amp; ADDRESS(217, 'Additional Cartons-WUO_TRK'!A217),_xlfn.TEXTAFTER('Additional Cartons-WUO_ERR'!A217, ":"))))</f>
        <v/>
      </c>
    </row>
    <row r="218">
      <c r="A218" s="38">
        <f>IF('Additional Cartons'!B218 = "", "", IF('Additional Cartons-WUO_ERR'!A218 = "", "Validated", HYPERLINK("#" &amp; ADDRESS(218, 'Additional Cartons-WUO_TRK'!A218),_xlfn.TEXTAFTER('Additional Cartons-WUO_ERR'!A218, ":"))))</f>
        <v/>
      </c>
    </row>
    <row r="219">
      <c r="A219" s="38">
        <f>IF('Additional Cartons'!B219 = "", "", IF('Additional Cartons-WUO_ERR'!A219 = "", "Validated", HYPERLINK("#" &amp; ADDRESS(219, 'Additional Cartons-WUO_TRK'!A219),_xlfn.TEXTAFTER('Additional Cartons-WUO_ERR'!A219, ":"))))</f>
        <v/>
      </c>
    </row>
    <row r="220">
      <c r="A220" s="38">
        <f>IF('Additional Cartons'!B220 = "", "", IF('Additional Cartons-WUO_ERR'!A220 = "", "Validated", HYPERLINK("#" &amp; ADDRESS(220, 'Additional Cartons-WUO_TRK'!A220),_xlfn.TEXTAFTER('Additional Cartons-WUO_ERR'!A220, ":"))))</f>
        <v/>
      </c>
    </row>
    <row r="221">
      <c r="A221" s="38">
        <f>IF('Additional Cartons'!B221 = "", "", IF('Additional Cartons-WUO_ERR'!A221 = "", "Validated", HYPERLINK("#" &amp; ADDRESS(221, 'Additional Cartons-WUO_TRK'!A221),_xlfn.TEXTAFTER('Additional Cartons-WUO_ERR'!A221, ":"))))</f>
        <v/>
      </c>
    </row>
    <row r="222">
      <c r="A222" s="38">
        <f>IF('Additional Cartons'!B222 = "", "", IF('Additional Cartons-WUO_ERR'!A222 = "", "Validated", HYPERLINK("#" &amp; ADDRESS(222, 'Additional Cartons-WUO_TRK'!A222),_xlfn.TEXTAFTER('Additional Cartons-WUO_ERR'!A222, ":"))))</f>
        <v/>
      </c>
    </row>
    <row r="223">
      <c r="A223" s="38">
        <f>IF('Additional Cartons'!B223 = "", "", IF('Additional Cartons-WUO_ERR'!A223 = "", "Validated", HYPERLINK("#" &amp; ADDRESS(223, 'Additional Cartons-WUO_TRK'!A223),_xlfn.TEXTAFTER('Additional Cartons-WUO_ERR'!A223, ":"))))</f>
        <v/>
      </c>
    </row>
    <row r="224">
      <c r="A224" s="38">
        <f>IF('Additional Cartons'!B224 = "", "", IF('Additional Cartons-WUO_ERR'!A224 = "", "Validated", HYPERLINK("#" &amp; ADDRESS(224, 'Additional Cartons-WUO_TRK'!A224),_xlfn.TEXTAFTER('Additional Cartons-WUO_ERR'!A224, ":"))))</f>
        <v/>
      </c>
    </row>
    <row r="225">
      <c r="A225" s="38">
        <f>IF('Additional Cartons'!B225 = "", "", IF('Additional Cartons-WUO_ERR'!A225 = "", "Validated", HYPERLINK("#" &amp; ADDRESS(225, 'Additional Cartons-WUO_TRK'!A225),_xlfn.TEXTAFTER('Additional Cartons-WUO_ERR'!A225, ":"))))</f>
        <v/>
      </c>
    </row>
    <row r="226">
      <c r="A226" s="38">
        <f>IF('Additional Cartons'!B226 = "", "", IF('Additional Cartons-WUO_ERR'!A226 = "", "Validated", HYPERLINK("#" &amp; ADDRESS(226, 'Additional Cartons-WUO_TRK'!A226),_xlfn.TEXTAFTER('Additional Cartons-WUO_ERR'!A226, ":"))))</f>
        <v/>
      </c>
    </row>
    <row r="227">
      <c r="A227" s="38">
        <f>IF('Additional Cartons'!B227 = "", "", IF('Additional Cartons-WUO_ERR'!A227 = "", "Validated", HYPERLINK("#" &amp; ADDRESS(227, 'Additional Cartons-WUO_TRK'!A227),_xlfn.TEXTAFTER('Additional Cartons-WUO_ERR'!A227, ":"))))</f>
        <v/>
      </c>
    </row>
    <row r="228">
      <c r="A228" s="38">
        <f>IF('Additional Cartons'!B228 = "", "", IF('Additional Cartons-WUO_ERR'!A228 = "", "Validated", HYPERLINK("#" &amp; ADDRESS(228, 'Additional Cartons-WUO_TRK'!A228),_xlfn.TEXTAFTER('Additional Cartons-WUO_ERR'!A228, ":"))))</f>
        <v/>
      </c>
    </row>
    <row r="229">
      <c r="A229" s="38">
        <f>IF('Additional Cartons'!B229 = "", "", IF('Additional Cartons-WUO_ERR'!A229 = "", "Validated", HYPERLINK("#" &amp; ADDRESS(229, 'Additional Cartons-WUO_TRK'!A229),_xlfn.TEXTAFTER('Additional Cartons-WUO_ERR'!A229, ":"))))</f>
        <v/>
      </c>
    </row>
    <row r="230">
      <c r="A230" s="38">
        <f>IF('Additional Cartons'!B230 = "", "", IF('Additional Cartons-WUO_ERR'!A230 = "", "Validated", HYPERLINK("#" &amp; ADDRESS(230, 'Additional Cartons-WUO_TRK'!A230),_xlfn.TEXTAFTER('Additional Cartons-WUO_ERR'!A230, ":"))))</f>
        <v/>
      </c>
    </row>
    <row r="231">
      <c r="A231" s="38">
        <f>IF('Additional Cartons'!B231 = "", "", IF('Additional Cartons-WUO_ERR'!A231 = "", "Validated", HYPERLINK("#" &amp; ADDRESS(231, 'Additional Cartons-WUO_TRK'!A231),_xlfn.TEXTAFTER('Additional Cartons-WUO_ERR'!A231, ":"))))</f>
        <v/>
      </c>
    </row>
    <row r="232">
      <c r="A232" s="38">
        <f>IF('Additional Cartons'!B232 = "", "", IF('Additional Cartons-WUO_ERR'!A232 = "", "Validated", HYPERLINK("#" &amp; ADDRESS(232, 'Additional Cartons-WUO_TRK'!A232),_xlfn.TEXTAFTER('Additional Cartons-WUO_ERR'!A232, ":"))))</f>
        <v/>
      </c>
    </row>
    <row r="233">
      <c r="A233" s="38">
        <f>IF('Additional Cartons'!B233 = "", "", IF('Additional Cartons-WUO_ERR'!A233 = "", "Validated", HYPERLINK("#" &amp; ADDRESS(233, 'Additional Cartons-WUO_TRK'!A233),_xlfn.TEXTAFTER('Additional Cartons-WUO_ERR'!A233, ":"))))</f>
        <v/>
      </c>
    </row>
    <row r="234">
      <c r="A234" s="38">
        <f>IF('Additional Cartons'!B234 = "", "", IF('Additional Cartons-WUO_ERR'!A234 = "", "Validated", HYPERLINK("#" &amp; ADDRESS(234, 'Additional Cartons-WUO_TRK'!A234),_xlfn.TEXTAFTER('Additional Cartons-WUO_ERR'!A234, ":"))))</f>
        <v/>
      </c>
    </row>
    <row r="235">
      <c r="A235" s="38">
        <f>IF('Additional Cartons'!B235 = "", "", IF('Additional Cartons-WUO_ERR'!A235 = "", "Validated", HYPERLINK("#" &amp; ADDRESS(235, 'Additional Cartons-WUO_TRK'!A235),_xlfn.TEXTAFTER('Additional Cartons-WUO_ERR'!A235, ":"))))</f>
        <v/>
      </c>
    </row>
    <row r="236">
      <c r="A236" s="38">
        <f>IF('Additional Cartons'!B236 = "", "", IF('Additional Cartons-WUO_ERR'!A236 = "", "Validated", HYPERLINK("#" &amp; ADDRESS(236, 'Additional Cartons-WUO_TRK'!A236),_xlfn.TEXTAFTER('Additional Cartons-WUO_ERR'!A236, ":"))))</f>
        <v/>
      </c>
    </row>
    <row r="237">
      <c r="A237" s="38">
        <f>IF('Additional Cartons'!B237 = "", "", IF('Additional Cartons-WUO_ERR'!A237 = "", "Validated", HYPERLINK("#" &amp; ADDRESS(237, 'Additional Cartons-WUO_TRK'!A237),_xlfn.TEXTAFTER('Additional Cartons-WUO_ERR'!A237, ":"))))</f>
        <v/>
      </c>
    </row>
    <row r="238">
      <c r="A238" s="38">
        <f>IF('Additional Cartons'!B238 = "", "", IF('Additional Cartons-WUO_ERR'!A238 = "", "Validated", HYPERLINK("#" &amp; ADDRESS(238, 'Additional Cartons-WUO_TRK'!A238),_xlfn.TEXTAFTER('Additional Cartons-WUO_ERR'!A238, ":"))))</f>
        <v/>
      </c>
    </row>
    <row r="239">
      <c r="A239" s="38">
        <f>IF('Additional Cartons'!B239 = "", "", IF('Additional Cartons-WUO_ERR'!A239 = "", "Validated", HYPERLINK("#" &amp; ADDRESS(239, 'Additional Cartons-WUO_TRK'!A239),_xlfn.TEXTAFTER('Additional Cartons-WUO_ERR'!A239, ":"))))</f>
        <v/>
      </c>
    </row>
    <row r="240">
      <c r="A240" s="38">
        <f>IF('Additional Cartons'!B240 = "", "", IF('Additional Cartons-WUO_ERR'!A240 = "", "Validated", HYPERLINK("#" &amp; ADDRESS(240, 'Additional Cartons-WUO_TRK'!A240),_xlfn.TEXTAFTER('Additional Cartons-WUO_ERR'!A240, ":"))))</f>
        <v/>
      </c>
    </row>
    <row r="241">
      <c r="A241" s="38">
        <f>IF('Additional Cartons'!B241 = "", "", IF('Additional Cartons-WUO_ERR'!A241 = "", "Validated", HYPERLINK("#" &amp; ADDRESS(241, 'Additional Cartons-WUO_TRK'!A241),_xlfn.TEXTAFTER('Additional Cartons-WUO_ERR'!A241, ":"))))</f>
        <v/>
      </c>
    </row>
    <row r="242">
      <c r="A242" s="38">
        <f>IF('Additional Cartons'!B242 = "", "", IF('Additional Cartons-WUO_ERR'!A242 = "", "Validated", HYPERLINK("#" &amp; ADDRESS(242, 'Additional Cartons-WUO_TRK'!A242),_xlfn.TEXTAFTER('Additional Cartons-WUO_ERR'!A242, ":"))))</f>
        <v/>
      </c>
    </row>
    <row r="243">
      <c r="A243" s="38">
        <f>IF('Additional Cartons'!B243 = "", "", IF('Additional Cartons-WUO_ERR'!A243 = "", "Validated", HYPERLINK("#" &amp; ADDRESS(243, 'Additional Cartons-WUO_TRK'!A243),_xlfn.TEXTAFTER('Additional Cartons-WUO_ERR'!A243, ":"))))</f>
        <v/>
      </c>
    </row>
    <row r="244">
      <c r="A244" s="38">
        <f>IF('Additional Cartons'!B244 = "", "", IF('Additional Cartons-WUO_ERR'!A244 = "", "Validated", HYPERLINK("#" &amp; ADDRESS(244, 'Additional Cartons-WUO_TRK'!A244),_xlfn.TEXTAFTER('Additional Cartons-WUO_ERR'!A244, ":"))))</f>
        <v/>
      </c>
    </row>
    <row r="245">
      <c r="A245" s="38">
        <f>IF('Additional Cartons'!B245 = "", "", IF('Additional Cartons-WUO_ERR'!A245 = "", "Validated", HYPERLINK("#" &amp; ADDRESS(245, 'Additional Cartons-WUO_TRK'!A245),_xlfn.TEXTAFTER('Additional Cartons-WUO_ERR'!A245, ":"))))</f>
        <v/>
      </c>
    </row>
    <row r="246">
      <c r="A246" s="38">
        <f>IF('Additional Cartons'!B246 = "", "", IF('Additional Cartons-WUO_ERR'!A246 = "", "Validated", HYPERLINK("#" &amp; ADDRESS(246, 'Additional Cartons-WUO_TRK'!A246),_xlfn.TEXTAFTER('Additional Cartons-WUO_ERR'!A246, ":"))))</f>
        <v/>
      </c>
    </row>
    <row r="247">
      <c r="A247" s="38">
        <f>IF('Additional Cartons'!B247 = "", "", IF('Additional Cartons-WUO_ERR'!A247 = "", "Validated", HYPERLINK("#" &amp; ADDRESS(247, 'Additional Cartons-WUO_TRK'!A247),_xlfn.TEXTAFTER('Additional Cartons-WUO_ERR'!A247, ":"))))</f>
        <v/>
      </c>
    </row>
    <row r="248">
      <c r="A248" s="38">
        <f>IF('Additional Cartons'!B248 = "", "", IF('Additional Cartons-WUO_ERR'!A248 = "", "Validated", HYPERLINK("#" &amp; ADDRESS(248, 'Additional Cartons-WUO_TRK'!A248),_xlfn.TEXTAFTER('Additional Cartons-WUO_ERR'!A248, ":"))))</f>
        <v/>
      </c>
    </row>
    <row r="249">
      <c r="A249" s="38">
        <f>IF('Additional Cartons'!B249 = "", "", IF('Additional Cartons-WUO_ERR'!A249 = "", "Validated", HYPERLINK("#" &amp; ADDRESS(249, 'Additional Cartons-WUO_TRK'!A249),_xlfn.TEXTAFTER('Additional Cartons-WUO_ERR'!A249, ":"))))</f>
        <v/>
      </c>
    </row>
    <row r="250">
      <c r="A250" s="38">
        <f>IF('Additional Cartons'!B250 = "", "", IF('Additional Cartons-WUO_ERR'!A250 = "", "Validated", HYPERLINK("#" &amp; ADDRESS(250, 'Additional Cartons-WUO_TRK'!A250),_xlfn.TEXTAFTER('Additional Cartons-WUO_ERR'!A250, ":"))))</f>
        <v/>
      </c>
    </row>
    <row r="251">
      <c r="A251" s="38">
        <f>IF('Additional Cartons'!B251 = "", "", IF('Additional Cartons-WUO_ERR'!A251 = "", "Validated", HYPERLINK("#" &amp; ADDRESS(251, 'Additional Cartons-WUO_TRK'!A251),_xlfn.TEXTAFTER('Additional Cartons-WUO_ERR'!A251, ":"))))</f>
        <v/>
      </c>
    </row>
    <row r="252">
      <c r="A252" s="38">
        <f>IF('Additional Cartons'!B252 = "", "", IF('Additional Cartons-WUO_ERR'!A252 = "", "Validated", HYPERLINK("#" &amp; ADDRESS(252, 'Additional Cartons-WUO_TRK'!A252),_xlfn.TEXTAFTER('Additional Cartons-WUO_ERR'!A252, ":"))))</f>
        <v/>
      </c>
    </row>
    <row r="253">
      <c r="A253" s="38">
        <f>IF('Additional Cartons'!B253 = "", "", IF('Additional Cartons-WUO_ERR'!A253 = "", "Validated", HYPERLINK("#" &amp; ADDRESS(253, 'Additional Cartons-WUO_TRK'!A253),_xlfn.TEXTAFTER('Additional Cartons-WUO_ERR'!A253, ":"))))</f>
        <v/>
      </c>
    </row>
    <row r="254">
      <c r="A254" s="38">
        <f>IF('Additional Cartons'!B254 = "", "", IF('Additional Cartons-WUO_ERR'!A254 = "", "Validated", HYPERLINK("#" &amp; ADDRESS(254, 'Additional Cartons-WUO_TRK'!A254),_xlfn.TEXTAFTER('Additional Cartons-WUO_ERR'!A254, ":"))))</f>
        <v/>
      </c>
    </row>
    <row r="255">
      <c r="A255" s="38">
        <f>IF('Additional Cartons'!B255 = "", "", IF('Additional Cartons-WUO_ERR'!A255 = "", "Validated", HYPERLINK("#" &amp; ADDRESS(255, 'Additional Cartons-WUO_TRK'!A255),_xlfn.TEXTAFTER('Additional Cartons-WUO_ERR'!A255, ":"))))</f>
        <v/>
      </c>
    </row>
    <row r="256">
      <c r="A256" s="38">
        <f>IF('Additional Cartons'!B256 = "", "", IF('Additional Cartons-WUO_ERR'!A256 = "", "Validated", HYPERLINK("#" &amp; ADDRESS(256, 'Additional Cartons-WUO_TRK'!A256),_xlfn.TEXTAFTER('Additional Cartons-WUO_ERR'!A256, ":"))))</f>
        <v/>
      </c>
    </row>
    <row r="257">
      <c r="A257" s="38">
        <f>IF('Additional Cartons'!B257 = "", "", IF('Additional Cartons-WUO_ERR'!A257 = "", "Validated", HYPERLINK("#" &amp; ADDRESS(257, 'Additional Cartons-WUO_TRK'!A257),_xlfn.TEXTAFTER('Additional Cartons-WUO_ERR'!A257, ":"))))</f>
        <v/>
      </c>
    </row>
    <row r="258">
      <c r="A258" s="38">
        <f>IF('Additional Cartons'!B258 = "", "", IF('Additional Cartons-WUO_ERR'!A258 = "", "Validated", HYPERLINK("#" &amp; ADDRESS(258, 'Additional Cartons-WUO_TRK'!A258),_xlfn.TEXTAFTER('Additional Cartons-WUO_ERR'!A258, ":"))))</f>
        <v/>
      </c>
    </row>
    <row r="259">
      <c r="A259" s="38">
        <f>IF('Additional Cartons'!B259 = "", "", IF('Additional Cartons-WUO_ERR'!A259 = "", "Validated", HYPERLINK("#" &amp; ADDRESS(259, 'Additional Cartons-WUO_TRK'!A259),_xlfn.TEXTAFTER('Additional Cartons-WUO_ERR'!A259, ":"))))</f>
        <v/>
      </c>
    </row>
    <row r="260">
      <c r="A260" s="38">
        <f>IF('Additional Cartons'!B260 = "", "", IF('Additional Cartons-WUO_ERR'!A260 = "", "Validated", HYPERLINK("#" &amp; ADDRESS(260, 'Additional Cartons-WUO_TRK'!A260),_xlfn.TEXTAFTER('Additional Cartons-WUO_ERR'!A260, ":"))))</f>
        <v/>
      </c>
    </row>
    <row r="261">
      <c r="A261" s="38">
        <f>IF('Additional Cartons'!B261 = "", "", IF('Additional Cartons-WUO_ERR'!A261 = "", "Validated", HYPERLINK("#" &amp; ADDRESS(261, 'Additional Cartons-WUO_TRK'!A261),_xlfn.TEXTAFTER('Additional Cartons-WUO_ERR'!A261, ":"))))</f>
        <v/>
      </c>
    </row>
    <row r="262">
      <c r="A262" s="38">
        <f>IF('Additional Cartons'!B262 = "", "", IF('Additional Cartons-WUO_ERR'!A262 = "", "Validated", HYPERLINK("#" &amp; ADDRESS(262, 'Additional Cartons-WUO_TRK'!A262),_xlfn.TEXTAFTER('Additional Cartons-WUO_ERR'!A262, ":"))))</f>
        <v/>
      </c>
    </row>
    <row r="263">
      <c r="A263" s="38">
        <f>IF('Additional Cartons'!B263 = "", "", IF('Additional Cartons-WUO_ERR'!A263 = "", "Validated", HYPERLINK("#" &amp; ADDRESS(263, 'Additional Cartons-WUO_TRK'!A263),_xlfn.TEXTAFTER('Additional Cartons-WUO_ERR'!A263, ":"))))</f>
        <v/>
      </c>
    </row>
    <row r="264">
      <c r="A264" s="38">
        <f>IF('Additional Cartons'!B264 = "", "", IF('Additional Cartons-WUO_ERR'!A264 = "", "Validated", HYPERLINK("#" &amp; ADDRESS(264, 'Additional Cartons-WUO_TRK'!A264),_xlfn.TEXTAFTER('Additional Cartons-WUO_ERR'!A264, ":"))))</f>
        <v/>
      </c>
    </row>
    <row r="265">
      <c r="A265" s="38">
        <f>IF('Additional Cartons'!B265 = "", "", IF('Additional Cartons-WUO_ERR'!A265 = "", "Validated", HYPERLINK("#" &amp; ADDRESS(265, 'Additional Cartons-WUO_TRK'!A265),_xlfn.TEXTAFTER('Additional Cartons-WUO_ERR'!A265, ":"))))</f>
        <v/>
      </c>
    </row>
    <row r="266">
      <c r="A266" s="38">
        <f>IF('Additional Cartons'!B266 = "", "", IF('Additional Cartons-WUO_ERR'!A266 = "", "Validated", HYPERLINK("#" &amp; ADDRESS(266, 'Additional Cartons-WUO_TRK'!A266),_xlfn.TEXTAFTER('Additional Cartons-WUO_ERR'!A266, ":"))))</f>
        <v/>
      </c>
    </row>
    <row r="267">
      <c r="A267" s="38">
        <f>IF('Additional Cartons'!B267 = "", "", IF('Additional Cartons-WUO_ERR'!A267 = "", "Validated", HYPERLINK("#" &amp; ADDRESS(267, 'Additional Cartons-WUO_TRK'!A267),_xlfn.TEXTAFTER('Additional Cartons-WUO_ERR'!A267, ":"))))</f>
        <v/>
      </c>
    </row>
    <row r="268">
      <c r="A268" s="38">
        <f>IF('Additional Cartons'!B268 = "", "", IF('Additional Cartons-WUO_ERR'!A268 = "", "Validated", HYPERLINK("#" &amp; ADDRESS(268, 'Additional Cartons-WUO_TRK'!A268),_xlfn.TEXTAFTER('Additional Cartons-WUO_ERR'!A268, ":"))))</f>
        <v/>
      </c>
    </row>
    <row r="269">
      <c r="A269" s="38">
        <f>IF('Additional Cartons'!B269 = "", "", IF('Additional Cartons-WUO_ERR'!A269 = "", "Validated", HYPERLINK("#" &amp; ADDRESS(269, 'Additional Cartons-WUO_TRK'!A269),_xlfn.TEXTAFTER('Additional Cartons-WUO_ERR'!A269, ":"))))</f>
        <v/>
      </c>
    </row>
    <row r="270">
      <c r="A270" s="38">
        <f>IF('Additional Cartons'!B270 = "", "", IF('Additional Cartons-WUO_ERR'!A270 = "", "Validated", HYPERLINK("#" &amp; ADDRESS(270, 'Additional Cartons-WUO_TRK'!A270),_xlfn.TEXTAFTER('Additional Cartons-WUO_ERR'!A270, ":"))))</f>
        <v/>
      </c>
    </row>
    <row r="271">
      <c r="A271" s="38">
        <f>IF('Additional Cartons'!B271 = "", "", IF('Additional Cartons-WUO_ERR'!A271 = "", "Validated", HYPERLINK("#" &amp; ADDRESS(271, 'Additional Cartons-WUO_TRK'!A271),_xlfn.TEXTAFTER('Additional Cartons-WUO_ERR'!A271, ":"))))</f>
        <v/>
      </c>
    </row>
    <row r="272">
      <c r="A272" s="38">
        <f>IF('Additional Cartons'!B272 = "", "", IF('Additional Cartons-WUO_ERR'!A272 = "", "Validated", HYPERLINK("#" &amp; ADDRESS(272, 'Additional Cartons-WUO_TRK'!A272),_xlfn.TEXTAFTER('Additional Cartons-WUO_ERR'!A272, ":"))))</f>
        <v/>
      </c>
    </row>
    <row r="273">
      <c r="A273" s="38">
        <f>IF('Additional Cartons'!B273 = "", "", IF('Additional Cartons-WUO_ERR'!A273 = "", "Validated", HYPERLINK("#" &amp; ADDRESS(273, 'Additional Cartons-WUO_TRK'!A273),_xlfn.TEXTAFTER('Additional Cartons-WUO_ERR'!A273, ":"))))</f>
        <v/>
      </c>
    </row>
    <row r="274">
      <c r="A274" s="38">
        <f>IF('Additional Cartons'!B274 = "", "", IF('Additional Cartons-WUO_ERR'!A274 = "", "Validated", HYPERLINK("#" &amp; ADDRESS(274, 'Additional Cartons-WUO_TRK'!A274),_xlfn.TEXTAFTER('Additional Cartons-WUO_ERR'!A274, ":"))))</f>
        <v/>
      </c>
    </row>
    <row r="275">
      <c r="A275" s="38">
        <f>IF('Additional Cartons'!B275 = "", "", IF('Additional Cartons-WUO_ERR'!A275 = "", "Validated", HYPERLINK("#" &amp; ADDRESS(275, 'Additional Cartons-WUO_TRK'!A275),_xlfn.TEXTAFTER('Additional Cartons-WUO_ERR'!A275, ":"))))</f>
        <v/>
      </c>
    </row>
    <row r="276">
      <c r="A276" s="38">
        <f>IF('Additional Cartons'!B276 = "", "", IF('Additional Cartons-WUO_ERR'!A276 = "", "Validated", HYPERLINK("#" &amp; ADDRESS(276, 'Additional Cartons-WUO_TRK'!A276),_xlfn.TEXTAFTER('Additional Cartons-WUO_ERR'!A276, ":"))))</f>
        <v/>
      </c>
    </row>
    <row r="277">
      <c r="A277" s="38">
        <f>IF('Additional Cartons'!B277 = "", "", IF('Additional Cartons-WUO_ERR'!A277 = "", "Validated", HYPERLINK("#" &amp; ADDRESS(277, 'Additional Cartons-WUO_TRK'!A277),_xlfn.TEXTAFTER('Additional Cartons-WUO_ERR'!A277, ":"))))</f>
        <v/>
      </c>
    </row>
    <row r="278">
      <c r="A278" s="38">
        <f>IF('Additional Cartons'!B278 = "", "", IF('Additional Cartons-WUO_ERR'!A278 = "", "Validated", HYPERLINK("#" &amp; ADDRESS(278, 'Additional Cartons-WUO_TRK'!A278),_xlfn.TEXTAFTER('Additional Cartons-WUO_ERR'!A278, ":"))))</f>
        <v/>
      </c>
    </row>
    <row r="279">
      <c r="A279" s="38">
        <f>IF('Additional Cartons'!B279 = "", "", IF('Additional Cartons-WUO_ERR'!A279 = "", "Validated", HYPERLINK("#" &amp; ADDRESS(279, 'Additional Cartons-WUO_TRK'!A279),_xlfn.TEXTAFTER('Additional Cartons-WUO_ERR'!A279, ":"))))</f>
        <v/>
      </c>
    </row>
    <row r="280">
      <c r="A280" s="38">
        <f>IF('Additional Cartons'!B280 = "", "", IF('Additional Cartons-WUO_ERR'!A280 = "", "Validated", HYPERLINK("#" &amp; ADDRESS(280, 'Additional Cartons-WUO_TRK'!A280),_xlfn.TEXTAFTER('Additional Cartons-WUO_ERR'!A280, ":"))))</f>
        <v/>
      </c>
    </row>
    <row r="281">
      <c r="A281" s="38">
        <f>IF('Additional Cartons'!B281 = "", "", IF('Additional Cartons-WUO_ERR'!A281 = "", "Validated", HYPERLINK("#" &amp; ADDRESS(281, 'Additional Cartons-WUO_TRK'!A281),_xlfn.TEXTAFTER('Additional Cartons-WUO_ERR'!A281, ":"))))</f>
        <v/>
      </c>
    </row>
    <row r="282">
      <c r="A282" s="38">
        <f>IF('Additional Cartons'!B282 = "", "", IF('Additional Cartons-WUO_ERR'!A282 = "", "Validated", HYPERLINK("#" &amp; ADDRESS(282, 'Additional Cartons-WUO_TRK'!A282),_xlfn.TEXTAFTER('Additional Cartons-WUO_ERR'!A282, ":"))))</f>
        <v/>
      </c>
    </row>
    <row r="283">
      <c r="A283" s="38">
        <f>IF('Additional Cartons'!B283 = "", "", IF('Additional Cartons-WUO_ERR'!A283 = "", "Validated", HYPERLINK("#" &amp; ADDRESS(283, 'Additional Cartons-WUO_TRK'!A283),_xlfn.TEXTAFTER('Additional Cartons-WUO_ERR'!A283, ":"))))</f>
        <v/>
      </c>
    </row>
    <row r="284">
      <c r="A284" s="38">
        <f>IF('Additional Cartons'!B284 = "", "", IF('Additional Cartons-WUO_ERR'!A284 = "", "Validated", HYPERLINK("#" &amp; ADDRESS(284, 'Additional Cartons-WUO_TRK'!A284),_xlfn.TEXTAFTER('Additional Cartons-WUO_ERR'!A284, ":"))))</f>
        <v/>
      </c>
    </row>
    <row r="285">
      <c r="A285" s="38">
        <f>IF('Additional Cartons'!B285 = "", "", IF('Additional Cartons-WUO_ERR'!A285 = "", "Validated", HYPERLINK("#" &amp; ADDRESS(285, 'Additional Cartons-WUO_TRK'!A285),_xlfn.TEXTAFTER('Additional Cartons-WUO_ERR'!A285, ":"))))</f>
        <v/>
      </c>
    </row>
    <row r="286">
      <c r="A286" s="38">
        <f>IF('Additional Cartons'!B286 = "", "", IF('Additional Cartons-WUO_ERR'!A286 = "", "Validated", HYPERLINK("#" &amp; ADDRESS(286, 'Additional Cartons-WUO_TRK'!A286),_xlfn.TEXTAFTER('Additional Cartons-WUO_ERR'!A286, ":"))))</f>
        <v/>
      </c>
    </row>
    <row r="287">
      <c r="A287" s="38">
        <f>IF('Additional Cartons'!B287 = "", "", IF('Additional Cartons-WUO_ERR'!A287 = "", "Validated", HYPERLINK("#" &amp; ADDRESS(287, 'Additional Cartons-WUO_TRK'!A287),_xlfn.TEXTAFTER('Additional Cartons-WUO_ERR'!A287, ":"))))</f>
        <v/>
      </c>
    </row>
    <row r="288">
      <c r="A288" s="38">
        <f>IF('Additional Cartons'!B288 = "", "", IF('Additional Cartons-WUO_ERR'!A288 = "", "Validated", HYPERLINK("#" &amp; ADDRESS(288, 'Additional Cartons-WUO_TRK'!A288),_xlfn.TEXTAFTER('Additional Cartons-WUO_ERR'!A288, ":"))))</f>
        <v/>
      </c>
    </row>
    <row r="289">
      <c r="A289" s="38">
        <f>IF('Additional Cartons'!B289 = "", "", IF('Additional Cartons-WUO_ERR'!A289 = "", "Validated", HYPERLINK("#" &amp; ADDRESS(289, 'Additional Cartons-WUO_TRK'!A289),_xlfn.TEXTAFTER('Additional Cartons-WUO_ERR'!A289, ":"))))</f>
        <v/>
      </c>
    </row>
    <row r="290">
      <c r="A290" s="38">
        <f>IF('Additional Cartons'!B290 = "", "", IF('Additional Cartons-WUO_ERR'!A290 = "", "Validated", HYPERLINK("#" &amp; ADDRESS(290, 'Additional Cartons-WUO_TRK'!A290),_xlfn.TEXTAFTER('Additional Cartons-WUO_ERR'!A290, ":"))))</f>
        <v/>
      </c>
    </row>
    <row r="291">
      <c r="A291" s="38">
        <f>IF('Additional Cartons'!B291 = "", "", IF('Additional Cartons-WUO_ERR'!A291 = "", "Validated", HYPERLINK("#" &amp; ADDRESS(291, 'Additional Cartons-WUO_TRK'!A291),_xlfn.TEXTAFTER('Additional Cartons-WUO_ERR'!A291, ":"))))</f>
        <v/>
      </c>
    </row>
    <row r="292">
      <c r="A292" s="38">
        <f>IF('Additional Cartons'!B292 = "", "", IF('Additional Cartons-WUO_ERR'!A292 = "", "Validated", HYPERLINK("#" &amp; ADDRESS(292, 'Additional Cartons-WUO_TRK'!A292),_xlfn.TEXTAFTER('Additional Cartons-WUO_ERR'!A292, ":"))))</f>
        <v/>
      </c>
    </row>
    <row r="293">
      <c r="A293" s="38">
        <f>IF('Additional Cartons'!B293 = "", "", IF('Additional Cartons-WUO_ERR'!A293 = "", "Validated", HYPERLINK("#" &amp; ADDRESS(293, 'Additional Cartons-WUO_TRK'!A293),_xlfn.TEXTAFTER('Additional Cartons-WUO_ERR'!A293, ":"))))</f>
        <v/>
      </c>
    </row>
    <row r="294">
      <c r="A294" s="38">
        <f>IF('Additional Cartons'!B294 = "", "", IF('Additional Cartons-WUO_ERR'!A294 = "", "Validated", HYPERLINK("#" &amp; ADDRESS(294, 'Additional Cartons-WUO_TRK'!A294),_xlfn.TEXTAFTER('Additional Cartons-WUO_ERR'!A294, ":"))))</f>
        <v/>
      </c>
    </row>
    <row r="295">
      <c r="A295" s="38">
        <f>IF('Additional Cartons'!B295 = "", "", IF('Additional Cartons-WUO_ERR'!A295 = "", "Validated", HYPERLINK("#" &amp; ADDRESS(295, 'Additional Cartons-WUO_TRK'!A295),_xlfn.TEXTAFTER('Additional Cartons-WUO_ERR'!A295, ":"))))</f>
        <v/>
      </c>
    </row>
    <row r="296">
      <c r="A296" s="38">
        <f>IF('Additional Cartons'!B296 = "", "", IF('Additional Cartons-WUO_ERR'!A296 = "", "Validated", HYPERLINK("#" &amp; ADDRESS(296, 'Additional Cartons-WUO_TRK'!A296),_xlfn.TEXTAFTER('Additional Cartons-WUO_ERR'!A296, ":"))))</f>
        <v/>
      </c>
    </row>
    <row r="297">
      <c r="A297" s="38">
        <f>IF('Additional Cartons'!B297 = "", "", IF('Additional Cartons-WUO_ERR'!A297 = "", "Validated", HYPERLINK("#" &amp; ADDRESS(297, 'Additional Cartons-WUO_TRK'!A297),_xlfn.TEXTAFTER('Additional Cartons-WUO_ERR'!A297, ":"))))</f>
        <v/>
      </c>
    </row>
    <row r="298">
      <c r="A298" s="38">
        <f>IF('Additional Cartons'!B298 = "", "", IF('Additional Cartons-WUO_ERR'!A298 = "", "Validated", HYPERLINK("#" &amp; ADDRESS(298, 'Additional Cartons-WUO_TRK'!A298),_xlfn.TEXTAFTER('Additional Cartons-WUO_ERR'!A298, ":"))))</f>
        <v/>
      </c>
    </row>
    <row r="299">
      <c r="A299" s="38">
        <f>IF('Additional Cartons'!B299 = "", "", IF('Additional Cartons-WUO_ERR'!A299 = "", "Validated", HYPERLINK("#" &amp; ADDRESS(299, 'Additional Cartons-WUO_TRK'!A299),_xlfn.TEXTAFTER('Additional Cartons-WUO_ERR'!A299, ":"))))</f>
        <v/>
      </c>
    </row>
    <row r="300">
      <c r="A300" s="38">
        <f>IF('Additional Cartons'!B300 = "", "", IF('Additional Cartons-WUO_ERR'!A300 = "", "Validated", HYPERLINK("#" &amp; ADDRESS(300, 'Additional Cartons-WUO_TRK'!A300),_xlfn.TEXTAFTER('Additional Cartons-WUO_ERR'!A300, ":"))))</f>
        <v/>
      </c>
    </row>
    <row r="301">
      <c r="A301" s="38">
        <f>IF('Additional Cartons'!B301 = "", "", IF('Additional Cartons-WUO_ERR'!A301 = "", "Validated", HYPERLINK("#" &amp; ADDRESS(301, 'Additional Cartons-WUO_TRK'!A301),_xlfn.TEXTAFTER('Additional Cartons-WUO_ERR'!A301, ":"))))</f>
        <v/>
      </c>
    </row>
    <row r="302">
      <c r="A302" s="38">
        <f>IF('Additional Cartons'!B302 = "", "", IF('Additional Cartons-WUO_ERR'!A302 = "", "Validated", HYPERLINK("#" &amp; ADDRESS(302, 'Additional Cartons-WUO_TRK'!A302),_xlfn.TEXTAFTER('Additional Cartons-WUO_ERR'!A302, ":"))))</f>
        <v/>
      </c>
    </row>
    <row r="303">
      <c r="A303" s="38">
        <f>IF('Additional Cartons'!B303 = "", "", IF('Additional Cartons-WUO_ERR'!A303 = "", "Validated", HYPERLINK("#" &amp; ADDRESS(303, 'Additional Cartons-WUO_TRK'!A303),_xlfn.TEXTAFTER('Additional Cartons-WUO_ERR'!A303, ":"))))</f>
        <v/>
      </c>
    </row>
    <row r="304">
      <c r="A304" s="38">
        <f>IF('Additional Cartons'!B304 = "", "", IF('Additional Cartons-WUO_ERR'!A304 = "", "Validated", HYPERLINK("#" &amp; ADDRESS(304, 'Additional Cartons-WUO_TRK'!A304),_xlfn.TEXTAFTER('Additional Cartons-WUO_ERR'!A304, ":"))))</f>
        <v/>
      </c>
    </row>
    <row r="305">
      <c r="A305" s="38">
        <f>IF('Additional Cartons'!B305 = "", "", IF('Additional Cartons-WUO_ERR'!A305 = "", "Validated", HYPERLINK("#" &amp; ADDRESS(305, 'Additional Cartons-WUO_TRK'!A305),_xlfn.TEXTAFTER('Additional Cartons-WUO_ERR'!A305, ":"))))</f>
        <v/>
      </c>
    </row>
    <row r="306">
      <c r="A306" s="38">
        <f>IF('Additional Cartons'!B306 = "", "", IF('Additional Cartons-WUO_ERR'!A306 = "", "Validated", HYPERLINK("#" &amp; ADDRESS(306, 'Additional Cartons-WUO_TRK'!A306),_xlfn.TEXTAFTER('Additional Cartons-WUO_ERR'!A306, ":"))))</f>
        <v/>
      </c>
    </row>
    <row r="307">
      <c r="A307" s="38">
        <f>IF('Additional Cartons'!B307 = "", "", IF('Additional Cartons-WUO_ERR'!A307 = "", "Validated", HYPERLINK("#" &amp; ADDRESS(307, 'Additional Cartons-WUO_TRK'!A307),_xlfn.TEXTAFTER('Additional Cartons-WUO_ERR'!A307, ":"))))</f>
        <v/>
      </c>
    </row>
    <row r="308">
      <c r="A308" s="38">
        <f>IF('Additional Cartons'!B308 = "", "", IF('Additional Cartons-WUO_ERR'!A308 = "", "Validated", HYPERLINK("#" &amp; ADDRESS(308, 'Additional Cartons-WUO_TRK'!A308),_xlfn.TEXTAFTER('Additional Cartons-WUO_ERR'!A308, ":"))))</f>
        <v/>
      </c>
    </row>
    <row r="309">
      <c r="A309" s="38">
        <f>IF('Additional Cartons'!B309 = "", "", IF('Additional Cartons-WUO_ERR'!A309 = "", "Validated", HYPERLINK("#" &amp; ADDRESS(309, 'Additional Cartons-WUO_TRK'!A309),_xlfn.TEXTAFTER('Additional Cartons-WUO_ERR'!A309, ":"))))</f>
        <v/>
      </c>
    </row>
    <row r="310">
      <c r="A310" s="38">
        <f>IF('Additional Cartons'!B310 = "", "", IF('Additional Cartons-WUO_ERR'!A310 = "", "Validated", HYPERLINK("#" &amp; ADDRESS(310, 'Additional Cartons-WUO_TRK'!A310),_xlfn.TEXTAFTER('Additional Cartons-WUO_ERR'!A310, ":"))))</f>
        <v/>
      </c>
    </row>
    <row r="311">
      <c r="A311" s="38">
        <f>IF('Additional Cartons'!B311 = "", "", IF('Additional Cartons-WUO_ERR'!A311 = "", "Validated", HYPERLINK("#" &amp; ADDRESS(311, 'Additional Cartons-WUO_TRK'!A311),_xlfn.TEXTAFTER('Additional Cartons-WUO_ERR'!A311, ":"))))</f>
        <v/>
      </c>
    </row>
    <row r="312">
      <c r="A312" s="38">
        <f>IF('Additional Cartons'!B312 = "", "", IF('Additional Cartons-WUO_ERR'!A312 = "", "Validated", HYPERLINK("#" &amp; ADDRESS(312, 'Additional Cartons-WUO_TRK'!A312),_xlfn.TEXTAFTER('Additional Cartons-WUO_ERR'!A312, ":"))))</f>
        <v/>
      </c>
    </row>
    <row r="313">
      <c r="A313" s="38">
        <f>IF('Additional Cartons'!B313 = "", "", IF('Additional Cartons-WUO_ERR'!A313 = "", "Validated", HYPERLINK("#" &amp; ADDRESS(313, 'Additional Cartons-WUO_TRK'!A313),_xlfn.TEXTAFTER('Additional Cartons-WUO_ERR'!A313, ":"))))</f>
        <v/>
      </c>
    </row>
    <row r="314">
      <c r="A314" s="38">
        <f>IF('Additional Cartons'!B314 = "", "", IF('Additional Cartons-WUO_ERR'!A314 = "", "Validated", HYPERLINK("#" &amp; ADDRESS(314, 'Additional Cartons-WUO_TRK'!A314),_xlfn.TEXTAFTER('Additional Cartons-WUO_ERR'!A314, ":"))))</f>
        <v/>
      </c>
    </row>
    <row r="315">
      <c r="A315" s="38">
        <f>IF('Additional Cartons'!B315 = "", "", IF('Additional Cartons-WUO_ERR'!A315 = "", "Validated", HYPERLINK("#" &amp; ADDRESS(315, 'Additional Cartons-WUO_TRK'!A315),_xlfn.TEXTAFTER('Additional Cartons-WUO_ERR'!A315, ":"))))</f>
        <v/>
      </c>
    </row>
    <row r="316">
      <c r="A316" s="38">
        <f>IF('Additional Cartons'!B316 = "", "", IF('Additional Cartons-WUO_ERR'!A316 = "", "Validated", HYPERLINK("#" &amp; ADDRESS(316, 'Additional Cartons-WUO_TRK'!A316),_xlfn.TEXTAFTER('Additional Cartons-WUO_ERR'!A316, ":"))))</f>
        <v/>
      </c>
    </row>
    <row r="317">
      <c r="A317" s="38">
        <f>IF('Additional Cartons'!B317 = "", "", IF('Additional Cartons-WUO_ERR'!A317 = "", "Validated", HYPERLINK("#" &amp; ADDRESS(317, 'Additional Cartons-WUO_TRK'!A317),_xlfn.TEXTAFTER('Additional Cartons-WUO_ERR'!A317, ":"))))</f>
        <v/>
      </c>
    </row>
    <row r="318">
      <c r="A318" s="38">
        <f>IF('Additional Cartons'!B318 = "", "", IF('Additional Cartons-WUO_ERR'!A318 = "", "Validated", HYPERLINK("#" &amp; ADDRESS(318, 'Additional Cartons-WUO_TRK'!A318),_xlfn.TEXTAFTER('Additional Cartons-WUO_ERR'!A318, ":"))))</f>
        <v/>
      </c>
    </row>
    <row r="319">
      <c r="A319" s="38">
        <f>IF('Additional Cartons'!B319 = "", "", IF('Additional Cartons-WUO_ERR'!A319 = "", "Validated", HYPERLINK("#" &amp; ADDRESS(319, 'Additional Cartons-WUO_TRK'!A319),_xlfn.TEXTAFTER('Additional Cartons-WUO_ERR'!A319, ":"))))</f>
        <v/>
      </c>
    </row>
    <row r="320">
      <c r="A320" s="38">
        <f>IF('Additional Cartons'!B320 = "", "", IF('Additional Cartons-WUO_ERR'!A320 = "", "Validated", HYPERLINK("#" &amp; ADDRESS(320, 'Additional Cartons-WUO_TRK'!A320),_xlfn.TEXTAFTER('Additional Cartons-WUO_ERR'!A320, ":"))))</f>
        <v/>
      </c>
    </row>
    <row r="321">
      <c r="A321" s="38">
        <f>IF('Additional Cartons'!B321 = "", "", IF('Additional Cartons-WUO_ERR'!A321 = "", "Validated", HYPERLINK("#" &amp; ADDRESS(321, 'Additional Cartons-WUO_TRK'!A321),_xlfn.TEXTAFTER('Additional Cartons-WUO_ERR'!A321, ":"))))</f>
        <v/>
      </c>
    </row>
    <row r="322">
      <c r="A322" s="38">
        <f>IF('Additional Cartons'!B322 = "", "", IF('Additional Cartons-WUO_ERR'!A322 = "", "Validated", HYPERLINK("#" &amp; ADDRESS(322, 'Additional Cartons-WUO_TRK'!A322),_xlfn.TEXTAFTER('Additional Cartons-WUO_ERR'!A322, ":"))))</f>
        <v/>
      </c>
    </row>
    <row r="323">
      <c r="A323" s="38">
        <f>IF('Additional Cartons'!B323 = "", "", IF('Additional Cartons-WUO_ERR'!A323 = "", "Validated", HYPERLINK("#" &amp; ADDRESS(323, 'Additional Cartons-WUO_TRK'!A323),_xlfn.TEXTAFTER('Additional Cartons-WUO_ERR'!A323, ":"))))</f>
        <v/>
      </c>
    </row>
    <row r="324">
      <c r="A324" s="38">
        <f>IF('Additional Cartons'!B324 = "", "", IF('Additional Cartons-WUO_ERR'!A324 = "", "Validated", HYPERLINK("#" &amp; ADDRESS(324, 'Additional Cartons-WUO_TRK'!A324),_xlfn.TEXTAFTER('Additional Cartons-WUO_ERR'!A324, ":"))))</f>
        <v/>
      </c>
    </row>
    <row r="325">
      <c r="A325" s="38">
        <f>IF('Additional Cartons'!B325 = "", "", IF('Additional Cartons-WUO_ERR'!A325 = "", "Validated", HYPERLINK("#" &amp; ADDRESS(325, 'Additional Cartons-WUO_TRK'!A325),_xlfn.TEXTAFTER('Additional Cartons-WUO_ERR'!A325, ":"))))</f>
        <v/>
      </c>
    </row>
    <row r="326">
      <c r="A326" s="38">
        <f>IF('Additional Cartons'!B326 = "", "", IF('Additional Cartons-WUO_ERR'!A326 = "", "Validated", HYPERLINK("#" &amp; ADDRESS(326, 'Additional Cartons-WUO_TRK'!A326),_xlfn.TEXTAFTER('Additional Cartons-WUO_ERR'!A326, ":"))))</f>
        <v/>
      </c>
    </row>
    <row r="327">
      <c r="A327" s="38">
        <f>IF('Additional Cartons'!B327 = "", "", IF('Additional Cartons-WUO_ERR'!A327 = "", "Validated", HYPERLINK("#" &amp; ADDRESS(327, 'Additional Cartons-WUO_TRK'!A327),_xlfn.TEXTAFTER('Additional Cartons-WUO_ERR'!A327, ":"))))</f>
        <v/>
      </c>
    </row>
    <row r="328">
      <c r="A328" s="38">
        <f>IF('Additional Cartons'!B328 = "", "", IF('Additional Cartons-WUO_ERR'!A328 = "", "Validated", HYPERLINK("#" &amp; ADDRESS(328, 'Additional Cartons-WUO_TRK'!A328),_xlfn.TEXTAFTER('Additional Cartons-WUO_ERR'!A328, ":"))))</f>
        <v/>
      </c>
    </row>
    <row r="329">
      <c r="A329" s="38">
        <f>IF('Additional Cartons'!B329 = "", "", IF('Additional Cartons-WUO_ERR'!A329 = "", "Validated", HYPERLINK("#" &amp; ADDRESS(329, 'Additional Cartons-WUO_TRK'!A329),_xlfn.TEXTAFTER('Additional Cartons-WUO_ERR'!A329, ":"))))</f>
        <v/>
      </c>
    </row>
    <row r="330">
      <c r="A330" s="38">
        <f>IF('Additional Cartons'!B330 = "", "", IF('Additional Cartons-WUO_ERR'!A330 = "", "Validated", HYPERLINK("#" &amp; ADDRESS(330, 'Additional Cartons-WUO_TRK'!A330),_xlfn.TEXTAFTER('Additional Cartons-WUO_ERR'!A330, ":"))))</f>
        <v/>
      </c>
    </row>
    <row r="331">
      <c r="A331" s="38">
        <f>IF('Additional Cartons'!B331 = "", "", IF('Additional Cartons-WUO_ERR'!A331 = "", "Validated", HYPERLINK("#" &amp; ADDRESS(331, 'Additional Cartons-WUO_TRK'!A331),_xlfn.TEXTAFTER('Additional Cartons-WUO_ERR'!A331, ":"))))</f>
        <v/>
      </c>
    </row>
    <row r="332">
      <c r="A332" s="38">
        <f>IF('Additional Cartons'!B332 = "", "", IF('Additional Cartons-WUO_ERR'!A332 = "", "Validated", HYPERLINK("#" &amp; ADDRESS(332, 'Additional Cartons-WUO_TRK'!A332),_xlfn.TEXTAFTER('Additional Cartons-WUO_ERR'!A332, ":"))))</f>
        <v/>
      </c>
    </row>
    <row r="333">
      <c r="A333" s="38">
        <f>IF('Additional Cartons'!B333 = "", "", IF('Additional Cartons-WUO_ERR'!A333 = "", "Validated", HYPERLINK("#" &amp; ADDRESS(333, 'Additional Cartons-WUO_TRK'!A333),_xlfn.TEXTAFTER('Additional Cartons-WUO_ERR'!A333, ":"))))</f>
        <v/>
      </c>
    </row>
    <row r="334">
      <c r="A334" s="38">
        <f>IF('Additional Cartons'!B334 = "", "", IF('Additional Cartons-WUO_ERR'!A334 = "", "Validated", HYPERLINK("#" &amp; ADDRESS(334, 'Additional Cartons-WUO_TRK'!A334),_xlfn.TEXTAFTER('Additional Cartons-WUO_ERR'!A334, ":"))))</f>
        <v/>
      </c>
    </row>
    <row r="335">
      <c r="A335" s="38">
        <f>IF('Additional Cartons'!B335 = "", "", IF('Additional Cartons-WUO_ERR'!A335 = "", "Validated", HYPERLINK("#" &amp; ADDRESS(335, 'Additional Cartons-WUO_TRK'!A335),_xlfn.TEXTAFTER('Additional Cartons-WUO_ERR'!A335, ":"))))</f>
        <v/>
      </c>
    </row>
    <row r="336">
      <c r="A336" s="38">
        <f>IF('Additional Cartons'!B336 = "", "", IF('Additional Cartons-WUO_ERR'!A336 = "", "Validated", HYPERLINK("#" &amp; ADDRESS(336, 'Additional Cartons-WUO_TRK'!A336),_xlfn.TEXTAFTER('Additional Cartons-WUO_ERR'!A336, ":"))))</f>
        <v/>
      </c>
    </row>
    <row r="337">
      <c r="A337" s="38">
        <f>IF('Additional Cartons'!B337 = "", "", IF('Additional Cartons-WUO_ERR'!A337 = "", "Validated", HYPERLINK("#" &amp; ADDRESS(337, 'Additional Cartons-WUO_TRK'!A337),_xlfn.TEXTAFTER('Additional Cartons-WUO_ERR'!A337, ":"))))</f>
        <v/>
      </c>
    </row>
    <row r="338">
      <c r="A338" s="38">
        <f>IF('Additional Cartons'!B338 = "", "", IF('Additional Cartons-WUO_ERR'!A338 = "", "Validated", HYPERLINK("#" &amp; ADDRESS(338, 'Additional Cartons-WUO_TRK'!A338),_xlfn.TEXTAFTER('Additional Cartons-WUO_ERR'!A338, ":"))))</f>
        <v/>
      </c>
    </row>
    <row r="339">
      <c r="A339" s="38">
        <f>IF('Additional Cartons'!B339 = "", "", IF('Additional Cartons-WUO_ERR'!A339 = "", "Validated", HYPERLINK("#" &amp; ADDRESS(339, 'Additional Cartons-WUO_TRK'!A339),_xlfn.TEXTAFTER('Additional Cartons-WUO_ERR'!A339, ":"))))</f>
        <v/>
      </c>
    </row>
    <row r="340">
      <c r="A340" s="38">
        <f>IF('Additional Cartons'!B340 = "", "", IF('Additional Cartons-WUO_ERR'!A340 = "", "Validated", HYPERLINK("#" &amp; ADDRESS(340, 'Additional Cartons-WUO_TRK'!A340),_xlfn.TEXTAFTER('Additional Cartons-WUO_ERR'!A340, ":"))))</f>
        <v/>
      </c>
    </row>
    <row r="341">
      <c r="A341" s="38">
        <f>IF('Additional Cartons'!B341 = "", "", IF('Additional Cartons-WUO_ERR'!A341 = "", "Validated", HYPERLINK("#" &amp; ADDRESS(341, 'Additional Cartons-WUO_TRK'!A341),_xlfn.TEXTAFTER('Additional Cartons-WUO_ERR'!A341, ":"))))</f>
        <v/>
      </c>
    </row>
    <row r="342">
      <c r="A342" s="38">
        <f>IF('Additional Cartons'!B342 = "", "", IF('Additional Cartons-WUO_ERR'!A342 = "", "Validated", HYPERLINK("#" &amp; ADDRESS(342, 'Additional Cartons-WUO_TRK'!A342),_xlfn.TEXTAFTER('Additional Cartons-WUO_ERR'!A342, ":"))))</f>
        <v/>
      </c>
    </row>
    <row r="343">
      <c r="A343" s="38">
        <f>IF('Additional Cartons'!B343 = "", "", IF('Additional Cartons-WUO_ERR'!A343 = "", "Validated", HYPERLINK("#" &amp; ADDRESS(343, 'Additional Cartons-WUO_TRK'!A343),_xlfn.TEXTAFTER('Additional Cartons-WUO_ERR'!A343, ":"))))</f>
        <v/>
      </c>
    </row>
    <row r="344">
      <c r="A344" s="38">
        <f>IF('Additional Cartons'!B344 = "", "", IF('Additional Cartons-WUO_ERR'!A344 = "", "Validated", HYPERLINK("#" &amp; ADDRESS(344, 'Additional Cartons-WUO_TRK'!A344),_xlfn.TEXTAFTER('Additional Cartons-WUO_ERR'!A344, ":"))))</f>
        <v/>
      </c>
    </row>
    <row r="345">
      <c r="A345" s="38">
        <f>IF('Additional Cartons'!B345 = "", "", IF('Additional Cartons-WUO_ERR'!A345 = "", "Validated", HYPERLINK("#" &amp; ADDRESS(345, 'Additional Cartons-WUO_TRK'!A345),_xlfn.TEXTAFTER('Additional Cartons-WUO_ERR'!A345, ":"))))</f>
        <v/>
      </c>
    </row>
    <row r="346">
      <c r="A346" s="38">
        <f>IF('Additional Cartons'!B346 = "", "", IF('Additional Cartons-WUO_ERR'!A346 = "", "Validated", HYPERLINK("#" &amp; ADDRESS(346, 'Additional Cartons-WUO_TRK'!A346),_xlfn.TEXTAFTER('Additional Cartons-WUO_ERR'!A346, ":"))))</f>
        <v/>
      </c>
    </row>
    <row r="347">
      <c r="A347" s="38">
        <f>IF('Additional Cartons'!B347 = "", "", IF('Additional Cartons-WUO_ERR'!A347 = "", "Validated", HYPERLINK("#" &amp; ADDRESS(347, 'Additional Cartons-WUO_TRK'!A347),_xlfn.TEXTAFTER('Additional Cartons-WUO_ERR'!A347, ":"))))</f>
        <v/>
      </c>
    </row>
    <row r="348">
      <c r="A348" s="38">
        <f>IF('Additional Cartons'!B348 = "", "", IF('Additional Cartons-WUO_ERR'!A348 = "", "Validated", HYPERLINK("#" &amp; ADDRESS(348, 'Additional Cartons-WUO_TRK'!A348),_xlfn.TEXTAFTER('Additional Cartons-WUO_ERR'!A348, ":"))))</f>
        <v/>
      </c>
    </row>
    <row r="349">
      <c r="A349" s="38">
        <f>IF('Additional Cartons'!B349 = "", "", IF('Additional Cartons-WUO_ERR'!A349 = "", "Validated", HYPERLINK("#" &amp; ADDRESS(349, 'Additional Cartons-WUO_TRK'!A349),_xlfn.TEXTAFTER('Additional Cartons-WUO_ERR'!A349, ":"))))</f>
        <v/>
      </c>
    </row>
    <row r="350">
      <c r="A350" s="38">
        <f>IF('Additional Cartons'!B350 = "", "", IF('Additional Cartons-WUO_ERR'!A350 = "", "Validated", HYPERLINK("#" &amp; ADDRESS(350, 'Additional Cartons-WUO_TRK'!A350),_xlfn.TEXTAFTER('Additional Cartons-WUO_ERR'!A350, ":"))))</f>
        <v/>
      </c>
    </row>
    <row r="351">
      <c r="A351" s="38">
        <f>IF('Additional Cartons'!B351 = "", "", IF('Additional Cartons-WUO_ERR'!A351 = "", "Validated", HYPERLINK("#" &amp; ADDRESS(351, 'Additional Cartons-WUO_TRK'!A351),_xlfn.TEXTAFTER('Additional Cartons-WUO_ERR'!A351, ":"))))</f>
        <v/>
      </c>
    </row>
    <row r="352">
      <c r="A352" s="38">
        <f>IF('Additional Cartons'!B352 = "", "", IF('Additional Cartons-WUO_ERR'!A352 = "", "Validated", HYPERLINK("#" &amp; ADDRESS(352, 'Additional Cartons-WUO_TRK'!A352),_xlfn.TEXTAFTER('Additional Cartons-WUO_ERR'!A352, ":"))))</f>
        <v/>
      </c>
    </row>
    <row r="353">
      <c r="A353" s="38">
        <f>IF('Additional Cartons'!B353 = "", "", IF('Additional Cartons-WUO_ERR'!A353 = "", "Validated", HYPERLINK("#" &amp; ADDRESS(353, 'Additional Cartons-WUO_TRK'!A353),_xlfn.TEXTAFTER('Additional Cartons-WUO_ERR'!A353, ":"))))</f>
        <v/>
      </c>
    </row>
    <row r="354">
      <c r="A354" s="38">
        <f>IF('Additional Cartons'!B354 = "", "", IF('Additional Cartons-WUO_ERR'!A354 = "", "Validated", HYPERLINK("#" &amp; ADDRESS(354, 'Additional Cartons-WUO_TRK'!A354),_xlfn.TEXTAFTER('Additional Cartons-WUO_ERR'!A354, ":"))))</f>
        <v/>
      </c>
    </row>
    <row r="355">
      <c r="A355" s="38">
        <f>IF('Additional Cartons'!B355 = "", "", IF('Additional Cartons-WUO_ERR'!A355 = "", "Validated", HYPERLINK("#" &amp; ADDRESS(355, 'Additional Cartons-WUO_TRK'!A355),_xlfn.TEXTAFTER('Additional Cartons-WUO_ERR'!A355, ":"))))</f>
        <v/>
      </c>
    </row>
    <row r="356">
      <c r="A356" s="38">
        <f>IF('Additional Cartons'!B356 = "", "", IF('Additional Cartons-WUO_ERR'!A356 = "", "Validated", HYPERLINK("#" &amp; ADDRESS(356, 'Additional Cartons-WUO_TRK'!A356),_xlfn.TEXTAFTER('Additional Cartons-WUO_ERR'!A356, ":"))))</f>
        <v/>
      </c>
    </row>
    <row r="357">
      <c r="A357" s="38">
        <f>IF('Additional Cartons'!B357 = "", "", IF('Additional Cartons-WUO_ERR'!A357 = "", "Validated", HYPERLINK("#" &amp; ADDRESS(357, 'Additional Cartons-WUO_TRK'!A357),_xlfn.TEXTAFTER('Additional Cartons-WUO_ERR'!A357, ":"))))</f>
        <v/>
      </c>
    </row>
    <row r="358">
      <c r="A358" s="38">
        <f>IF('Additional Cartons'!B358 = "", "", IF('Additional Cartons-WUO_ERR'!A358 = "", "Validated", HYPERLINK("#" &amp; ADDRESS(358, 'Additional Cartons-WUO_TRK'!A358),_xlfn.TEXTAFTER('Additional Cartons-WUO_ERR'!A358, ":"))))</f>
        <v/>
      </c>
    </row>
    <row r="359">
      <c r="A359" s="38">
        <f>IF('Additional Cartons'!B359 = "", "", IF('Additional Cartons-WUO_ERR'!A359 = "", "Validated", HYPERLINK("#" &amp; ADDRESS(359, 'Additional Cartons-WUO_TRK'!A359),_xlfn.TEXTAFTER('Additional Cartons-WUO_ERR'!A359, ":"))))</f>
        <v/>
      </c>
    </row>
    <row r="360">
      <c r="A360" s="38">
        <f>IF('Additional Cartons'!B360 = "", "", IF('Additional Cartons-WUO_ERR'!A360 = "", "Validated", HYPERLINK("#" &amp; ADDRESS(360, 'Additional Cartons-WUO_TRK'!A360),_xlfn.TEXTAFTER('Additional Cartons-WUO_ERR'!A360, ":"))))</f>
        <v/>
      </c>
    </row>
    <row r="361">
      <c r="A361" s="38">
        <f>IF('Additional Cartons'!B361 = "", "", IF('Additional Cartons-WUO_ERR'!A361 = "", "Validated", HYPERLINK("#" &amp; ADDRESS(361, 'Additional Cartons-WUO_TRK'!A361),_xlfn.TEXTAFTER('Additional Cartons-WUO_ERR'!A361, ":"))))</f>
        <v/>
      </c>
    </row>
    <row r="362">
      <c r="A362" s="38">
        <f>IF('Additional Cartons'!B362 = "", "", IF('Additional Cartons-WUO_ERR'!A362 = "", "Validated", HYPERLINK("#" &amp; ADDRESS(362, 'Additional Cartons-WUO_TRK'!A362),_xlfn.TEXTAFTER('Additional Cartons-WUO_ERR'!A362, ":"))))</f>
        <v/>
      </c>
    </row>
    <row r="363">
      <c r="A363" s="38">
        <f>IF('Additional Cartons'!B363 = "", "", IF('Additional Cartons-WUO_ERR'!A363 = "", "Validated", HYPERLINK("#" &amp; ADDRESS(363, 'Additional Cartons-WUO_TRK'!A363),_xlfn.TEXTAFTER('Additional Cartons-WUO_ERR'!A363, ":"))))</f>
        <v/>
      </c>
    </row>
    <row r="364">
      <c r="A364" s="38">
        <f>IF('Additional Cartons'!B364 = "", "", IF('Additional Cartons-WUO_ERR'!A364 = "", "Validated", HYPERLINK("#" &amp; ADDRESS(364, 'Additional Cartons-WUO_TRK'!A364),_xlfn.TEXTAFTER('Additional Cartons-WUO_ERR'!A364, ":"))))</f>
        <v/>
      </c>
    </row>
    <row r="365">
      <c r="A365" s="38">
        <f>IF('Additional Cartons'!B365 = "", "", IF('Additional Cartons-WUO_ERR'!A365 = "", "Validated", HYPERLINK("#" &amp; ADDRESS(365, 'Additional Cartons-WUO_TRK'!A365),_xlfn.TEXTAFTER('Additional Cartons-WUO_ERR'!A365, ":"))))</f>
        <v/>
      </c>
    </row>
    <row r="366">
      <c r="A366" s="38">
        <f>IF('Additional Cartons'!B366 = "", "", IF('Additional Cartons-WUO_ERR'!A366 = "", "Validated", HYPERLINK("#" &amp; ADDRESS(366, 'Additional Cartons-WUO_TRK'!A366),_xlfn.TEXTAFTER('Additional Cartons-WUO_ERR'!A366, ":"))))</f>
        <v/>
      </c>
    </row>
    <row r="367">
      <c r="A367" s="38">
        <f>IF('Additional Cartons'!B367 = "", "", IF('Additional Cartons-WUO_ERR'!A367 = "", "Validated", HYPERLINK("#" &amp; ADDRESS(367, 'Additional Cartons-WUO_TRK'!A367),_xlfn.TEXTAFTER('Additional Cartons-WUO_ERR'!A367, ":"))))</f>
        <v/>
      </c>
    </row>
    <row r="368">
      <c r="A368" s="38">
        <f>IF('Additional Cartons'!B368 = "", "", IF('Additional Cartons-WUO_ERR'!A368 = "", "Validated", HYPERLINK("#" &amp; ADDRESS(368, 'Additional Cartons-WUO_TRK'!A368),_xlfn.TEXTAFTER('Additional Cartons-WUO_ERR'!A368, ":"))))</f>
        <v/>
      </c>
    </row>
    <row r="369">
      <c r="A369" s="38">
        <f>IF('Additional Cartons'!B369 = "", "", IF('Additional Cartons-WUO_ERR'!A369 = "", "Validated", HYPERLINK("#" &amp; ADDRESS(369, 'Additional Cartons-WUO_TRK'!A369),_xlfn.TEXTAFTER('Additional Cartons-WUO_ERR'!A369, ":"))))</f>
        <v/>
      </c>
    </row>
    <row r="370">
      <c r="A370" s="38">
        <f>IF('Additional Cartons'!B370 = "", "", IF('Additional Cartons-WUO_ERR'!A370 = "", "Validated", HYPERLINK("#" &amp; ADDRESS(370, 'Additional Cartons-WUO_TRK'!A370),_xlfn.TEXTAFTER('Additional Cartons-WUO_ERR'!A370, ":"))))</f>
        <v/>
      </c>
    </row>
    <row r="371">
      <c r="A371" s="38">
        <f>IF('Additional Cartons'!B371 = "", "", IF('Additional Cartons-WUO_ERR'!A371 = "", "Validated", HYPERLINK("#" &amp; ADDRESS(371, 'Additional Cartons-WUO_TRK'!A371),_xlfn.TEXTAFTER('Additional Cartons-WUO_ERR'!A371, ":"))))</f>
        <v/>
      </c>
    </row>
    <row r="372">
      <c r="A372" s="38">
        <f>IF('Additional Cartons'!B372 = "", "", IF('Additional Cartons-WUO_ERR'!A372 = "", "Validated", HYPERLINK("#" &amp; ADDRESS(372, 'Additional Cartons-WUO_TRK'!A372),_xlfn.TEXTAFTER('Additional Cartons-WUO_ERR'!A372, ":"))))</f>
        <v/>
      </c>
    </row>
    <row r="373">
      <c r="A373" s="38">
        <f>IF('Additional Cartons'!B373 = "", "", IF('Additional Cartons-WUO_ERR'!A373 = "", "Validated", HYPERLINK("#" &amp; ADDRESS(373, 'Additional Cartons-WUO_TRK'!A373),_xlfn.TEXTAFTER('Additional Cartons-WUO_ERR'!A373, ":"))))</f>
        <v/>
      </c>
    </row>
    <row r="374">
      <c r="A374" s="38">
        <f>IF('Additional Cartons'!B374 = "", "", IF('Additional Cartons-WUO_ERR'!A374 = "", "Validated", HYPERLINK("#" &amp; ADDRESS(374, 'Additional Cartons-WUO_TRK'!A374),_xlfn.TEXTAFTER('Additional Cartons-WUO_ERR'!A374, ":"))))</f>
        <v/>
      </c>
    </row>
    <row r="375">
      <c r="A375" s="38">
        <f>IF('Additional Cartons'!B375 = "", "", IF('Additional Cartons-WUO_ERR'!A375 = "", "Validated", HYPERLINK("#" &amp; ADDRESS(375, 'Additional Cartons-WUO_TRK'!A375),_xlfn.TEXTAFTER('Additional Cartons-WUO_ERR'!A375, ":"))))</f>
        <v/>
      </c>
    </row>
    <row r="376">
      <c r="A376" s="38">
        <f>IF('Additional Cartons'!B376 = "", "", IF('Additional Cartons-WUO_ERR'!A376 = "", "Validated", HYPERLINK("#" &amp; ADDRESS(376, 'Additional Cartons-WUO_TRK'!A376),_xlfn.TEXTAFTER('Additional Cartons-WUO_ERR'!A376, ":"))))</f>
        <v/>
      </c>
    </row>
    <row r="377">
      <c r="A377" s="38">
        <f>IF('Additional Cartons'!B377 = "", "", IF('Additional Cartons-WUO_ERR'!A377 = "", "Validated", HYPERLINK("#" &amp; ADDRESS(377, 'Additional Cartons-WUO_TRK'!A377),_xlfn.TEXTAFTER('Additional Cartons-WUO_ERR'!A377, ":"))))</f>
        <v/>
      </c>
    </row>
    <row r="378">
      <c r="A378" s="38">
        <f>IF('Additional Cartons'!B378 = "", "", IF('Additional Cartons-WUO_ERR'!A378 = "", "Validated", HYPERLINK("#" &amp; ADDRESS(378, 'Additional Cartons-WUO_TRK'!A378),_xlfn.TEXTAFTER('Additional Cartons-WUO_ERR'!A378, ":"))))</f>
        <v/>
      </c>
    </row>
    <row r="379">
      <c r="A379" s="38">
        <f>IF('Additional Cartons'!B379 = "", "", IF('Additional Cartons-WUO_ERR'!A379 = "", "Validated", HYPERLINK("#" &amp; ADDRESS(379, 'Additional Cartons-WUO_TRK'!A379),_xlfn.TEXTAFTER('Additional Cartons-WUO_ERR'!A379, ":"))))</f>
        <v/>
      </c>
    </row>
    <row r="380">
      <c r="A380" s="38">
        <f>IF('Additional Cartons'!B380 = "", "", IF('Additional Cartons-WUO_ERR'!A380 = "", "Validated", HYPERLINK("#" &amp; ADDRESS(380, 'Additional Cartons-WUO_TRK'!A380),_xlfn.TEXTAFTER('Additional Cartons-WUO_ERR'!A380, ":"))))</f>
        <v/>
      </c>
    </row>
    <row r="381">
      <c r="A381" s="38">
        <f>IF('Additional Cartons'!B381 = "", "", IF('Additional Cartons-WUO_ERR'!A381 = "", "Validated", HYPERLINK("#" &amp; ADDRESS(381, 'Additional Cartons-WUO_TRK'!A381),_xlfn.TEXTAFTER('Additional Cartons-WUO_ERR'!A381, ":"))))</f>
        <v/>
      </c>
    </row>
    <row r="382">
      <c r="A382" s="38">
        <f>IF('Additional Cartons'!B382 = "", "", IF('Additional Cartons-WUO_ERR'!A382 = "", "Validated", HYPERLINK("#" &amp; ADDRESS(382, 'Additional Cartons-WUO_TRK'!A382),_xlfn.TEXTAFTER('Additional Cartons-WUO_ERR'!A382, ":"))))</f>
        <v/>
      </c>
    </row>
    <row r="383">
      <c r="A383" s="38">
        <f>IF('Additional Cartons'!B383 = "", "", IF('Additional Cartons-WUO_ERR'!A383 = "", "Validated", HYPERLINK("#" &amp; ADDRESS(383, 'Additional Cartons-WUO_TRK'!A383),_xlfn.TEXTAFTER('Additional Cartons-WUO_ERR'!A383, ":"))))</f>
        <v/>
      </c>
    </row>
    <row r="384">
      <c r="A384" s="38">
        <f>IF('Additional Cartons'!B384 = "", "", IF('Additional Cartons-WUO_ERR'!A384 = "", "Validated", HYPERLINK("#" &amp; ADDRESS(384, 'Additional Cartons-WUO_TRK'!A384),_xlfn.TEXTAFTER('Additional Cartons-WUO_ERR'!A384, ":"))))</f>
        <v/>
      </c>
    </row>
    <row r="385">
      <c r="A385" s="38">
        <f>IF('Additional Cartons'!B385 = "", "", IF('Additional Cartons-WUO_ERR'!A385 = "", "Validated", HYPERLINK("#" &amp; ADDRESS(385, 'Additional Cartons-WUO_TRK'!A385),_xlfn.TEXTAFTER('Additional Cartons-WUO_ERR'!A385, ":"))))</f>
        <v/>
      </c>
    </row>
    <row r="386">
      <c r="A386" s="38">
        <f>IF('Additional Cartons'!B386 = "", "", IF('Additional Cartons-WUO_ERR'!A386 = "", "Validated", HYPERLINK("#" &amp; ADDRESS(386, 'Additional Cartons-WUO_TRK'!A386),_xlfn.TEXTAFTER('Additional Cartons-WUO_ERR'!A386, ":"))))</f>
        <v/>
      </c>
    </row>
    <row r="387">
      <c r="A387" s="38">
        <f>IF('Additional Cartons'!B387 = "", "", IF('Additional Cartons-WUO_ERR'!A387 = "", "Validated", HYPERLINK("#" &amp; ADDRESS(387, 'Additional Cartons-WUO_TRK'!A387),_xlfn.TEXTAFTER('Additional Cartons-WUO_ERR'!A387, ":"))))</f>
        <v/>
      </c>
    </row>
    <row r="388">
      <c r="A388" s="38">
        <f>IF('Additional Cartons'!B388 = "", "", IF('Additional Cartons-WUO_ERR'!A388 = "", "Validated", HYPERLINK("#" &amp; ADDRESS(388, 'Additional Cartons-WUO_TRK'!A388),_xlfn.TEXTAFTER('Additional Cartons-WUO_ERR'!A388, ":"))))</f>
        <v/>
      </c>
    </row>
    <row r="389">
      <c r="A389" s="38">
        <f>IF('Additional Cartons'!B389 = "", "", IF('Additional Cartons-WUO_ERR'!A389 = "", "Validated", HYPERLINK("#" &amp; ADDRESS(389, 'Additional Cartons-WUO_TRK'!A389),_xlfn.TEXTAFTER('Additional Cartons-WUO_ERR'!A389, ":"))))</f>
        <v/>
      </c>
    </row>
    <row r="390">
      <c r="A390" s="38">
        <f>IF('Additional Cartons'!B390 = "", "", IF('Additional Cartons-WUO_ERR'!A390 = "", "Validated", HYPERLINK("#" &amp; ADDRESS(390, 'Additional Cartons-WUO_TRK'!A390),_xlfn.TEXTAFTER('Additional Cartons-WUO_ERR'!A390, ":"))))</f>
        <v/>
      </c>
    </row>
    <row r="391">
      <c r="A391" s="38">
        <f>IF('Additional Cartons'!B391 = "", "", IF('Additional Cartons-WUO_ERR'!A391 = "", "Validated", HYPERLINK("#" &amp; ADDRESS(391, 'Additional Cartons-WUO_TRK'!A391),_xlfn.TEXTAFTER('Additional Cartons-WUO_ERR'!A391, ":"))))</f>
        <v/>
      </c>
    </row>
    <row r="392">
      <c r="A392" s="38">
        <f>IF('Additional Cartons'!B392 = "", "", IF('Additional Cartons-WUO_ERR'!A392 = "", "Validated", HYPERLINK("#" &amp; ADDRESS(392, 'Additional Cartons-WUO_TRK'!A392),_xlfn.TEXTAFTER('Additional Cartons-WUO_ERR'!A392, ":"))))</f>
        <v/>
      </c>
    </row>
    <row r="393">
      <c r="A393" s="38">
        <f>IF('Additional Cartons'!B393 = "", "", IF('Additional Cartons-WUO_ERR'!A393 = "", "Validated", HYPERLINK("#" &amp; ADDRESS(393, 'Additional Cartons-WUO_TRK'!A393),_xlfn.TEXTAFTER('Additional Cartons-WUO_ERR'!A393, ":"))))</f>
        <v/>
      </c>
    </row>
    <row r="394">
      <c r="A394" s="38">
        <f>IF('Additional Cartons'!B394 = "", "", IF('Additional Cartons-WUO_ERR'!A394 = "", "Validated", HYPERLINK("#" &amp; ADDRESS(394, 'Additional Cartons-WUO_TRK'!A394),_xlfn.TEXTAFTER('Additional Cartons-WUO_ERR'!A394, ":"))))</f>
        <v/>
      </c>
    </row>
    <row r="395">
      <c r="A395" s="38">
        <f>IF('Additional Cartons'!B395 = "", "", IF('Additional Cartons-WUO_ERR'!A395 = "", "Validated", HYPERLINK("#" &amp; ADDRESS(395, 'Additional Cartons-WUO_TRK'!A395),_xlfn.TEXTAFTER('Additional Cartons-WUO_ERR'!A395, ":"))))</f>
        <v/>
      </c>
    </row>
    <row r="396">
      <c r="A396" s="38">
        <f>IF('Additional Cartons'!B396 = "", "", IF('Additional Cartons-WUO_ERR'!A396 = "", "Validated", HYPERLINK("#" &amp; ADDRESS(396, 'Additional Cartons-WUO_TRK'!A396),_xlfn.TEXTAFTER('Additional Cartons-WUO_ERR'!A396, ":"))))</f>
        <v/>
      </c>
    </row>
    <row r="397">
      <c r="A397" s="38">
        <f>IF('Additional Cartons'!B397 = "", "", IF('Additional Cartons-WUO_ERR'!A397 = "", "Validated", HYPERLINK("#" &amp; ADDRESS(397, 'Additional Cartons-WUO_TRK'!A397),_xlfn.TEXTAFTER('Additional Cartons-WUO_ERR'!A397, ":"))))</f>
        <v/>
      </c>
    </row>
    <row r="398">
      <c r="A398" s="38">
        <f>IF('Additional Cartons'!B398 = "", "", IF('Additional Cartons-WUO_ERR'!A398 = "", "Validated", HYPERLINK("#" &amp; ADDRESS(398, 'Additional Cartons-WUO_TRK'!A398),_xlfn.TEXTAFTER('Additional Cartons-WUO_ERR'!A398, ":"))))</f>
        <v/>
      </c>
    </row>
    <row r="399">
      <c r="A399" s="38">
        <f>IF('Additional Cartons'!B399 = "", "", IF('Additional Cartons-WUO_ERR'!A399 = "", "Validated", HYPERLINK("#" &amp; ADDRESS(399, 'Additional Cartons-WUO_TRK'!A399),_xlfn.TEXTAFTER('Additional Cartons-WUO_ERR'!A399, ":"))))</f>
        <v/>
      </c>
    </row>
    <row r="400">
      <c r="A400" s="38">
        <f>IF('Additional Cartons'!B400 = "", "", IF('Additional Cartons-WUO_ERR'!A400 = "", "Validated", HYPERLINK("#" &amp; ADDRESS(400, 'Additional Cartons-WUO_TRK'!A400),_xlfn.TEXTAFTER('Additional Cartons-WUO_ERR'!A400, ":"))))</f>
        <v/>
      </c>
    </row>
    <row r="401">
      <c r="A401" s="38">
        <f>IF('Additional Cartons'!B401 = "", "", IF('Additional Cartons-WUO_ERR'!A401 = "", "Validated", HYPERLINK("#" &amp; ADDRESS(401, 'Additional Cartons-WUO_TRK'!A401),_xlfn.TEXTAFTER('Additional Cartons-WUO_ERR'!A401, ":"))))</f>
        <v/>
      </c>
    </row>
    <row r="402">
      <c r="A402" s="38">
        <f>IF('Additional Cartons'!B402 = "", "", IF('Additional Cartons-WUO_ERR'!A402 = "", "Validated", HYPERLINK("#" &amp; ADDRESS(402, 'Additional Cartons-WUO_TRK'!A402),_xlfn.TEXTAFTER('Additional Cartons-WUO_ERR'!A402, ":"))))</f>
        <v/>
      </c>
    </row>
    <row r="403">
      <c r="A403" s="38">
        <f>IF('Additional Cartons'!B403 = "", "", IF('Additional Cartons-WUO_ERR'!A403 = "", "Validated", HYPERLINK("#" &amp; ADDRESS(403, 'Additional Cartons-WUO_TRK'!A403),_xlfn.TEXTAFTER('Additional Cartons-WUO_ERR'!A403, ":"))))</f>
        <v/>
      </c>
    </row>
    <row r="404">
      <c r="A404" s="38">
        <f>IF('Additional Cartons'!B404 = "", "", IF('Additional Cartons-WUO_ERR'!A404 = "", "Validated", HYPERLINK("#" &amp; ADDRESS(404, 'Additional Cartons-WUO_TRK'!A404),_xlfn.TEXTAFTER('Additional Cartons-WUO_ERR'!A404, ":"))))</f>
        <v/>
      </c>
    </row>
    <row r="405">
      <c r="A405" s="38">
        <f>IF('Additional Cartons'!B405 = "", "", IF('Additional Cartons-WUO_ERR'!A405 = "", "Validated", HYPERLINK("#" &amp; ADDRESS(405, 'Additional Cartons-WUO_TRK'!A405),_xlfn.TEXTAFTER('Additional Cartons-WUO_ERR'!A405, ":"))))</f>
        <v/>
      </c>
    </row>
    <row r="406">
      <c r="A406" s="38">
        <f>IF('Additional Cartons'!B406 = "", "", IF('Additional Cartons-WUO_ERR'!A406 = "", "Validated", HYPERLINK("#" &amp; ADDRESS(406, 'Additional Cartons-WUO_TRK'!A406),_xlfn.TEXTAFTER('Additional Cartons-WUO_ERR'!A406, ":"))))</f>
        <v/>
      </c>
    </row>
    <row r="407">
      <c r="A407" s="38">
        <f>IF('Additional Cartons'!B407 = "", "", IF('Additional Cartons-WUO_ERR'!A407 = "", "Validated", HYPERLINK("#" &amp; ADDRESS(407, 'Additional Cartons-WUO_TRK'!A407),_xlfn.TEXTAFTER('Additional Cartons-WUO_ERR'!A407, ":"))))</f>
        <v/>
      </c>
    </row>
    <row r="408">
      <c r="A408" s="38">
        <f>IF('Additional Cartons'!B408 = "", "", IF('Additional Cartons-WUO_ERR'!A408 = "", "Validated", HYPERLINK("#" &amp; ADDRESS(408, 'Additional Cartons-WUO_TRK'!A408),_xlfn.TEXTAFTER('Additional Cartons-WUO_ERR'!A408, ":"))))</f>
        <v/>
      </c>
    </row>
    <row r="409">
      <c r="A409" s="38">
        <f>IF('Additional Cartons'!B409 = "", "", IF('Additional Cartons-WUO_ERR'!A409 = "", "Validated", HYPERLINK("#" &amp; ADDRESS(409, 'Additional Cartons-WUO_TRK'!A409),_xlfn.TEXTAFTER('Additional Cartons-WUO_ERR'!A409, ":"))))</f>
        <v/>
      </c>
    </row>
    <row r="410">
      <c r="A410" s="38">
        <f>IF('Additional Cartons'!B410 = "", "", IF('Additional Cartons-WUO_ERR'!A410 = "", "Validated", HYPERLINK("#" &amp; ADDRESS(410, 'Additional Cartons-WUO_TRK'!A410),_xlfn.TEXTAFTER('Additional Cartons-WUO_ERR'!A410, ":"))))</f>
        <v/>
      </c>
    </row>
    <row r="411">
      <c r="A411" s="38">
        <f>IF('Additional Cartons'!B411 = "", "", IF('Additional Cartons-WUO_ERR'!A411 = "", "Validated", HYPERLINK("#" &amp; ADDRESS(411, 'Additional Cartons-WUO_TRK'!A411),_xlfn.TEXTAFTER('Additional Cartons-WUO_ERR'!A411, ":"))))</f>
        <v/>
      </c>
    </row>
    <row r="412">
      <c r="A412" s="38">
        <f>IF('Additional Cartons'!B412 = "", "", IF('Additional Cartons-WUO_ERR'!A412 = "", "Validated", HYPERLINK("#" &amp; ADDRESS(412, 'Additional Cartons-WUO_TRK'!A412),_xlfn.TEXTAFTER('Additional Cartons-WUO_ERR'!A412, ":"))))</f>
        <v/>
      </c>
    </row>
    <row r="413">
      <c r="A413" s="38">
        <f>IF('Additional Cartons'!B413 = "", "", IF('Additional Cartons-WUO_ERR'!A413 = "", "Validated", HYPERLINK("#" &amp; ADDRESS(413, 'Additional Cartons-WUO_TRK'!A413),_xlfn.TEXTAFTER('Additional Cartons-WUO_ERR'!A413, ":"))))</f>
        <v/>
      </c>
    </row>
    <row r="414">
      <c r="A414" s="38">
        <f>IF('Additional Cartons'!B414 = "", "", IF('Additional Cartons-WUO_ERR'!A414 = "", "Validated", HYPERLINK("#" &amp; ADDRESS(414, 'Additional Cartons-WUO_TRK'!A414),_xlfn.TEXTAFTER('Additional Cartons-WUO_ERR'!A414, ":"))))</f>
        <v/>
      </c>
    </row>
    <row r="415">
      <c r="A415" s="38">
        <f>IF('Additional Cartons'!B415 = "", "", IF('Additional Cartons-WUO_ERR'!A415 = "", "Validated", HYPERLINK("#" &amp; ADDRESS(415, 'Additional Cartons-WUO_TRK'!A415),_xlfn.TEXTAFTER('Additional Cartons-WUO_ERR'!A415, ":"))))</f>
        <v/>
      </c>
    </row>
    <row r="416">
      <c r="A416" s="38">
        <f>IF('Additional Cartons'!B416 = "", "", IF('Additional Cartons-WUO_ERR'!A416 = "", "Validated", HYPERLINK("#" &amp; ADDRESS(416, 'Additional Cartons-WUO_TRK'!A416),_xlfn.TEXTAFTER('Additional Cartons-WUO_ERR'!A416, ":"))))</f>
        <v/>
      </c>
    </row>
    <row r="417">
      <c r="A417" s="38">
        <f>IF('Additional Cartons'!B417 = "", "", IF('Additional Cartons-WUO_ERR'!A417 = "", "Validated", HYPERLINK("#" &amp; ADDRESS(417, 'Additional Cartons-WUO_TRK'!A417),_xlfn.TEXTAFTER('Additional Cartons-WUO_ERR'!A417, ":"))))</f>
        <v/>
      </c>
    </row>
    <row r="418">
      <c r="A418" s="38">
        <f>IF('Additional Cartons'!B418 = "", "", IF('Additional Cartons-WUO_ERR'!A418 = "", "Validated", HYPERLINK("#" &amp; ADDRESS(418, 'Additional Cartons-WUO_TRK'!A418),_xlfn.TEXTAFTER('Additional Cartons-WUO_ERR'!A418, ":"))))</f>
        <v/>
      </c>
    </row>
    <row r="419">
      <c r="A419" s="38">
        <f>IF('Additional Cartons'!B419 = "", "", IF('Additional Cartons-WUO_ERR'!A419 = "", "Validated", HYPERLINK("#" &amp; ADDRESS(419, 'Additional Cartons-WUO_TRK'!A419),_xlfn.TEXTAFTER('Additional Cartons-WUO_ERR'!A419, ":"))))</f>
        <v/>
      </c>
    </row>
    <row r="420">
      <c r="A420" s="38">
        <f>IF('Additional Cartons'!B420 = "", "", IF('Additional Cartons-WUO_ERR'!A420 = "", "Validated", HYPERLINK("#" &amp; ADDRESS(420, 'Additional Cartons-WUO_TRK'!A420),_xlfn.TEXTAFTER('Additional Cartons-WUO_ERR'!A420, ":"))))</f>
        <v/>
      </c>
    </row>
    <row r="421">
      <c r="A421" s="38">
        <f>IF('Additional Cartons'!B421 = "", "", IF('Additional Cartons-WUO_ERR'!A421 = "", "Validated", HYPERLINK("#" &amp; ADDRESS(421, 'Additional Cartons-WUO_TRK'!A421),_xlfn.TEXTAFTER('Additional Cartons-WUO_ERR'!A421, ":"))))</f>
        <v/>
      </c>
    </row>
    <row r="422">
      <c r="A422" s="38">
        <f>IF('Additional Cartons'!B422 = "", "", IF('Additional Cartons-WUO_ERR'!A422 = "", "Validated", HYPERLINK("#" &amp; ADDRESS(422, 'Additional Cartons-WUO_TRK'!A422),_xlfn.TEXTAFTER('Additional Cartons-WUO_ERR'!A422, ":"))))</f>
        <v/>
      </c>
    </row>
    <row r="423">
      <c r="A423" s="38">
        <f>IF('Additional Cartons'!B423 = "", "", IF('Additional Cartons-WUO_ERR'!A423 = "", "Validated", HYPERLINK("#" &amp; ADDRESS(423, 'Additional Cartons-WUO_TRK'!A423),_xlfn.TEXTAFTER('Additional Cartons-WUO_ERR'!A423, ":"))))</f>
        <v/>
      </c>
    </row>
    <row r="424">
      <c r="A424" s="38">
        <f>IF('Additional Cartons'!B424 = "", "", IF('Additional Cartons-WUO_ERR'!A424 = "", "Validated", HYPERLINK("#" &amp; ADDRESS(424, 'Additional Cartons-WUO_TRK'!A424),_xlfn.TEXTAFTER('Additional Cartons-WUO_ERR'!A424, ":"))))</f>
        <v/>
      </c>
    </row>
    <row r="425">
      <c r="A425" s="38">
        <f>IF('Additional Cartons'!B425 = "", "", IF('Additional Cartons-WUO_ERR'!A425 = "", "Validated", HYPERLINK("#" &amp; ADDRESS(425, 'Additional Cartons-WUO_TRK'!A425),_xlfn.TEXTAFTER('Additional Cartons-WUO_ERR'!A425, ":"))))</f>
        <v/>
      </c>
    </row>
    <row r="426">
      <c r="A426" s="38">
        <f>IF('Additional Cartons'!B426 = "", "", IF('Additional Cartons-WUO_ERR'!A426 = "", "Validated", HYPERLINK("#" &amp; ADDRESS(426, 'Additional Cartons-WUO_TRK'!A426),_xlfn.TEXTAFTER('Additional Cartons-WUO_ERR'!A426, ":"))))</f>
        <v/>
      </c>
    </row>
    <row r="427">
      <c r="A427" s="38">
        <f>IF('Additional Cartons'!B427 = "", "", IF('Additional Cartons-WUO_ERR'!A427 = "", "Validated", HYPERLINK("#" &amp; ADDRESS(427, 'Additional Cartons-WUO_TRK'!A427),_xlfn.TEXTAFTER('Additional Cartons-WUO_ERR'!A427, ":"))))</f>
        <v/>
      </c>
    </row>
    <row r="428">
      <c r="A428" s="38">
        <f>IF('Additional Cartons'!B428 = "", "", IF('Additional Cartons-WUO_ERR'!A428 = "", "Validated", HYPERLINK("#" &amp; ADDRESS(428, 'Additional Cartons-WUO_TRK'!A428),_xlfn.TEXTAFTER('Additional Cartons-WUO_ERR'!A428, ":"))))</f>
        <v/>
      </c>
    </row>
    <row r="429">
      <c r="A429" s="38">
        <f>IF('Additional Cartons'!B429 = "", "", IF('Additional Cartons-WUO_ERR'!A429 = "", "Validated", HYPERLINK("#" &amp; ADDRESS(429, 'Additional Cartons-WUO_TRK'!A429),_xlfn.TEXTAFTER('Additional Cartons-WUO_ERR'!A429, ":"))))</f>
        <v/>
      </c>
    </row>
    <row r="430">
      <c r="A430" s="38">
        <f>IF('Additional Cartons'!B430 = "", "", IF('Additional Cartons-WUO_ERR'!A430 = "", "Validated", HYPERLINK("#" &amp; ADDRESS(430, 'Additional Cartons-WUO_TRK'!A430),_xlfn.TEXTAFTER('Additional Cartons-WUO_ERR'!A430, ":"))))</f>
        <v/>
      </c>
    </row>
    <row r="431">
      <c r="A431" s="38">
        <f>IF('Additional Cartons'!B431 = "", "", IF('Additional Cartons-WUO_ERR'!A431 = "", "Validated", HYPERLINK("#" &amp; ADDRESS(431, 'Additional Cartons-WUO_TRK'!A431),_xlfn.TEXTAFTER('Additional Cartons-WUO_ERR'!A431, ":"))))</f>
        <v/>
      </c>
    </row>
    <row r="432">
      <c r="A432" s="38">
        <f>IF('Additional Cartons'!B432 = "", "", IF('Additional Cartons-WUO_ERR'!A432 = "", "Validated", HYPERLINK("#" &amp; ADDRESS(432, 'Additional Cartons-WUO_TRK'!A432),_xlfn.TEXTAFTER('Additional Cartons-WUO_ERR'!A432, ":"))))</f>
        <v/>
      </c>
    </row>
    <row r="433">
      <c r="A433" s="38">
        <f>IF('Additional Cartons'!B433 = "", "", IF('Additional Cartons-WUO_ERR'!A433 = "", "Validated", HYPERLINK("#" &amp; ADDRESS(433, 'Additional Cartons-WUO_TRK'!A433),_xlfn.TEXTAFTER('Additional Cartons-WUO_ERR'!A433, ":"))))</f>
        <v/>
      </c>
    </row>
    <row r="434">
      <c r="A434" s="38">
        <f>IF('Additional Cartons'!B434 = "", "", IF('Additional Cartons-WUO_ERR'!A434 = "", "Validated", HYPERLINK("#" &amp; ADDRESS(434, 'Additional Cartons-WUO_TRK'!A434),_xlfn.TEXTAFTER('Additional Cartons-WUO_ERR'!A434, ":"))))</f>
        <v/>
      </c>
    </row>
    <row r="435">
      <c r="A435" s="38">
        <f>IF('Additional Cartons'!B435 = "", "", IF('Additional Cartons-WUO_ERR'!A435 = "", "Validated", HYPERLINK("#" &amp; ADDRESS(435, 'Additional Cartons-WUO_TRK'!A435),_xlfn.TEXTAFTER('Additional Cartons-WUO_ERR'!A435, ":"))))</f>
        <v/>
      </c>
    </row>
    <row r="436">
      <c r="A436" s="38">
        <f>IF('Additional Cartons'!B436 = "", "", IF('Additional Cartons-WUO_ERR'!A436 = "", "Validated", HYPERLINK("#" &amp; ADDRESS(436, 'Additional Cartons-WUO_TRK'!A436),_xlfn.TEXTAFTER('Additional Cartons-WUO_ERR'!A436, ":"))))</f>
        <v/>
      </c>
    </row>
    <row r="437">
      <c r="A437" s="38">
        <f>IF('Additional Cartons'!B437 = "", "", IF('Additional Cartons-WUO_ERR'!A437 = "", "Validated", HYPERLINK("#" &amp; ADDRESS(437, 'Additional Cartons-WUO_TRK'!A437),_xlfn.TEXTAFTER('Additional Cartons-WUO_ERR'!A437, ":"))))</f>
        <v/>
      </c>
    </row>
    <row r="438">
      <c r="A438" s="38">
        <f>IF('Additional Cartons'!B438 = "", "", IF('Additional Cartons-WUO_ERR'!A438 = "", "Validated", HYPERLINK("#" &amp; ADDRESS(438, 'Additional Cartons-WUO_TRK'!A438),_xlfn.TEXTAFTER('Additional Cartons-WUO_ERR'!A438, ":"))))</f>
        <v/>
      </c>
    </row>
    <row r="439">
      <c r="A439" s="38">
        <f>IF('Additional Cartons'!B439 = "", "", IF('Additional Cartons-WUO_ERR'!A439 = "", "Validated", HYPERLINK("#" &amp; ADDRESS(439, 'Additional Cartons-WUO_TRK'!A439),_xlfn.TEXTAFTER('Additional Cartons-WUO_ERR'!A439, ":"))))</f>
        <v/>
      </c>
    </row>
    <row r="440">
      <c r="A440" s="38">
        <f>IF('Additional Cartons'!B440 = "", "", IF('Additional Cartons-WUO_ERR'!A440 = "", "Validated", HYPERLINK("#" &amp; ADDRESS(440, 'Additional Cartons-WUO_TRK'!A440),_xlfn.TEXTAFTER('Additional Cartons-WUO_ERR'!A440, ":"))))</f>
        <v/>
      </c>
    </row>
    <row r="441">
      <c r="A441" s="38">
        <f>IF('Additional Cartons'!B441 = "", "", IF('Additional Cartons-WUO_ERR'!A441 = "", "Validated", HYPERLINK("#" &amp; ADDRESS(441, 'Additional Cartons-WUO_TRK'!A441),_xlfn.TEXTAFTER('Additional Cartons-WUO_ERR'!A441, ":"))))</f>
        <v/>
      </c>
    </row>
    <row r="442">
      <c r="A442" s="38">
        <f>IF('Additional Cartons'!B442 = "", "", IF('Additional Cartons-WUO_ERR'!A442 = "", "Validated", HYPERLINK("#" &amp; ADDRESS(442, 'Additional Cartons-WUO_TRK'!A442),_xlfn.TEXTAFTER('Additional Cartons-WUO_ERR'!A442, ":"))))</f>
        <v/>
      </c>
    </row>
    <row r="443">
      <c r="A443" s="38">
        <f>IF('Additional Cartons'!B443 = "", "", IF('Additional Cartons-WUO_ERR'!A443 = "", "Validated", HYPERLINK("#" &amp; ADDRESS(443, 'Additional Cartons-WUO_TRK'!A443),_xlfn.TEXTAFTER('Additional Cartons-WUO_ERR'!A443, ":"))))</f>
        <v/>
      </c>
    </row>
    <row r="444">
      <c r="A444" s="38">
        <f>IF('Additional Cartons'!B444 = "", "", IF('Additional Cartons-WUO_ERR'!A444 = "", "Validated", HYPERLINK("#" &amp; ADDRESS(444, 'Additional Cartons-WUO_TRK'!A444),_xlfn.TEXTAFTER('Additional Cartons-WUO_ERR'!A444, ":"))))</f>
        <v/>
      </c>
    </row>
    <row r="445">
      <c r="A445" s="38">
        <f>IF('Additional Cartons'!B445 = "", "", IF('Additional Cartons-WUO_ERR'!A445 = "", "Validated", HYPERLINK("#" &amp; ADDRESS(445, 'Additional Cartons-WUO_TRK'!A445),_xlfn.TEXTAFTER('Additional Cartons-WUO_ERR'!A445, ":"))))</f>
        <v/>
      </c>
    </row>
    <row r="446">
      <c r="A446" s="38">
        <f>IF('Additional Cartons'!B446 = "", "", IF('Additional Cartons-WUO_ERR'!A446 = "", "Validated", HYPERLINK("#" &amp; ADDRESS(446, 'Additional Cartons-WUO_TRK'!A446),_xlfn.TEXTAFTER('Additional Cartons-WUO_ERR'!A446, ":"))))</f>
        <v/>
      </c>
    </row>
    <row r="447">
      <c r="A447" s="38">
        <f>IF('Additional Cartons'!B447 = "", "", IF('Additional Cartons-WUO_ERR'!A447 = "", "Validated", HYPERLINK("#" &amp; ADDRESS(447, 'Additional Cartons-WUO_TRK'!A447),_xlfn.TEXTAFTER('Additional Cartons-WUO_ERR'!A447, ":"))))</f>
        <v/>
      </c>
    </row>
    <row r="448">
      <c r="A448" s="38">
        <f>IF('Additional Cartons'!B448 = "", "", IF('Additional Cartons-WUO_ERR'!A448 = "", "Validated", HYPERLINK("#" &amp; ADDRESS(448, 'Additional Cartons-WUO_TRK'!A448),_xlfn.TEXTAFTER('Additional Cartons-WUO_ERR'!A448, ":"))))</f>
        <v/>
      </c>
    </row>
    <row r="449">
      <c r="A449" s="38">
        <f>IF('Additional Cartons'!B449 = "", "", IF('Additional Cartons-WUO_ERR'!A449 = "", "Validated", HYPERLINK("#" &amp; ADDRESS(449, 'Additional Cartons-WUO_TRK'!A449),_xlfn.TEXTAFTER('Additional Cartons-WUO_ERR'!A449, ":"))))</f>
        <v/>
      </c>
    </row>
    <row r="450">
      <c r="A450" s="38">
        <f>IF('Additional Cartons'!B450 = "", "", IF('Additional Cartons-WUO_ERR'!A450 = "", "Validated", HYPERLINK("#" &amp; ADDRESS(450, 'Additional Cartons-WUO_TRK'!A450),_xlfn.TEXTAFTER('Additional Cartons-WUO_ERR'!A450, ":"))))</f>
        <v/>
      </c>
    </row>
    <row r="451">
      <c r="A451" s="38">
        <f>IF('Additional Cartons'!B451 = "", "", IF('Additional Cartons-WUO_ERR'!A451 = "", "Validated", HYPERLINK("#" &amp; ADDRESS(451, 'Additional Cartons-WUO_TRK'!A451),_xlfn.TEXTAFTER('Additional Cartons-WUO_ERR'!A451, ":"))))</f>
        <v/>
      </c>
    </row>
    <row r="452">
      <c r="A452" s="38">
        <f>IF('Additional Cartons'!B452 = "", "", IF('Additional Cartons-WUO_ERR'!A452 = "", "Validated", HYPERLINK("#" &amp; ADDRESS(452, 'Additional Cartons-WUO_TRK'!A452),_xlfn.TEXTAFTER('Additional Cartons-WUO_ERR'!A452, ":"))))</f>
        <v/>
      </c>
    </row>
    <row r="453">
      <c r="A453" s="38">
        <f>IF('Additional Cartons'!B453 = "", "", IF('Additional Cartons-WUO_ERR'!A453 = "", "Validated", HYPERLINK("#" &amp; ADDRESS(453, 'Additional Cartons-WUO_TRK'!A453),_xlfn.TEXTAFTER('Additional Cartons-WUO_ERR'!A453, ":"))))</f>
        <v/>
      </c>
    </row>
    <row r="454">
      <c r="A454" s="38">
        <f>IF('Additional Cartons'!B454 = "", "", IF('Additional Cartons-WUO_ERR'!A454 = "", "Validated", HYPERLINK("#" &amp; ADDRESS(454, 'Additional Cartons-WUO_TRK'!A454),_xlfn.TEXTAFTER('Additional Cartons-WUO_ERR'!A454, ":"))))</f>
        <v/>
      </c>
    </row>
    <row r="455">
      <c r="A455" s="38">
        <f>IF('Additional Cartons'!B455 = "", "", IF('Additional Cartons-WUO_ERR'!A455 = "", "Validated", HYPERLINK("#" &amp; ADDRESS(455, 'Additional Cartons-WUO_TRK'!A455),_xlfn.TEXTAFTER('Additional Cartons-WUO_ERR'!A455, ":"))))</f>
        <v/>
      </c>
    </row>
    <row r="456">
      <c r="A456" s="38">
        <f>IF('Additional Cartons'!B456 = "", "", IF('Additional Cartons-WUO_ERR'!A456 = "", "Validated", HYPERLINK("#" &amp; ADDRESS(456, 'Additional Cartons-WUO_TRK'!A456),_xlfn.TEXTAFTER('Additional Cartons-WUO_ERR'!A456, ":"))))</f>
        <v/>
      </c>
    </row>
    <row r="457">
      <c r="A457" s="38">
        <f>IF('Additional Cartons'!B457 = "", "", IF('Additional Cartons-WUO_ERR'!A457 = "", "Validated", HYPERLINK("#" &amp; ADDRESS(457, 'Additional Cartons-WUO_TRK'!A457),_xlfn.TEXTAFTER('Additional Cartons-WUO_ERR'!A457, ":"))))</f>
        <v/>
      </c>
    </row>
    <row r="458">
      <c r="A458" s="38">
        <f>IF('Additional Cartons'!B458 = "", "", IF('Additional Cartons-WUO_ERR'!A458 = "", "Validated", HYPERLINK("#" &amp; ADDRESS(458, 'Additional Cartons-WUO_TRK'!A458),_xlfn.TEXTAFTER('Additional Cartons-WUO_ERR'!A458, ":"))))</f>
        <v/>
      </c>
    </row>
    <row r="459">
      <c r="A459" s="38">
        <f>IF('Additional Cartons'!B459 = "", "", IF('Additional Cartons-WUO_ERR'!A459 = "", "Validated", HYPERLINK("#" &amp; ADDRESS(459, 'Additional Cartons-WUO_TRK'!A459),_xlfn.TEXTAFTER('Additional Cartons-WUO_ERR'!A459, ":"))))</f>
        <v/>
      </c>
    </row>
    <row r="460">
      <c r="A460" s="38">
        <f>IF('Additional Cartons'!B460 = "", "", IF('Additional Cartons-WUO_ERR'!A460 = "", "Validated", HYPERLINK("#" &amp; ADDRESS(460, 'Additional Cartons-WUO_TRK'!A460),_xlfn.TEXTAFTER('Additional Cartons-WUO_ERR'!A460, ":"))))</f>
        <v/>
      </c>
    </row>
    <row r="461">
      <c r="A461" s="38">
        <f>IF('Additional Cartons'!B461 = "", "", IF('Additional Cartons-WUO_ERR'!A461 = "", "Validated", HYPERLINK("#" &amp; ADDRESS(461, 'Additional Cartons-WUO_TRK'!A461),_xlfn.TEXTAFTER('Additional Cartons-WUO_ERR'!A461, ":"))))</f>
        <v/>
      </c>
    </row>
    <row r="462">
      <c r="A462" s="38">
        <f>IF('Additional Cartons'!B462 = "", "", IF('Additional Cartons-WUO_ERR'!A462 = "", "Validated", HYPERLINK("#" &amp; ADDRESS(462, 'Additional Cartons-WUO_TRK'!A462),_xlfn.TEXTAFTER('Additional Cartons-WUO_ERR'!A462, ":"))))</f>
        <v/>
      </c>
    </row>
    <row r="463">
      <c r="A463" s="38">
        <f>IF('Additional Cartons'!B463 = "", "", IF('Additional Cartons-WUO_ERR'!A463 = "", "Validated", HYPERLINK("#" &amp; ADDRESS(463, 'Additional Cartons-WUO_TRK'!A463),_xlfn.TEXTAFTER('Additional Cartons-WUO_ERR'!A463, ":"))))</f>
        <v/>
      </c>
    </row>
    <row r="464">
      <c r="A464" s="38">
        <f>IF('Additional Cartons'!B464 = "", "", IF('Additional Cartons-WUO_ERR'!A464 = "", "Validated", HYPERLINK("#" &amp; ADDRESS(464, 'Additional Cartons-WUO_TRK'!A464),_xlfn.TEXTAFTER('Additional Cartons-WUO_ERR'!A464, ":"))))</f>
        <v/>
      </c>
    </row>
    <row r="465">
      <c r="A465" s="38">
        <f>IF('Additional Cartons'!B465 = "", "", IF('Additional Cartons-WUO_ERR'!A465 = "", "Validated", HYPERLINK("#" &amp; ADDRESS(465, 'Additional Cartons-WUO_TRK'!A465),_xlfn.TEXTAFTER('Additional Cartons-WUO_ERR'!A465, ":"))))</f>
        <v/>
      </c>
    </row>
    <row r="466">
      <c r="A466" s="38">
        <f>IF('Additional Cartons'!B466 = "", "", IF('Additional Cartons-WUO_ERR'!A466 = "", "Validated", HYPERLINK("#" &amp; ADDRESS(466, 'Additional Cartons-WUO_TRK'!A466),_xlfn.TEXTAFTER('Additional Cartons-WUO_ERR'!A466, ":"))))</f>
        <v/>
      </c>
    </row>
    <row r="467">
      <c r="A467" s="38">
        <f>IF('Additional Cartons'!B467 = "", "", IF('Additional Cartons-WUO_ERR'!A467 = "", "Validated", HYPERLINK("#" &amp; ADDRESS(467, 'Additional Cartons-WUO_TRK'!A467),_xlfn.TEXTAFTER('Additional Cartons-WUO_ERR'!A467, ":"))))</f>
        <v/>
      </c>
    </row>
    <row r="468">
      <c r="A468" s="38">
        <f>IF('Additional Cartons'!B468 = "", "", IF('Additional Cartons-WUO_ERR'!A468 = "", "Validated", HYPERLINK("#" &amp; ADDRESS(468, 'Additional Cartons-WUO_TRK'!A468),_xlfn.TEXTAFTER('Additional Cartons-WUO_ERR'!A468, ":"))))</f>
        <v/>
      </c>
    </row>
    <row r="469">
      <c r="A469" s="38">
        <f>IF('Additional Cartons'!B469 = "", "", IF('Additional Cartons-WUO_ERR'!A469 = "", "Validated", HYPERLINK("#" &amp; ADDRESS(469, 'Additional Cartons-WUO_TRK'!A469),_xlfn.TEXTAFTER('Additional Cartons-WUO_ERR'!A469, ":"))))</f>
        <v/>
      </c>
    </row>
    <row r="470">
      <c r="A470" s="38">
        <f>IF('Additional Cartons'!B470 = "", "", IF('Additional Cartons-WUO_ERR'!A470 = "", "Validated", HYPERLINK("#" &amp; ADDRESS(470, 'Additional Cartons-WUO_TRK'!A470),_xlfn.TEXTAFTER('Additional Cartons-WUO_ERR'!A470, ":"))))</f>
        <v/>
      </c>
    </row>
    <row r="471">
      <c r="A471" s="38">
        <f>IF('Additional Cartons'!B471 = "", "", IF('Additional Cartons-WUO_ERR'!A471 = "", "Validated", HYPERLINK("#" &amp; ADDRESS(471, 'Additional Cartons-WUO_TRK'!A471),_xlfn.TEXTAFTER('Additional Cartons-WUO_ERR'!A471, ":"))))</f>
        <v/>
      </c>
    </row>
    <row r="472">
      <c r="A472" s="38">
        <f>IF('Additional Cartons'!B472 = "", "", IF('Additional Cartons-WUO_ERR'!A472 = "", "Validated", HYPERLINK("#" &amp; ADDRESS(472, 'Additional Cartons-WUO_TRK'!A472),_xlfn.TEXTAFTER('Additional Cartons-WUO_ERR'!A472, ":"))))</f>
        <v/>
      </c>
    </row>
    <row r="473">
      <c r="A473" s="38">
        <f>IF('Additional Cartons'!B473 = "", "", IF('Additional Cartons-WUO_ERR'!A473 = "", "Validated", HYPERLINK("#" &amp; ADDRESS(473, 'Additional Cartons-WUO_TRK'!A473),_xlfn.TEXTAFTER('Additional Cartons-WUO_ERR'!A473, ":"))))</f>
        <v/>
      </c>
    </row>
    <row r="474">
      <c r="A474" s="38">
        <f>IF('Additional Cartons'!B474 = "", "", IF('Additional Cartons-WUO_ERR'!A474 = "", "Validated", HYPERLINK("#" &amp; ADDRESS(474, 'Additional Cartons-WUO_TRK'!A474),_xlfn.TEXTAFTER('Additional Cartons-WUO_ERR'!A474, ":"))))</f>
        <v/>
      </c>
    </row>
    <row r="475">
      <c r="A475" s="38">
        <f>IF('Additional Cartons'!B475 = "", "", IF('Additional Cartons-WUO_ERR'!A475 = "", "Validated", HYPERLINK("#" &amp; ADDRESS(475, 'Additional Cartons-WUO_TRK'!A475),_xlfn.TEXTAFTER('Additional Cartons-WUO_ERR'!A475, ":"))))</f>
        <v/>
      </c>
    </row>
    <row r="476">
      <c r="A476" s="38">
        <f>IF('Additional Cartons'!B476 = "", "", IF('Additional Cartons-WUO_ERR'!A476 = "", "Validated", HYPERLINK("#" &amp; ADDRESS(476, 'Additional Cartons-WUO_TRK'!A476),_xlfn.TEXTAFTER('Additional Cartons-WUO_ERR'!A476, ":"))))</f>
        <v/>
      </c>
    </row>
    <row r="477">
      <c r="A477" s="38">
        <f>IF('Additional Cartons'!B477 = "", "", IF('Additional Cartons-WUO_ERR'!A477 = "", "Validated", HYPERLINK("#" &amp; ADDRESS(477, 'Additional Cartons-WUO_TRK'!A477),_xlfn.TEXTAFTER('Additional Cartons-WUO_ERR'!A477, ":"))))</f>
        <v/>
      </c>
    </row>
    <row r="478">
      <c r="A478" s="38">
        <f>IF('Additional Cartons'!B478 = "", "", IF('Additional Cartons-WUO_ERR'!A478 = "", "Validated", HYPERLINK("#" &amp; ADDRESS(478, 'Additional Cartons-WUO_TRK'!A478),_xlfn.TEXTAFTER('Additional Cartons-WUO_ERR'!A478, ":"))))</f>
        <v/>
      </c>
    </row>
    <row r="479">
      <c r="A479" s="38">
        <f>IF('Additional Cartons'!B479 = "", "", IF('Additional Cartons-WUO_ERR'!A479 = "", "Validated", HYPERLINK("#" &amp; ADDRESS(479, 'Additional Cartons-WUO_TRK'!A479),_xlfn.TEXTAFTER('Additional Cartons-WUO_ERR'!A479, ":"))))</f>
        <v/>
      </c>
    </row>
    <row r="480">
      <c r="A480" s="38">
        <f>IF('Additional Cartons'!B480 = "", "", IF('Additional Cartons-WUO_ERR'!A480 = "", "Validated", HYPERLINK("#" &amp; ADDRESS(480, 'Additional Cartons-WUO_TRK'!A480),_xlfn.TEXTAFTER('Additional Cartons-WUO_ERR'!A480, ":"))))</f>
        <v/>
      </c>
    </row>
    <row r="481">
      <c r="A481" s="38">
        <f>IF('Additional Cartons'!B481 = "", "", IF('Additional Cartons-WUO_ERR'!A481 = "", "Validated", HYPERLINK("#" &amp; ADDRESS(481, 'Additional Cartons-WUO_TRK'!A481),_xlfn.TEXTAFTER('Additional Cartons-WUO_ERR'!A481, ":"))))</f>
        <v/>
      </c>
    </row>
    <row r="482">
      <c r="A482" s="38">
        <f>IF('Additional Cartons'!B482 = "", "", IF('Additional Cartons-WUO_ERR'!A482 = "", "Validated", HYPERLINK("#" &amp; ADDRESS(482, 'Additional Cartons-WUO_TRK'!A482),_xlfn.TEXTAFTER('Additional Cartons-WUO_ERR'!A482, ":"))))</f>
        <v/>
      </c>
    </row>
    <row r="483">
      <c r="A483" s="38">
        <f>IF('Additional Cartons'!B483 = "", "", IF('Additional Cartons-WUO_ERR'!A483 = "", "Validated", HYPERLINK("#" &amp; ADDRESS(483, 'Additional Cartons-WUO_TRK'!A483),_xlfn.TEXTAFTER('Additional Cartons-WUO_ERR'!A483, ":"))))</f>
        <v/>
      </c>
    </row>
    <row r="484">
      <c r="A484" s="38">
        <f>IF('Additional Cartons'!B484 = "", "", IF('Additional Cartons-WUO_ERR'!A484 = "", "Validated", HYPERLINK("#" &amp; ADDRESS(484, 'Additional Cartons-WUO_TRK'!A484),_xlfn.TEXTAFTER('Additional Cartons-WUO_ERR'!A484, ":"))))</f>
        <v/>
      </c>
    </row>
    <row r="485">
      <c r="A485" s="38">
        <f>IF('Additional Cartons'!B485 = "", "", IF('Additional Cartons-WUO_ERR'!A485 = "", "Validated", HYPERLINK("#" &amp; ADDRESS(485, 'Additional Cartons-WUO_TRK'!A485),_xlfn.TEXTAFTER('Additional Cartons-WUO_ERR'!A485, ":"))))</f>
        <v/>
      </c>
    </row>
    <row r="486">
      <c r="A486" s="38">
        <f>IF('Additional Cartons'!B486 = "", "", IF('Additional Cartons-WUO_ERR'!A486 = "", "Validated", HYPERLINK("#" &amp; ADDRESS(486, 'Additional Cartons-WUO_TRK'!A486),_xlfn.TEXTAFTER('Additional Cartons-WUO_ERR'!A486, ":"))))</f>
        <v/>
      </c>
    </row>
    <row r="487">
      <c r="A487" s="38">
        <f>IF('Additional Cartons'!B487 = "", "", IF('Additional Cartons-WUO_ERR'!A487 = "", "Validated", HYPERLINK("#" &amp; ADDRESS(487, 'Additional Cartons-WUO_TRK'!A487),_xlfn.TEXTAFTER('Additional Cartons-WUO_ERR'!A487, ":"))))</f>
        <v/>
      </c>
    </row>
    <row r="488">
      <c r="A488" s="38">
        <f>IF('Additional Cartons'!B488 = "", "", IF('Additional Cartons-WUO_ERR'!A488 = "", "Validated", HYPERLINK("#" &amp; ADDRESS(488, 'Additional Cartons-WUO_TRK'!A488),_xlfn.TEXTAFTER('Additional Cartons-WUO_ERR'!A488, ":"))))</f>
        <v/>
      </c>
    </row>
    <row r="489">
      <c r="A489" s="38">
        <f>IF('Additional Cartons'!B489 = "", "", IF('Additional Cartons-WUO_ERR'!A489 = "", "Validated", HYPERLINK("#" &amp; ADDRESS(489, 'Additional Cartons-WUO_TRK'!A489),_xlfn.TEXTAFTER('Additional Cartons-WUO_ERR'!A489, ":"))))</f>
        <v/>
      </c>
    </row>
    <row r="490">
      <c r="A490" s="38">
        <f>IF('Additional Cartons'!B490 = "", "", IF('Additional Cartons-WUO_ERR'!A490 = "", "Validated", HYPERLINK("#" &amp; ADDRESS(490, 'Additional Cartons-WUO_TRK'!A490),_xlfn.TEXTAFTER('Additional Cartons-WUO_ERR'!A490, ":"))))</f>
        <v/>
      </c>
    </row>
    <row r="491">
      <c r="A491" s="38">
        <f>IF('Additional Cartons'!B491 = "", "", IF('Additional Cartons-WUO_ERR'!A491 = "", "Validated", HYPERLINK("#" &amp; ADDRESS(491, 'Additional Cartons-WUO_TRK'!A491),_xlfn.TEXTAFTER('Additional Cartons-WUO_ERR'!A491, ":"))))</f>
        <v/>
      </c>
    </row>
    <row r="492">
      <c r="A492" s="38">
        <f>IF('Additional Cartons'!B492 = "", "", IF('Additional Cartons-WUO_ERR'!A492 = "", "Validated", HYPERLINK("#" &amp; ADDRESS(492, 'Additional Cartons-WUO_TRK'!A492),_xlfn.TEXTAFTER('Additional Cartons-WUO_ERR'!A492, ":"))))</f>
        <v/>
      </c>
    </row>
    <row r="493">
      <c r="A493" s="38">
        <f>IF('Additional Cartons'!B493 = "", "", IF('Additional Cartons-WUO_ERR'!A493 = "", "Validated", HYPERLINK("#" &amp; ADDRESS(493, 'Additional Cartons-WUO_TRK'!A493),_xlfn.TEXTAFTER('Additional Cartons-WUO_ERR'!A493, ":"))))</f>
        <v/>
      </c>
    </row>
    <row r="494">
      <c r="A494" s="38">
        <f>IF('Additional Cartons'!B494 = "", "", IF('Additional Cartons-WUO_ERR'!A494 = "", "Validated", HYPERLINK("#" &amp; ADDRESS(494, 'Additional Cartons-WUO_TRK'!A494),_xlfn.TEXTAFTER('Additional Cartons-WUO_ERR'!A494, ":"))))</f>
        <v/>
      </c>
    </row>
    <row r="495">
      <c r="A495" s="38">
        <f>IF('Additional Cartons'!B495 = "", "", IF('Additional Cartons-WUO_ERR'!A495 = "", "Validated", HYPERLINK("#" &amp; ADDRESS(495, 'Additional Cartons-WUO_TRK'!A495),_xlfn.TEXTAFTER('Additional Cartons-WUO_ERR'!A495, ":"))))</f>
        <v/>
      </c>
    </row>
    <row r="496">
      <c r="A496" s="38">
        <f>IF('Additional Cartons'!B496 = "", "", IF('Additional Cartons-WUO_ERR'!A496 = "", "Validated", HYPERLINK("#" &amp; ADDRESS(496, 'Additional Cartons-WUO_TRK'!A496),_xlfn.TEXTAFTER('Additional Cartons-WUO_ERR'!A496, ":"))))</f>
        <v/>
      </c>
    </row>
    <row r="497">
      <c r="A497" s="38">
        <f>IF('Additional Cartons'!B497 = "", "", IF('Additional Cartons-WUO_ERR'!A497 = "", "Validated", HYPERLINK("#" &amp; ADDRESS(497, 'Additional Cartons-WUO_TRK'!A497),_xlfn.TEXTAFTER('Additional Cartons-WUO_ERR'!A497, ":"))))</f>
        <v/>
      </c>
    </row>
    <row r="498">
      <c r="A498" s="38">
        <f>IF('Additional Cartons'!B498 = "", "", IF('Additional Cartons-WUO_ERR'!A498 = "", "Validated", HYPERLINK("#" &amp; ADDRESS(498, 'Additional Cartons-WUO_TRK'!A498),_xlfn.TEXTAFTER('Additional Cartons-WUO_ERR'!A498, ":"))))</f>
        <v/>
      </c>
    </row>
    <row r="499">
      <c r="A499" s="38">
        <f>IF('Additional Cartons'!B499 = "", "", IF('Additional Cartons-WUO_ERR'!A499 = "", "Validated", HYPERLINK("#" &amp; ADDRESS(499, 'Additional Cartons-WUO_TRK'!A499),_xlfn.TEXTAFTER('Additional Cartons-WUO_ERR'!A499, ":"))))</f>
        <v/>
      </c>
    </row>
    <row r="500">
      <c r="A500" s="38">
        <f>IF('Additional Cartons'!B500 = "", "", IF('Additional Cartons-WUO_ERR'!A500 = "", "Validated", HYPERLINK("#" &amp; ADDRESS(500, 'Additional Cartons-WUO_TRK'!A500),_xlfn.TEXTAFTER('Additional Cartons-WUO_ERR'!A500, ":"))))</f>
        <v/>
      </c>
    </row>
    <row r="501">
      <c r="A501" s="38">
        <f>IF('Additional Cartons'!B501 = "", "", IF('Additional Cartons-WUO_ERR'!A501 = "", "Validated", HYPERLINK("#" &amp; ADDRESS(501, 'Additional Cartons-WUO_TRK'!A501),_xlfn.TEXTAFTER('Additional Cartons-WUO_ERR'!A501, ":"))))</f>
        <v/>
      </c>
    </row>
    <row r="502">
      <c r="A502" s="38">
        <f>IF('Additional Cartons'!B502 = "", "", IF('Additional Cartons-WUO_ERR'!A502 = "", "Validated", HYPERLINK("#" &amp; ADDRESS(502, 'Additional Cartons-WUO_TRK'!A502),_xlfn.TEXTAFTER('Additional Cartons-WUO_ERR'!A502, ":"))))</f>
        <v/>
      </c>
    </row>
    <row r="503">
      <c r="A503" s="38">
        <f>IF('Additional Cartons'!B503 = "", "", IF('Additional Cartons-WUO_ERR'!A503 = "", "Validated", HYPERLINK("#" &amp; ADDRESS(503, 'Additional Cartons-WUO_TRK'!A503),_xlfn.TEXTAFTER('Additional Cartons-WUO_ERR'!A503, ":"))))</f>
        <v/>
      </c>
    </row>
    <row r="504">
      <c r="A504" s="38">
        <f>IF('Additional Cartons'!B504 = "", "", IF('Additional Cartons-WUO_ERR'!A504 = "", "Validated", HYPERLINK("#" &amp; ADDRESS(504, 'Additional Cartons-WUO_TRK'!A504),_xlfn.TEXTAFTER('Additional Cartons-WUO_ERR'!A504, ":"))))</f>
        <v/>
      </c>
    </row>
    <row r="505">
      <c r="A505" s="38">
        <f>IF('Additional Cartons'!B505 = "", "", IF('Additional Cartons-WUO_ERR'!A505 = "", "Validated", HYPERLINK("#" &amp; ADDRESS(505, 'Additional Cartons-WUO_TRK'!A505),_xlfn.TEXTAFTER('Additional Cartons-WUO_ERR'!A505, ":"))))</f>
        <v/>
      </c>
    </row>
    <row r="506">
      <c r="A506" s="38">
        <f>IF('Additional Cartons'!B506 = "", "", IF('Additional Cartons-WUO_ERR'!A506 = "", "Validated", HYPERLINK("#" &amp; ADDRESS(506, 'Additional Cartons-WUO_TRK'!A506),_xlfn.TEXTAFTER('Additional Cartons-WUO_ERR'!A506, ":"))))</f>
        <v/>
      </c>
    </row>
    <row r="507">
      <c r="A507" s="38">
        <f>IF('Additional Cartons'!B507 = "", "", IF('Additional Cartons-WUO_ERR'!A507 = "", "Validated", HYPERLINK("#" &amp; ADDRESS(507, 'Additional Cartons-WUO_TRK'!A507),_xlfn.TEXTAFTER('Additional Cartons-WUO_ERR'!A507, ":"))))</f>
        <v/>
      </c>
    </row>
  </sheetData>
  <sheetProtection selectLockedCells="0" selectUnlockedCells="0" sheet="1" objects="1" insertRows="1" insertHyperlinks="1" autoFilter="1" scenarios="1" formatColumns="0" deleteColumns="1" insertColumns="1" pivotTables="1" deleteRows="1" formatCells="1" formatRows="0" sort="1" password="E718"/>
  <mergeCells count="1">
    <mergeCell ref="C2:F2"/>
  </mergeCells>
  <conditionalFormatting sqref="A7:A50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50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dataValidations count="4">
    <dataValidation sqref="C7:C250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D7:D250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E7:E250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F7:F250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style="22" min="2" max="2"/>
    <col width="18.7109375" customWidth="1" style="22" min="3" max="4"/>
    <col width="17.7109375" customWidth="1" style="22" min="5" max="6"/>
  </cols>
  <sheetData>
    <row r="1" hidden="1">
      <c r="B1" s="22" t="inlineStr">
        <is>
          <t>core::supplierPartNumber</t>
        </is>
      </c>
      <c r="C1" s="22" t="inlineStr">
        <is>
          <t>shippingAndFulfillment::weight</t>
        </is>
      </c>
      <c r="D1" s="22" t="inlineStr">
        <is>
          <t>shippingAndFulfillment::height</t>
        </is>
      </c>
      <c r="E1" s="22" t="inlineStr">
        <is>
          <t>shippingAndFulfillment::width</t>
        </is>
      </c>
      <c r="F1" s="22" t="inlineStr">
        <is>
          <t>shippingAndFulfillment::depth</t>
        </is>
      </c>
    </row>
    <row r="3">
      <c r="B3" s="31" t="inlineStr">
        <is>
          <t>Required</t>
        </is>
      </c>
      <c r="C3" s="31" t="inlineStr">
        <is>
          <t>Conditional</t>
        </is>
      </c>
      <c r="D3" s="31" t="inlineStr">
        <is>
          <t>Conditional</t>
        </is>
      </c>
      <c r="E3" s="31" t="inlineStr">
        <is>
          <t>Conditional</t>
        </is>
      </c>
      <c r="F3" s="31"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[Pounds] Enter in the shipping weight (i.e. 45.5) of the packaging used for the product.  If the product ships in more than one box, this measurement is per box.</t>
        </is>
      </c>
      <c r="D5" s="34" t="inlineStr">
        <is>
          <t>[Inches] Enter in the shipping height (i.e. 45.5) of the packaging used for the product.  If the product ships in more than one box, this measurement is per box.</t>
        </is>
      </c>
      <c r="E5" s="34" t="inlineStr">
        <is>
          <t>[Inches] Enter in the shipping width (i.e. 45.5) of the packaging used for the product.  If the product ships in more than one box, this measurement is per box.</t>
        </is>
      </c>
      <c r="F5" s="34" t="inlineStr">
        <is>
          <t>[Inches] Enter in the shipping depth (i.e. 45.5) of the packaging used for the product.  If the product ships in more than one box, this measurement is per box.</t>
        </is>
      </c>
    </row>
    <row r="6" ht="50" customHeight="1">
      <c r="B6" s="34" t="inlineStr">
        <is>
          <t>Text</t>
        </is>
      </c>
      <c r="C6" s="34" t="inlineStr">
        <is>
          <t>Number</t>
        </is>
      </c>
      <c r="D6" s="34" t="inlineStr">
        <is>
          <t>Number</t>
        </is>
      </c>
      <c r="E6" s="34" t="inlineStr">
        <is>
          <t>Number</t>
        </is>
      </c>
      <c r="F6" s="34" t="inlineStr">
        <is>
          <t>Number</t>
        </is>
      </c>
    </row>
    <row r="7">
      <c r="A7">
        <f t="array" ref="A7">_xlfn.BYROW(B7:G507,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Cartons'!B7:B507, 'Additional Cartons'!B7:B507,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Cartons'!B7:B507, 'Additional Cartons'!C7:C507, 'Additional Cartons'!D7:D507, 'Additional Cartons'!E7:E507, 'Additional Cartons'!F7:F507,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s="22">
        <f t="array" ref="D7">_xlfn.MAP('Additional Cartons'!B7:B507, 'Additional Cartons'!D7:D507, 'Additional Cartons'!C7:C507, 'Additional Cartons'!E7:E507, 'Additional Cartons'!F7:F507,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s="22">
        <f t="array" ref="E7">_xlfn.MAP('Additional Cartons'!B7:B507, 'Additional Cartons'!E7:E507, 'Additional Cartons'!C7:C507, 'Additional Cartons'!D7:D507, 'Additional Cartons'!F7:F507,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s="22">
        <f t="array" ref="F7">_xlfn.MAP('Additional Cartons'!B7:B507, 'Additional Cartons'!F7:F507, 'Additional Cartons'!C7:C507, 'Additional Cartons'!D7:D507, 'Additional Cartons'!E7:E507,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style="22" min="2" max="2"/>
    <col width="18.7109375" customWidth="1" style="22" min="3" max="4"/>
    <col width="17.7109375" customWidth="1" style="22" min="5" max="6"/>
  </cols>
  <sheetData>
    <row r="1" hidden="1">
      <c r="B1" s="22" t="inlineStr">
        <is>
          <t>core::supplierPartNumber</t>
        </is>
      </c>
      <c r="C1" s="22" t="inlineStr">
        <is>
          <t>shippingAndFulfillment::weight</t>
        </is>
      </c>
      <c r="D1" s="22" t="inlineStr">
        <is>
          <t>shippingAndFulfillment::height</t>
        </is>
      </c>
      <c r="E1" s="22" t="inlineStr">
        <is>
          <t>shippingAndFulfillment::width</t>
        </is>
      </c>
      <c r="F1" s="22" t="inlineStr">
        <is>
          <t>shippingAndFulfillment::depth</t>
        </is>
      </c>
    </row>
    <row r="3">
      <c r="B3" s="31" t="inlineStr">
        <is>
          <t>Required</t>
        </is>
      </c>
      <c r="C3" s="31" t="inlineStr">
        <is>
          <t>Conditional</t>
        </is>
      </c>
      <c r="D3" s="31" t="inlineStr">
        <is>
          <t>Conditional</t>
        </is>
      </c>
      <c r="E3" s="31" t="inlineStr">
        <is>
          <t>Conditional</t>
        </is>
      </c>
      <c r="F3" s="31"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[Pounds] Enter in the shipping weight (i.e. 45.5) of the packaging used for the product.  If the product ships in more than one box, this measurement is per box.</t>
        </is>
      </c>
      <c r="D5" s="34" t="inlineStr">
        <is>
          <t>[Inches] Enter in the shipping height (i.e. 45.5) of the packaging used for the product.  If the product ships in more than one box, this measurement is per box.</t>
        </is>
      </c>
      <c r="E5" s="34" t="inlineStr">
        <is>
          <t>[Inches] Enter in the shipping width (i.e. 45.5) of the packaging used for the product.  If the product ships in more than one box, this measurement is per box.</t>
        </is>
      </c>
      <c r="F5" s="34" t="inlineStr">
        <is>
          <t>[Inches] Enter in the shipping depth (i.e. 45.5) of the packaging used for the product.  If the product ships in more than one box, this measurement is per box.</t>
        </is>
      </c>
    </row>
    <row r="6" ht="50" customHeight="1">
      <c r="B6" s="34" t="inlineStr">
        <is>
          <t>Text</t>
        </is>
      </c>
      <c r="C6" s="34" t="inlineStr">
        <is>
          <t>Number</t>
        </is>
      </c>
      <c r="D6" s="34" t="inlineStr">
        <is>
          <t>Number</t>
        </is>
      </c>
      <c r="E6" s="34" t="inlineStr">
        <is>
          <t>Number</t>
        </is>
      </c>
      <c r="F6" s="34" t="inlineStr">
        <is>
          <t>Number</t>
        </is>
      </c>
    </row>
    <row r="7">
      <c r="A7">
        <f t="array" ref="A7">_xlfn.BYROW(B7:G507, _xlfn.LAMBDA(_xlpm.r, _xlfn.LET(_xlpm.high_priority_idx, IFERROR(MATCH(TRUE, (_xlpm.r = "Error") + (_xlpm.r = "Required") &gt; 0, 0), 0), IF(_xlpm.high_priority_idx &gt; 0, _xlpm.high_priority_idx + 1, IFERROR(MATCH(1, (_xlpm.r = "Warning") * 1, 0) + 1, "")))))</f>
        <v/>
      </c>
      <c r="B7" s="22">
        <f t="array" ref="B7">_xlfn.MAP('Additional Cartons'!B7:B507, 'Additional Cartons'!B7:B507, 'Additional Cartons-WUO_ERR'!B7:B507, _xlfn.LAMBDA(_xlpm.part, _xlpm.val, _xlpm.error, IF(_xlpm.part = "", "", IF(LEN(_xlpm.error), _xlfn.SWITCH(IFERROR(_xlfn.TEXTBEFORE(_xlpm.error,":"), ""), "1", "Error", "2", "Disabled", "3", "Required", "4", "Warning", "Valid"), "Valid"))))</f>
        <v/>
      </c>
      <c r="C7" s="22">
        <f t="array" ref="C7">_xlfn.MAP('Additional Cartons'!B7:B507, 'Additional Cartons'!C7:C507, 'Additional Cartons-WUO_ERR'!C7:C507, _xlfn.LAMBDA(_xlpm.part, _xlpm.val, _xlpm.error, IF(_xlpm.part = "", "", IF(LEN(_xlpm.error), _xlfn.SWITCH(IFERROR(_xlfn.TEXTBEFORE(_xlpm.error,":"), ""), "1", "Error", "2", "Disabled", "3", "Required", "4", "Warning", "Valid"), "Valid"))))</f>
        <v/>
      </c>
      <c r="D7" s="22">
        <f t="array" ref="D7">_xlfn.MAP('Additional Cartons'!B7:B507, 'Additional Cartons'!D7:D507, 'Additional Cartons-WUO_ERR'!D7:D507, _xlfn.LAMBDA(_xlpm.part, _xlpm.val, _xlpm.error, IF(_xlpm.part = "", "", IF(LEN(_xlpm.error), _xlfn.SWITCH(IFERROR(_xlfn.TEXTBEFORE(_xlpm.error,":"), ""), "1", "Error", "2", "Disabled", "3", "Required", "4", "Warning", "Valid"), "Valid"))))</f>
        <v/>
      </c>
      <c r="E7" s="22">
        <f t="array" ref="E7">_xlfn.MAP('Additional Cartons'!B7:B507, 'Additional Cartons'!E7:E507, 'Additional Cartons-WUO_ERR'!E7:E507, _xlfn.LAMBDA(_xlpm.part, _xlpm.val, _xlpm.error, IF(_xlpm.part = "", "", IF(LEN(_xlpm.error), _xlfn.SWITCH(IFERROR(_xlfn.TEXTBEFORE(_xlpm.error,":"), ""), "1", "Error", "2", "Disabled", "3", "Required", "4", "Warning", "Valid"), "Valid"))))</f>
        <v/>
      </c>
      <c r="F7" s="22">
        <f t="array" ref="F7">_xlfn.MAP('Additional Cartons'!B7:B507, 'Additional Cartons'!F7:F507, 'Additional Cartons-WUO_ERR'!F7:F507,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13.7109375" customWidth="1" style="22" min="3" max="4"/>
    <col hidden="1" min="26" max="26"/>
  </cols>
  <sheetData>
    <row r="1" hidden="1">
      <c r="B1" s="22" t="inlineStr">
        <is>
          <t>core::supplierPartNumber</t>
        </is>
      </c>
      <c r="C1" s="22" t="inlineStr">
        <is>
          <t>propSixtyFive::chemicalId</t>
        </is>
      </c>
      <c r="D1" s="22" t="inlineStr">
        <is>
          <t>propSixtyFive::toxicity</t>
        </is>
      </c>
    </row>
    <row r="2">
      <c r="B2" s="23" t="inlineStr">
        <is>
          <t>Basic Information</t>
        </is>
      </c>
      <c r="C2" s="28" t="inlineStr">
        <is>
          <t>Compliance</t>
        </is>
      </c>
      <c r="D2" s="41" t="n"/>
    </row>
    <row r="3">
      <c r="B3" s="31" t="inlineStr">
        <is>
          <t>Required</t>
        </is>
      </c>
      <c r="C3" s="31" t="inlineStr">
        <is>
          <t>Conditional</t>
        </is>
      </c>
      <c r="D3" s="31" t="inlineStr">
        <is>
          <t>Conditional</t>
        </is>
      </c>
    </row>
    <row r="4" ht="50" customHeight="1">
      <c r="A4" s="19" t="inlineStr">
        <is>
          <t>Errors</t>
        </is>
      </c>
      <c r="B4" s="19" t="inlineStr">
        <is>
          <t>Supplier Part Number</t>
        </is>
      </c>
      <c r="C4" s="19" t="inlineStr">
        <is>
          <t>Chemical</t>
        </is>
      </c>
      <c r="D4" s="19" t="inlineStr">
        <is>
          <t>Toxicity</t>
        </is>
      </c>
    </row>
    <row r="5" ht="50" customHeight="1">
      <c r="A5" s="34" t="inlineStr">
        <is>
          <t>Displays the error status and message for the first error in the row, with a link to the corresponding cell.</t>
        </is>
      </c>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Select the chemical that requires the Prop65 warning.</t>
        </is>
      </c>
      <c r="D5" s="34" t="inlineStr">
        <is>
          <t>Select the toxicity that can result from the selected chemical.</t>
        </is>
      </c>
    </row>
    <row r="6" ht="50" customHeight="1">
      <c r="A6" s="34" t="inlineStr">
        <is>
          <t>Read-Only</t>
        </is>
      </c>
      <c r="B6" s="34" t="inlineStr">
        <is>
          <t>Text</t>
        </is>
      </c>
      <c r="C6" s="35" t="inlineStr">
        <is>
          <t>Select</t>
        </is>
      </c>
      <c r="D6" s="35" t="inlineStr">
        <is>
          <t>Please choose one or more from the following, using a semicolon (;) to separate each value: Cancer; Developmental</t>
        </is>
      </c>
    </row>
    <row r="7">
      <c r="A7" s="38">
        <f>IF('Additional Chemicals'!B7 = "", "", IF('Additional Chemicals-WUO_ERR'!A7 = "", "Validated", HYPERLINK("#" &amp; ADDRESS(7, 'Additional Chemicals-WUO_TRK'!A7),_xlfn.TEXTAFTER('Additional Chemicals-WUO_ERR'!A7, ":"))))</f>
        <v/>
      </c>
      <c r="Z7">
        <f t="array" ref="Z7">IF(B7:B507="", "", IFERROR(_xlfn.XLOOKUP(B7:B507, _xlfn.VSTACK('6 - TV Stands &amp; Enterta'!B7:B507), _xlfn.VSTACK('6 - TV Stands &amp; Enterta'!G7:G507)), ""))</f>
        <v/>
      </c>
    </row>
    <row r="8">
      <c r="A8" s="38">
        <f>IF('Additional Chemicals'!B8 = "", "", IF('Additional Chemicals-WUO_ERR'!A8 = "", "Validated", HYPERLINK("#" &amp; ADDRESS(8, 'Additional Chemicals-WUO_TRK'!A8),_xlfn.TEXTAFTER('Additional Chemicals-WUO_ERR'!A8, ":"))))</f>
        <v/>
      </c>
    </row>
    <row r="9">
      <c r="A9" s="38">
        <f>IF('Additional Chemicals'!B9 = "", "", IF('Additional Chemicals-WUO_ERR'!A9 = "", "Validated", HYPERLINK("#" &amp; ADDRESS(9, 'Additional Chemicals-WUO_TRK'!A9),_xlfn.TEXTAFTER('Additional Chemicals-WUO_ERR'!A9, ":"))))</f>
        <v/>
      </c>
    </row>
    <row r="10">
      <c r="A10" s="38">
        <f>IF('Additional Chemicals'!B10 = "", "", IF('Additional Chemicals-WUO_ERR'!A10 = "", "Validated", HYPERLINK("#" &amp; ADDRESS(10, 'Additional Chemicals-WUO_TRK'!A10),_xlfn.TEXTAFTER('Additional Chemicals-WUO_ERR'!A10, ":"))))</f>
        <v/>
      </c>
    </row>
    <row r="11">
      <c r="A11" s="38">
        <f>IF('Additional Chemicals'!B11 = "", "", IF('Additional Chemicals-WUO_ERR'!A11 = "", "Validated", HYPERLINK("#" &amp; ADDRESS(11, 'Additional Chemicals-WUO_TRK'!A11),_xlfn.TEXTAFTER('Additional Chemicals-WUO_ERR'!A11, ":"))))</f>
        <v/>
      </c>
    </row>
    <row r="12">
      <c r="A12" s="38">
        <f>IF('Additional Chemicals'!B12 = "", "", IF('Additional Chemicals-WUO_ERR'!A12 = "", "Validated", HYPERLINK("#" &amp; ADDRESS(12, 'Additional Chemicals-WUO_TRK'!A12),_xlfn.TEXTAFTER('Additional Chemicals-WUO_ERR'!A12, ":"))))</f>
        <v/>
      </c>
    </row>
    <row r="13">
      <c r="A13" s="38">
        <f>IF('Additional Chemicals'!B13 = "", "", IF('Additional Chemicals-WUO_ERR'!A13 = "", "Validated", HYPERLINK("#" &amp; ADDRESS(13, 'Additional Chemicals-WUO_TRK'!A13),_xlfn.TEXTAFTER('Additional Chemicals-WUO_ERR'!A13, ":"))))</f>
        <v/>
      </c>
    </row>
    <row r="14">
      <c r="A14" s="38">
        <f>IF('Additional Chemicals'!B14 = "", "", IF('Additional Chemicals-WUO_ERR'!A14 = "", "Validated", HYPERLINK("#" &amp; ADDRESS(14, 'Additional Chemicals-WUO_TRK'!A14),_xlfn.TEXTAFTER('Additional Chemicals-WUO_ERR'!A14, ":"))))</f>
        <v/>
      </c>
    </row>
    <row r="15">
      <c r="A15" s="38">
        <f>IF('Additional Chemicals'!B15 = "", "", IF('Additional Chemicals-WUO_ERR'!A15 = "", "Validated", HYPERLINK("#" &amp; ADDRESS(15, 'Additional Chemicals-WUO_TRK'!A15),_xlfn.TEXTAFTER('Additional Chemicals-WUO_ERR'!A15, ":"))))</f>
        <v/>
      </c>
    </row>
    <row r="16">
      <c r="A16" s="38">
        <f>IF('Additional Chemicals'!B16 = "", "", IF('Additional Chemicals-WUO_ERR'!A16 = "", "Validated", HYPERLINK("#" &amp; ADDRESS(16, 'Additional Chemicals-WUO_TRK'!A16),_xlfn.TEXTAFTER('Additional Chemicals-WUO_ERR'!A16, ":"))))</f>
        <v/>
      </c>
    </row>
    <row r="17">
      <c r="A17" s="38">
        <f>IF('Additional Chemicals'!B17 = "", "", IF('Additional Chemicals-WUO_ERR'!A17 = "", "Validated", HYPERLINK("#" &amp; ADDRESS(17, 'Additional Chemicals-WUO_TRK'!A17),_xlfn.TEXTAFTER('Additional Chemicals-WUO_ERR'!A17, ":"))))</f>
        <v/>
      </c>
    </row>
    <row r="18">
      <c r="A18" s="38">
        <f>IF('Additional Chemicals'!B18 = "", "", IF('Additional Chemicals-WUO_ERR'!A18 = "", "Validated", HYPERLINK("#" &amp; ADDRESS(18, 'Additional Chemicals-WUO_TRK'!A18),_xlfn.TEXTAFTER('Additional Chemicals-WUO_ERR'!A18, ":"))))</f>
        <v/>
      </c>
    </row>
    <row r="19">
      <c r="A19" s="38">
        <f>IF('Additional Chemicals'!B19 = "", "", IF('Additional Chemicals-WUO_ERR'!A19 = "", "Validated", HYPERLINK("#" &amp; ADDRESS(19, 'Additional Chemicals-WUO_TRK'!A19),_xlfn.TEXTAFTER('Additional Chemicals-WUO_ERR'!A19, ":"))))</f>
        <v/>
      </c>
    </row>
    <row r="20">
      <c r="A20" s="38">
        <f>IF('Additional Chemicals'!B20 = "", "", IF('Additional Chemicals-WUO_ERR'!A20 = "", "Validated", HYPERLINK("#" &amp; ADDRESS(20, 'Additional Chemicals-WUO_TRK'!A20),_xlfn.TEXTAFTER('Additional Chemicals-WUO_ERR'!A20, ":"))))</f>
        <v/>
      </c>
    </row>
    <row r="21">
      <c r="A21" s="38">
        <f>IF('Additional Chemicals'!B21 = "", "", IF('Additional Chemicals-WUO_ERR'!A21 = "", "Validated", HYPERLINK("#" &amp; ADDRESS(21, 'Additional Chemicals-WUO_TRK'!A21),_xlfn.TEXTAFTER('Additional Chemicals-WUO_ERR'!A21, ":"))))</f>
        <v/>
      </c>
    </row>
    <row r="22">
      <c r="A22" s="38">
        <f>IF('Additional Chemicals'!B22 = "", "", IF('Additional Chemicals-WUO_ERR'!A22 = "", "Validated", HYPERLINK("#" &amp; ADDRESS(22, 'Additional Chemicals-WUO_TRK'!A22),_xlfn.TEXTAFTER('Additional Chemicals-WUO_ERR'!A22, ":"))))</f>
        <v/>
      </c>
    </row>
    <row r="23">
      <c r="A23" s="38">
        <f>IF('Additional Chemicals'!B23 = "", "", IF('Additional Chemicals-WUO_ERR'!A23 = "", "Validated", HYPERLINK("#" &amp; ADDRESS(23, 'Additional Chemicals-WUO_TRK'!A23),_xlfn.TEXTAFTER('Additional Chemicals-WUO_ERR'!A23, ":"))))</f>
        <v/>
      </c>
    </row>
    <row r="24">
      <c r="A24" s="38">
        <f>IF('Additional Chemicals'!B24 = "", "", IF('Additional Chemicals-WUO_ERR'!A24 = "", "Validated", HYPERLINK("#" &amp; ADDRESS(24, 'Additional Chemicals-WUO_TRK'!A24),_xlfn.TEXTAFTER('Additional Chemicals-WUO_ERR'!A24, ":"))))</f>
        <v/>
      </c>
    </row>
    <row r="25">
      <c r="A25" s="38">
        <f>IF('Additional Chemicals'!B25 = "", "", IF('Additional Chemicals-WUO_ERR'!A25 = "", "Validated", HYPERLINK("#" &amp; ADDRESS(25, 'Additional Chemicals-WUO_TRK'!A25),_xlfn.TEXTAFTER('Additional Chemicals-WUO_ERR'!A25, ":"))))</f>
        <v/>
      </c>
    </row>
    <row r="26">
      <c r="A26" s="38">
        <f>IF('Additional Chemicals'!B26 = "", "", IF('Additional Chemicals-WUO_ERR'!A26 = "", "Validated", HYPERLINK("#" &amp; ADDRESS(26, 'Additional Chemicals-WUO_TRK'!A26),_xlfn.TEXTAFTER('Additional Chemicals-WUO_ERR'!A26, ":"))))</f>
        <v/>
      </c>
    </row>
    <row r="27">
      <c r="A27" s="38">
        <f>IF('Additional Chemicals'!B27 = "", "", IF('Additional Chemicals-WUO_ERR'!A27 = "", "Validated", HYPERLINK("#" &amp; ADDRESS(27, 'Additional Chemicals-WUO_TRK'!A27),_xlfn.TEXTAFTER('Additional Chemicals-WUO_ERR'!A27, ":"))))</f>
        <v/>
      </c>
    </row>
    <row r="28">
      <c r="A28" s="38">
        <f>IF('Additional Chemicals'!B28 = "", "", IF('Additional Chemicals-WUO_ERR'!A28 = "", "Validated", HYPERLINK("#" &amp; ADDRESS(28, 'Additional Chemicals-WUO_TRK'!A28),_xlfn.TEXTAFTER('Additional Chemicals-WUO_ERR'!A28, ":"))))</f>
        <v/>
      </c>
    </row>
    <row r="29">
      <c r="A29" s="38">
        <f>IF('Additional Chemicals'!B29 = "", "", IF('Additional Chemicals-WUO_ERR'!A29 = "", "Validated", HYPERLINK("#" &amp; ADDRESS(29, 'Additional Chemicals-WUO_TRK'!A29),_xlfn.TEXTAFTER('Additional Chemicals-WUO_ERR'!A29, ":"))))</f>
        <v/>
      </c>
    </row>
    <row r="30">
      <c r="A30" s="38">
        <f>IF('Additional Chemicals'!B30 = "", "", IF('Additional Chemicals-WUO_ERR'!A30 = "", "Validated", HYPERLINK("#" &amp; ADDRESS(30, 'Additional Chemicals-WUO_TRK'!A30),_xlfn.TEXTAFTER('Additional Chemicals-WUO_ERR'!A30, ":"))))</f>
        <v/>
      </c>
    </row>
    <row r="31">
      <c r="A31" s="38">
        <f>IF('Additional Chemicals'!B31 = "", "", IF('Additional Chemicals-WUO_ERR'!A31 = "", "Validated", HYPERLINK("#" &amp; ADDRESS(31, 'Additional Chemicals-WUO_TRK'!A31),_xlfn.TEXTAFTER('Additional Chemicals-WUO_ERR'!A31, ":"))))</f>
        <v/>
      </c>
    </row>
    <row r="32">
      <c r="A32" s="38">
        <f>IF('Additional Chemicals'!B32 = "", "", IF('Additional Chemicals-WUO_ERR'!A32 = "", "Validated", HYPERLINK("#" &amp; ADDRESS(32, 'Additional Chemicals-WUO_TRK'!A32),_xlfn.TEXTAFTER('Additional Chemicals-WUO_ERR'!A32, ":"))))</f>
        <v/>
      </c>
    </row>
    <row r="33">
      <c r="A33" s="38">
        <f>IF('Additional Chemicals'!B33 = "", "", IF('Additional Chemicals-WUO_ERR'!A33 = "", "Validated", HYPERLINK("#" &amp; ADDRESS(33, 'Additional Chemicals-WUO_TRK'!A33),_xlfn.TEXTAFTER('Additional Chemicals-WUO_ERR'!A33, ":"))))</f>
        <v/>
      </c>
    </row>
    <row r="34">
      <c r="A34" s="38">
        <f>IF('Additional Chemicals'!B34 = "", "", IF('Additional Chemicals-WUO_ERR'!A34 = "", "Validated", HYPERLINK("#" &amp; ADDRESS(34, 'Additional Chemicals-WUO_TRK'!A34),_xlfn.TEXTAFTER('Additional Chemicals-WUO_ERR'!A34, ":"))))</f>
        <v/>
      </c>
    </row>
    <row r="35">
      <c r="A35" s="38">
        <f>IF('Additional Chemicals'!B35 = "", "", IF('Additional Chemicals-WUO_ERR'!A35 = "", "Validated", HYPERLINK("#" &amp; ADDRESS(35, 'Additional Chemicals-WUO_TRK'!A35),_xlfn.TEXTAFTER('Additional Chemicals-WUO_ERR'!A35, ":"))))</f>
        <v/>
      </c>
    </row>
    <row r="36">
      <c r="A36" s="38">
        <f>IF('Additional Chemicals'!B36 = "", "", IF('Additional Chemicals-WUO_ERR'!A36 = "", "Validated", HYPERLINK("#" &amp; ADDRESS(36, 'Additional Chemicals-WUO_TRK'!A36),_xlfn.TEXTAFTER('Additional Chemicals-WUO_ERR'!A36, ":"))))</f>
        <v/>
      </c>
    </row>
    <row r="37">
      <c r="A37" s="38">
        <f>IF('Additional Chemicals'!B37 = "", "", IF('Additional Chemicals-WUO_ERR'!A37 = "", "Validated", HYPERLINK("#" &amp; ADDRESS(37, 'Additional Chemicals-WUO_TRK'!A37),_xlfn.TEXTAFTER('Additional Chemicals-WUO_ERR'!A37, ":"))))</f>
        <v/>
      </c>
    </row>
    <row r="38">
      <c r="A38" s="38">
        <f>IF('Additional Chemicals'!B38 = "", "", IF('Additional Chemicals-WUO_ERR'!A38 = "", "Validated", HYPERLINK("#" &amp; ADDRESS(38, 'Additional Chemicals-WUO_TRK'!A38),_xlfn.TEXTAFTER('Additional Chemicals-WUO_ERR'!A38, ":"))))</f>
        <v/>
      </c>
    </row>
    <row r="39">
      <c r="A39" s="38">
        <f>IF('Additional Chemicals'!B39 = "", "", IF('Additional Chemicals-WUO_ERR'!A39 = "", "Validated", HYPERLINK("#" &amp; ADDRESS(39, 'Additional Chemicals-WUO_TRK'!A39),_xlfn.TEXTAFTER('Additional Chemicals-WUO_ERR'!A39, ":"))))</f>
        <v/>
      </c>
    </row>
    <row r="40">
      <c r="A40" s="38">
        <f>IF('Additional Chemicals'!B40 = "", "", IF('Additional Chemicals-WUO_ERR'!A40 = "", "Validated", HYPERLINK("#" &amp; ADDRESS(40, 'Additional Chemicals-WUO_TRK'!A40),_xlfn.TEXTAFTER('Additional Chemicals-WUO_ERR'!A40, ":"))))</f>
        <v/>
      </c>
    </row>
    <row r="41">
      <c r="A41" s="38">
        <f>IF('Additional Chemicals'!B41 = "", "", IF('Additional Chemicals-WUO_ERR'!A41 = "", "Validated", HYPERLINK("#" &amp; ADDRESS(41, 'Additional Chemicals-WUO_TRK'!A41),_xlfn.TEXTAFTER('Additional Chemicals-WUO_ERR'!A41, ":"))))</f>
        <v/>
      </c>
    </row>
    <row r="42">
      <c r="A42" s="38">
        <f>IF('Additional Chemicals'!B42 = "", "", IF('Additional Chemicals-WUO_ERR'!A42 = "", "Validated", HYPERLINK("#" &amp; ADDRESS(42, 'Additional Chemicals-WUO_TRK'!A42),_xlfn.TEXTAFTER('Additional Chemicals-WUO_ERR'!A42, ":"))))</f>
        <v/>
      </c>
    </row>
    <row r="43">
      <c r="A43" s="38">
        <f>IF('Additional Chemicals'!B43 = "", "", IF('Additional Chemicals-WUO_ERR'!A43 = "", "Validated", HYPERLINK("#" &amp; ADDRESS(43, 'Additional Chemicals-WUO_TRK'!A43),_xlfn.TEXTAFTER('Additional Chemicals-WUO_ERR'!A43, ":"))))</f>
        <v/>
      </c>
    </row>
    <row r="44">
      <c r="A44" s="38">
        <f>IF('Additional Chemicals'!B44 = "", "", IF('Additional Chemicals-WUO_ERR'!A44 = "", "Validated", HYPERLINK("#" &amp; ADDRESS(44, 'Additional Chemicals-WUO_TRK'!A44),_xlfn.TEXTAFTER('Additional Chemicals-WUO_ERR'!A44, ":"))))</f>
        <v/>
      </c>
    </row>
    <row r="45">
      <c r="A45" s="38">
        <f>IF('Additional Chemicals'!B45 = "", "", IF('Additional Chemicals-WUO_ERR'!A45 = "", "Validated", HYPERLINK("#" &amp; ADDRESS(45, 'Additional Chemicals-WUO_TRK'!A45),_xlfn.TEXTAFTER('Additional Chemicals-WUO_ERR'!A45, ":"))))</f>
        <v/>
      </c>
    </row>
    <row r="46">
      <c r="A46" s="38">
        <f>IF('Additional Chemicals'!B46 = "", "", IF('Additional Chemicals-WUO_ERR'!A46 = "", "Validated", HYPERLINK("#" &amp; ADDRESS(46, 'Additional Chemicals-WUO_TRK'!A46),_xlfn.TEXTAFTER('Additional Chemicals-WUO_ERR'!A46, ":"))))</f>
        <v/>
      </c>
    </row>
    <row r="47">
      <c r="A47" s="38">
        <f>IF('Additional Chemicals'!B47 = "", "", IF('Additional Chemicals-WUO_ERR'!A47 = "", "Validated", HYPERLINK("#" &amp; ADDRESS(47, 'Additional Chemicals-WUO_TRK'!A47),_xlfn.TEXTAFTER('Additional Chemicals-WUO_ERR'!A47, ":"))))</f>
        <v/>
      </c>
    </row>
    <row r="48">
      <c r="A48" s="38">
        <f>IF('Additional Chemicals'!B48 = "", "", IF('Additional Chemicals-WUO_ERR'!A48 = "", "Validated", HYPERLINK("#" &amp; ADDRESS(48, 'Additional Chemicals-WUO_TRK'!A48),_xlfn.TEXTAFTER('Additional Chemicals-WUO_ERR'!A48, ":"))))</f>
        <v/>
      </c>
    </row>
    <row r="49">
      <c r="A49" s="38">
        <f>IF('Additional Chemicals'!B49 = "", "", IF('Additional Chemicals-WUO_ERR'!A49 = "", "Validated", HYPERLINK("#" &amp; ADDRESS(49, 'Additional Chemicals-WUO_TRK'!A49),_xlfn.TEXTAFTER('Additional Chemicals-WUO_ERR'!A49, ":"))))</f>
        <v/>
      </c>
    </row>
    <row r="50">
      <c r="A50" s="38">
        <f>IF('Additional Chemicals'!B50 = "", "", IF('Additional Chemicals-WUO_ERR'!A50 = "", "Validated", HYPERLINK("#" &amp; ADDRESS(50, 'Additional Chemicals-WUO_TRK'!A50),_xlfn.TEXTAFTER('Additional Chemicals-WUO_ERR'!A50, ":"))))</f>
        <v/>
      </c>
    </row>
    <row r="51">
      <c r="A51" s="38">
        <f>IF('Additional Chemicals'!B51 = "", "", IF('Additional Chemicals-WUO_ERR'!A51 = "", "Validated", HYPERLINK("#" &amp; ADDRESS(51, 'Additional Chemicals-WUO_TRK'!A51),_xlfn.TEXTAFTER('Additional Chemicals-WUO_ERR'!A51, ":"))))</f>
        <v/>
      </c>
    </row>
    <row r="52">
      <c r="A52" s="38">
        <f>IF('Additional Chemicals'!B52 = "", "", IF('Additional Chemicals-WUO_ERR'!A52 = "", "Validated", HYPERLINK("#" &amp; ADDRESS(52, 'Additional Chemicals-WUO_TRK'!A52),_xlfn.TEXTAFTER('Additional Chemicals-WUO_ERR'!A52, ":"))))</f>
        <v/>
      </c>
    </row>
    <row r="53">
      <c r="A53" s="38">
        <f>IF('Additional Chemicals'!B53 = "", "", IF('Additional Chemicals-WUO_ERR'!A53 = "", "Validated", HYPERLINK("#" &amp; ADDRESS(53, 'Additional Chemicals-WUO_TRK'!A53),_xlfn.TEXTAFTER('Additional Chemicals-WUO_ERR'!A53, ":"))))</f>
        <v/>
      </c>
    </row>
    <row r="54">
      <c r="A54" s="38">
        <f>IF('Additional Chemicals'!B54 = "", "", IF('Additional Chemicals-WUO_ERR'!A54 = "", "Validated", HYPERLINK("#" &amp; ADDRESS(54, 'Additional Chemicals-WUO_TRK'!A54),_xlfn.TEXTAFTER('Additional Chemicals-WUO_ERR'!A54, ":"))))</f>
        <v/>
      </c>
    </row>
    <row r="55">
      <c r="A55" s="38">
        <f>IF('Additional Chemicals'!B55 = "", "", IF('Additional Chemicals-WUO_ERR'!A55 = "", "Validated", HYPERLINK("#" &amp; ADDRESS(55, 'Additional Chemicals-WUO_TRK'!A55),_xlfn.TEXTAFTER('Additional Chemicals-WUO_ERR'!A55, ":"))))</f>
        <v/>
      </c>
    </row>
    <row r="56">
      <c r="A56" s="38">
        <f>IF('Additional Chemicals'!B56 = "", "", IF('Additional Chemicals-WUO_ERR'!A56 = "", "Validated", HYPERLINK("#" &amp; ADDRESS(56, 'Additional Chemicals-WUO_TRK'!A56),_xlfn.TEXTAFTER('Additional Chemicals-WUO_ERR'!A56, ":"))))</f>
        <v/>
      </c>
    </row>
    <row r="57">
      <c r="A57" s="38">
        <f>IF('Additional Chemicals'!B57 = "", "", IF('Additional Chemicals-WUO_ERR'!A57 = "", "Validated", HYPERLINK("#" &amp; ADDRESS(57, 'Additional Chemicals-WUO_TRK'!A57),_xlfn.TEXTAFTER('Additional Chemicals-WUO_ERR'!A57, ":"))))</f>
        <v/>
      </c>
    </row>
    <row r="58">
      <c r="A58" s="38">
        <f>IF('Additional Chemicals'!B58 = "", "", IF('Additional Chemicals-WUO_ERR'!A58 = "", "Validated", HYPERLINK("#" &amp; ADDRESS(58, 'Additional Chemicals-WUO_TRK'!A58),_xlfn.TEXTAFTER('Additional Chemicals-WUO_ERR'!A58, ":"))))</f>
        <v/>
      </c>
    </row>
    <row r="59">
      <c r="A59" s="38">
        <f>IF('Additional Chemicals'!B59 = "", "", IF('Additional Chemicals-WUO_ERR'!A59 = "", "Validated", HYPERLINK("#" &amp; ADDRESS(59, 'Additional Chemicals-WUO_TRK'!A59),_xlfn.TEXTAFTER('Additional Chemicals-WUO_ERR'!A59, ":"))))</f>
        <v/>
      </c>
    </row>
    <row r="60">
      <c r="A60" s="38">
        <f>IF('Additional Chemicals'!B60 = "", "", IF('Additional Chemicals-WUO_ERR'!A60 = "", "Validated", HYPERLINK("#" &amp; ADDRESS(60, 'Additional Chemicals-WUO_TRK'!A60),_xlfn.TEXTAFTER('Additional Chemicals-WUO_ERR'!A60, ":"))))</f>
        <v/>
      </c>
    </row>
    <row r="61">
      <c r="A61" s="38">
        <f>IF('Additional Chemicals'!B61 = "", "", IF('Additional Chemicals-WUO_ERR'!A61 = "", "Validated", HYPERLINK("#" &amp; ADDRESS(61, 'Additional Chemicals-WUO_TRK'!A61),_xlfn.TEXTAFTER('Additional Chemicals-WUO_ERR'!A61, ":"))))</f>
        <v/>
      </c>
    </row>
    <row r="62">
      <c r="A62" s="38">
        <f>IF('Additional Chemicals'!B62 = "", "", IF('Additional Chemicals-WUO_ERR'!A62 = "", "Validated", HYPERLINK("#" &amp; ADDRESS(62, 'Additional Chemicals-WUO_TRK'!A62),_xlfn.TEXTAFTER('Additional Chemicals-WUO_ERR'!A62, ":"))))</f>
        <v/>
      </c>
    </row>
    <row r="63">
      <c r="A63" s="38">
        <f>IF('Additional Chemicals'!B63 = "", "", IF('Additional Chemicals-WUO_ERR'!A63 = "", "Validated", HYPERLINK("#" &amp; ADDRESS(63, 'Additional Chemicals-WUO_TRK'!A63),_xlfn.TEXTAFTER('Additional Chemicals-WUO_ERR'!A63, ":"))))</f>
        <v/>
      </c>
    </row>
    <row r="64">
      <c r="A64" s="38">
        <f>IF('Additional Chemicals'!B64 = "", "", IF('Additional Chemicals-WUO_ERR'!A64 = "", "Validated", HYPERLINK("#" &amp; ADDRESS(64, 'Additional Chemicals-WUO_TRK'!A64),_xlfn.TEXTAFTER('Additional Chemicals-WUO_ERR'!A64, ":"))))</f>
        <v/>
      </c>
    </row>
    <row r="65">
      <c r="A65" s="38">
        <f>IF('Additional Chemicals'!B65 = "", "", IF('Additional Chemicals-WUO_ERR'!A65 = "", "Validated", HYPERLINK("#" &amp; ADDRESS(65, 'Additional Chemicals-WUO_TRK'!A65),_xlfn.TEXTAFTER('Additional Chemicals-WUO_ERR'!A65, ":"))))</f>
        <v/>
      </c>
    </row>
    <row r="66">
      <c r="A66" s="38">
        <f>IF('Additional Chemicals'!B66 = "", "", IF('Additional Chemicals-WUO_ERR'!A66 = "", "Validated", HYPERLINK("#" &amp; ADDRESS(66, 'Additional Chemicals-WUO_TRK'!A66),_xlfn.TEXTAFTER('Additional Chemicals-WUO_ERR'!A66, ":"))))</f>
        <v/>
      </c>
    </row>
    <row r="67">
      <c r="A67" s="38">
        <f>IF('Additional Chemicals'!B67 = "", "", IF('Additional Chemicals-WUO_ERR'!A67 = "", "Validated", HYPERLINK("#" &amp; ADDRESS(67, 'Additional Chemicals-WUO_TRK'!A67),_xlfn.TEXTAFTER('Additional Chemicals-WUO_ERR'!A67, ":"))))</f>
        <v/>
      </c>
    </row>
    <row r="68">
      <c r="A68" s="38">
        <f>IF('Additional Chemicals'!B68 = "", "", IF('Additional Chemicals-WUO_ERR'!A68 = "", "Validated", HYPERLINK("#" &amp; ADDRESS(68, 'Additional Chemicals-WUO_TRK'!A68),_xlfn.TEXTAFTER('Additional Chemicals-WUO_ERR'!A68, ":"))))</f>
        <v/>
      </c>
    </row>
    <row r="69">
      <c r="A69" s="38">
        <f>IF('Additional Chemicals'!B69 = "", "", IF('Additional Chemicals-WUO_ERR'!A69 = "", "Validated", HYPERLINK("#" &amp; ADDRESS(69, 'Additional Chemicals-WUO_TRK'!A69),_xlfn.TEXTAFTER('Additional Chemicals-WUO_ERR'!A69, ":"))))</f>
        <v/>
      </c>
    </row>
    <row r="70">
      <c r="A70" s="38">
        <f>IF('Additional Chemicals'!B70 = "", "", IF('Additional Chemicals-WUO_ERR'!A70 = "", "Validated", HYPERLINK("#" &amp; ADDRESS(70, 'Additional Chemicals-WUO_TRK'!A70),_xlfn.TEXTAFTER('Additional Chemicals-WUO_ERR'!A70, ":"))))</f>
        <v/>
      </c>
    </row>
    <row r="71">
      <c r="A71" s="38">
        <f>IF('Additional Chemicals'!B71 = "", "", IF('Additional Chemicals-WUO_ERR'!A71 = "", "Validated", HYPERLINK("#" &amp; ADDRESS(71, 'Additional Chemicals-WUO_TRK'!A71),_xlfn.TEXTAFTER('Additional Chemicals-WUO_ERR'!A71, ":"))))</f>
        <v/>
      </c>
    </row>
    <row r="72">
      <c r="A72" s="38">
        <f>IF('Additional Chemicals'!B72 = "", "", IF('Additional Chemicals-WUO_ERR'!A72 = "", "Validated", HYPERLINK("#" &amp; ADDRESS(72, 'Additional Chemicals-WUO_TRK'!A72),_xlfn.TEXTAFTER('Additional Chemicals-WUO_ERR'!A72, ":"))))</f>
        <v/>
      </c>
    </row>
    <row r="73">
      <c r="A73" s="38">
        <f>IF('Additional Chemicals'!B73 = "", "", IF('Additional Chemicals-WUO_ERR'!A73 = "", "Validated", HYPERLINK("#" &amp; ADDRESS(73, 'Additional Chemicals-WUO_TRK'!A73),_xlfn.TEXTAFTER('Additional Chemicals-WUO_ERR'!A73, ":"))))</f>
        <v/>
      </c>
    </row>
    <row r="74">
      <c r="A74" s="38">
        <f>IF('Additional Chemicals'!B74 = "", "", IF('Additional Chemicals-WUO_ERR'!A74 = "", "Validated", HYPERLINK("#" &amp; ADDRESS(74, 'Additional Chemicals-WUO_TRK'!A74),_xlfn.TEXTAFTER('Additional Chemicals-WUO_ERR'!A74, ":"))))</f>
        <v/>
      </c>
    </row>
    <row r="75">
      <c r="A75" s="38">
        <f>IF('Additional Chemicals'!B75 = "", "", IF('Additional Chemicals-WUO_ERR'!A75 = "", "Validated", HYPERLINK("#" &amp; ADDRESS(75, 'Additional Chemicals-WUO_TRK'!A75),_xlfn.TEXTAFTER('Additional Chemicals-WUO_ERR'!A75, ":"))))</f>
        <v/>
      </c>
    </row>
    <row r="76">
      <c r="A76" s="38">
        <f>IF('Additional Chemicals'!B76 = "", "", IF('Additional Chemicals-WUO_ERR'!A76 = "", "Validated", HYPERLINK("#" &amp; ADDRESS(76, 'Additional Chemicals-WUO_TRK'!A76),_xlfn.TEXTAFTER('Additional Chemicals-WUO_ERR'!A76, ":"))))</f>
        <v/>
      </c>
    </row>
    <row r="77">
      <c r="A77" s="38">
        <f>IF('Additional Chemicals'!B77 = "", "", IF('Additional Chemicals-WUO_ERR'!A77 = "", "Validated", HYPERLINK("#" &amp; ADDRESS(77, 'Additional Chemicals-WUO_TRK'!A77),_xlfn.TEXTAFTER('Additional Chemicals-WUO_ERR'!A77, ":"))))</f>
        <v/>
      </c>
    </row>
    <row r="78">
      <c r="A78" s="38">
        <f>IF('Additional Chemicals'!B78 = "", "", IF('Additional Chemicals-WUO_ERR'!A78 = "", "Validated", HYPERLINK("#" &amp; ADDRESS(78, 'Additional Chemicals-WUO_TRK'!A78),_xlfn.TEXTAFTER('Additional Chemicals-WUO_ERR'!A78, ":"))))</f>
        <v/>
      </c>
    </row>
    <row r="79">
      <c r="A79" s="38">
        <f>IF('Additional Chemicals'!B79 = "", "", IF('Additional Chemicals-WUO_ERR'!A79 = "", "Validated", HYPERLINK("#" &amp; ADDRESS(79, 'Additional Chemicals-WUO_TRK'!A79),_xlfn.TEXTAFTER('Additional Chemicals-WUO_ERR'!A79, ":"))))</f>
        <v/>
      </c>
    </row>
    <row r="80">
      <c r="A80" s="38">
        <f>IF('Additional Chemicals'!B80 = "", "", IF('Additional Chemicals-WUO_ERR'!A80 = "", "Validated", HYPERLINK("#" &amp; ADDRESS(80, 'Additional Chemicals-WUO_TRK'!A80),_xlfn.TEXTAFTER('Additional Chemicals-WUO_ERR'!A80, ":"))))</f>
        <v/>
      </c>
    </row>
    <row r="81">
      <c r="A81" s="38">
        <f>IF('Additional Chemicals'!B81 = "", "", IF('Additional Chemicals-WUO_ERR'!A81 = "", "Validated", HYPERLINK("#" &amp; ADDRESS(81, 'Additional Chemicals-WUO_TRK'!A81),_xlfn.TEXTAFTER('Additional Chemicals-WUO_ERR'!A81, ":"))))</f>
        <v/>
      </c>
    </row>
    <row r="82">
      <c r="A82" s="38">
        <f>IF('Additional Chemicals'!B82 = "", "", IF('Additional Chemicals-WUO_ERR'!A82 = "", "Validated", HYPERLINK("#" &amp; ADDRESS(82, 'Additional Chemicals-WUO_TRK'!A82),_xlfn.TEXTAFTER('Additional Chemicals-WUO_ERR'!A82, ":"))))</f>
        <v/>
      </c>
    </row>
    <row r="83">
      <c r="A83" s="38">
        <f>IF('Additional Chemicals'!B83 = "", "", IF('Additional Chemicals-WUO_ERR'!A83 = "", "Validated", HYPERLINK("#" &amp; ADDRESS(83, 'Additional Chemicals-WUO_TRK'!A83),_xlfn.TEXTAFTER('Additional Chemicals-WUO_ERR'!A83, ":"))))</f>
        <v/>
      </c>
    </row>
    <row r="84">
      <c r="A84" s="38">
        <f>IF('Additional Chemicals'!B84 = "", "", IF('Additional Chemicals-WUO_ERR'!A84 = "", "Validated", HYPERLINK("#" &amp; ADDRESS(84, 'Additional Chemicals-WUO_TRK'!A84),_xlfn.TEXTAFTER('Additional Chemicals-WUO_ERR'!A84, ":"))))</f>
        <v/>
      </c>
    </row>
    <row r="85">
      <c r="A85" s="38">
        <f>IF('Additional Chemicals'!B85 = "", "", IF('Additional Chemicals-WUO_ERR'!A85 = "", "Validated", HYPERLINK("#" &amp; ADDRESS(85, 'Additional Chemicals-WUO_TRK'!A85),_xlfn.TEXTAFTER('Additional Chemicals-WUO_ERR'!A85, ":"))))</f>
        <v/>
      </c>
    </row>
    <row r="86">
      <c r="A86" s="38">
        <f>IF('Additional Chemicals'!B86 = "", "", IF('Additional Chemicals-WUO_ERR'!A86 = "", "Validated", HYPERLINK("#" &amp; ADDRESS(86, 'Additional Chemicals-WUO_TRK'!A86),_xlfn.TEXTAFTER('Additional Chemicals-WUO_ERR'!A86, ":"))))</f>
        <v/>
      </c>
    </row>
    <row r="87">
      <c r="A87" s="38">
        <f>IF('Additional Chemicals'!B87 = "", "", IF('Additional Chemicals-WUO_ERR'!A87 = "", "Validated", HYPERLINK("#" &amp; ADDRESS(87, 'Additional Chemicals-WUO_TRK'!A87),_xlfn.TEXTAFTER('Additional Chemicals-WUO_ERR'!A87, ":"))))</f>
        <v/>
      </c>
    </row>
    <row r="88">
      <c r="A88" s="38">
        <f>IF('Additional Chemicals'!B88 = "", "", IF('Additional Chemicals-WUO_ERR'!A88 = "", "Validated", HYPERLINK("#" &amp; ADDRESS(88, 'Additional Chemicals-WUO_TRK'!A88),_xlfn.TEXTAFTER('Additional Chemicals-WUO_ERR'!A88, ":"))))</f>
        <v/>
      </c>
    </row>
    <row r="89">
      <c r="A89" s="38">
        <f>IF('Additional Chemicals'!B89 = "", "", IF('Additional Chemicals-WUO_ERR'!A89 = "", "Validated", HYPERLINK("#" &amp; ADDRESS(89, 'Additional Chemicals-WUO_TRK'!A89),_xlfn.TEXTAFTER('Additional Chemicals-WUO_ERR'!A89, ":"))))</f>
        <v/>
      </c>
    </row>
    <row r="90">
      <c r="A90" s="38">
        <f>IF('Additional Chemicals'!B90 = "", "", IF('Additional Chemicals-WUO_ERR'!A90 = "", "Validated", HYPERLINK("#" &amp; ADDRESS(90, 'Additional Chemicals-WUO_TRK'!A90),_xlfn.TEXTAFTER('Additional Chemicals-WUO_ERR'!A90, ":"))))</f>
        <v/>
      </c>
    </row>
    <row r="91">
      <c r="A91" s="38">
        <f>IF('Additional Chemicals'!B91 = "", "", IF('Additional Chemicals-WUO_ERR'!A91 = "", "Validated", HYPERLINK("#" &amp; ADDRESS(91, 'Additional Chemicals-WUO_TRK'!A91),_xlfn.TEXTAFTER('Additional Chemicals-WUO_ERR'!A91, ":"))))</f>
        <v/>
      </c>
    </row>
    <row r="92">
      <c r="A92" s="38">
        <f>IF('Additional Chemicals'!B92 = "", "", IF('Additional Chemicals-WUO_ERR'!A92 = "", "Validated", HYPERLINK("#" &amp; ADDRESS(92, 'Additional Chemicals-WUO_TRK'!A92),_xlfn.TEXTAFTER('Additional Chemicals-WUO_ERR'!A92, ":"))))</f>
        <v/>
      </c>
    </row>
    <row r="93">
      <c r="A93" s="38">
        <f>IF('Additional Chemicals'!B93 = "", "", IF('Additional Chemicals-WUO_ERR'!A93 = "", "Validated", HYPERLINK("#" &amp; ADDRESS(93, 'Additional Chemicals-WUO_TRK'!A93),_xlfn.TEXTAFTER('Additional Chemicals-WUO_ERR'!A93, ":"))))</f>
        <v/>
      </c>
    </row>
    <row r="94">
      <c r="A94" s="38">
        <f>IF('Additional Chemicals'!B94 = "", "", IF('Additional Chemicals-WUO_ERR'!A94 = "", "Validated", HYPERLINK("#" &amp; ADDRESS(94, 'Additional Chemicals-WUO_TRK'!A94),_xlfn.TEXTAFTER('Additional Chemicals-WUO_ERR'!A94, ":"))))</f>
        <v/>
      </c>
    </row>
    <row r="95">
      <c r="A95" s="38">
        <f>IF('Additional Chemicals'!B95 = "", "", IF('Additional Chemicals-WUO_ERR'!A95 = "", "Validated", HYPERLINK("#" &amp; ADDRESS(95, 'Additional Chemicals-WUO_TRK'!A95),_xlfn.TEXTAFTER('Additional Chemicals-WUO_ERR'!A95, ":"))))</f>
        <v/>
      </c>
    </row>
    <row r="96">
      <c r="A96" s="38">
        <f>IF('Additional Chemicals'!B96 = "", "", IF('Additional Chemicals-WUO_ERR'!A96 = "", "Validated", HYPERLINK("#" &amp; ADDRESS(96, 'Additional Chemicals-WUO_TRK'!A96),_xlfn.TEXTAFTER('Additional Chemicals-WUO_ERR'!A96, ":"))))</f>
        <v/>
      </c>
    </row>
    <row r="97">
      <c r="A97" s="38">
        <f>IF('Additional Chemicals'!B97 = "", "", IF('Additional Chemicals-WUO_ERR'!A97 = "", "Validated", HYPERLINK("#" &amp; ADDRESS(97, 'Additional Chemicals-WUO_TRK'!A97),_xlfn.TEXTAFTER('Additional Chemicals-WUO_ERR'!A97, ":"))))</f>
        <v/>
      </c>
    </row>
    <row r="98">
      <c r="A98" s="38">
        <f>IF('Additional Chemicals'!B98 = "", "", IF('Additional Chemicals-WUO_ERR'!A98 = "", "Validated", HYPERLINK("#" &amp; ADDRESS(98, 'Additional Chemicals-WUO_TRK'!A98),_xlfn.TEXTAFTER('Additional Chemicals-WUO_ERR'!A98, ":"))))</f>
        <v/>
      </c>
    </row>
    <row r="99">
      <c r="A99" s="38">
        <f>IF('Additional Chemicals'!B99 = "", "", IF('Additional Chemicals-WUO_ERR'!A99 = "", "Validated", HYPERLINK("#" &amp; ADDRESS(99, 'Additional Chemicals-WUO_TRK'!A99),_xlfn.TEXTAFTER('Additional Chemicals-WUO_ERR'!A99, ":"))))</f>
        <v/>
      </c>
    </row>
    <row r="100">
      <c r="A100" s="38">
        <f>IF('Additional Chemicals'!B100 = "", "", IF('Additional Chemicals-WUO_ERR'!A100 = "", "Validated", HYPERLINK("#" &amp; ADDRESS(100, 'Additional Chemicals-WUO_TRK'!A100),_xlfn.TEXTAFTER('Additional Chemicals-WUO_ERR'!A100, ":"))))</f>
        <v/>
      </c>
    </row>
    <row r="101">
      <c r="A101" s="38">
        <f>IF('Additional Chemicals'!B101 = "", "", IF('Additional Chemicals-WUO_ERR'!A101 = "", "Validated", HYPERLINK("#" &amp; ADDRESS(101, 'Additional Chemicals-WUO_TRK'!A101),_xlfn.TEXTAFTER('Additional Chemicals-WUO_ERR'!A101, ":"))))</f>
        <v/>
      </c>
    </row>
    <row r="102">
      <c r="A102" s="38">
        <f>IF('Additional Chemicals'!B102 = "", "", IF('Additional Chemicals-WUO_ERR'!A102 = "", "Validated", HYPERLINK("#" &amp; ADDRESS(102, 'Additional Chemicals-WUO_TRK'!A102),_xlfn.TEXTAFTER('Additional Chemicals-WUO_ERR'!A102, ":"))))</f>
        <v/>
      </c>
    </row>
    <row r="103">
      <c r="A103" s="38">
        <f>IF('Additional Chemicals'!B103 = "", "", IF('Additional Chemicals-WUO_ERR'!A103 = "", "Validated", HYPERLINK("#" &amp; ADDRESS(103, 'Additional Chemicals-WUO_TRK'!A103),_xlfn.TEXTAFTER('Additional Chemicals-WUO_ERR'!A103, ":"))))</f>
        <v/>
      </c>
    </row>
    <row r="104">
      <c r="A104" s="38">
        <f>IF('Additional Chemicals'!B104 = "", "", IF('Additional Chemicals-WUO_ERR'!A104 = "", "Validated", HYPERLINK("#" &amp; ADDRESS(104, 'Additional Chemicals-WUO_TRK'!A104),_xlfn.TEXTAFTER('Additional Chemicals-WUO_ERR'!A104, ":"))))</f>
        <v/>
      </c>
    </row>
    <row r="105">
      <c r="A105" s="38">
        <f>IF('Additional Chemicals'!B105 = "", "", IF('Additional Chemicals-WUO_ERR'!A105 = "", "Validated", HYPERLINK("#" &amp; ADDRESS(105, 'Additional Chemicals-WUO_TRK'!A105),_xlfn.TEXTAFTER('Additional Chemicals-WUO_ERR'!A105, ":"))))</f>
        <v/>
      </c>
    </row>
    <row r="106">
      <c r="A106" s="38">
        <f>IF('Additional Chemicals'!B106 = "", "", IF('Additional Chemicals-WUO_ERR'!A106 = "", "Validated", HYPERLINK("#" &amp; ADDRESS(106, 'Additional Chemicals-WUO_TRK'!A106),_xlfn.TEXTAFTER('Additional Chemicals-WUO_ERR'!A106, ":"))))</f>
        <v/>
      </c>
    </row>
    <row r="107">
      <c r="A107" s="38">
        <f>IF('Additional Chemicals'!B107 = "", "", IF('Additional Chemicals-WUO_ERR'!A107 = "", "Validated", HYPERLINK("#" &amp; ADDRESS(107, 'Additional Chemicals-WUO_TRK'!A107),_xlfn.TEXTAFTER('Additional Chemicals-WUO_ERR'!A107, ":"))))</f>
        <v/>
      </c>
    </row>
    <row r="108">
      <c r="A108" s="38">
        <f>IF('Additional Chemicals'!B108 = "", "", IF('Additional Chemicals-WUO_ERR'!A108 = "", "Validated", HYPERLINK("#" &amp; ADDRESS(108, 'Additional Chemicals-WUO_TRK'!A108),_xlfn.TEXTAFTER('Additional Chemicals-WUO_ERR'!A108, ":"))))</f>
        <v/>
      </c>
    </row>
    <row r="109">
      <c r="A109" s="38">
        <f>IF('Additional Chemicals'!B109 = "", "", IF('Additional Chemicals-WUO_ERR'!A109 = "", "Validated", HYPERLINK("#" &amp; ADDRESS(109, 'Additional Chemicals-WUO_TRK'!A109),_xlfn.TEXTAFTER('Additional Chemicals-WUO_ERR'!A109, ":"))))</f>
        <v/>
      </c>
    </row>
    <row r="110">
      <c r="A110" s="38">
        <f>IF('Additional Chemicals'!B110 = "", "", IF('Additional Chemicals-WUO_ERR'!A110 = "", "Validated", HYPERLINK("#" &amp; ADDRESS(110, 'Additional Chemicals-WUO_TRK'!A110),_xlfn.TEXTAFTER('Additional Chemicals-WUO_ERR'!A110, ":"))))</f>
        <v/>
      </c>
    </row>
    <row r="111">
      <c r="A111" s="38">
        <f>IF('Additional Chemicals'!B111 = "", "", IF('Additional Chemicals-WUO_ERR'!A111 = "", "Validated", HYPERLINK("#" &amp; ADDRESS(111, 'Additional Chemicals-WUO_TRK'!A111),_xlfn.TEXTAFTER('Additional Chemicals-WUO_ERR'!A111, ":"))))</f>
        <v/>
      </c>
    </row>
    <row r="112">
      <c r="A112" s="38">
        <f>IF('Additional Chemicals'!B112 = "", "", IF('Additional Chemicals-WUO_ERR'!A112 = "", "Validated", HYPERLINK("#" &amp; ADDRESS(112, 'Additional Chemicals-WUO_TRK'!A112),_xlfn.TEXTAFTER('Additional Chemicals-WUO_ERR'!A112, ":"))))</f>
        <v/>
      </c>
    </row>
    <row r="113">
      <c r="A113" s="38">
        <f>IF('Additional Chemicals'!B113 = "", "", IF('Additional Chemicals-WUO_ERR'!A113 = "", "Validated", HYPERLINK("#" &amp; ADDRESS(113, 'Additional Chemicals-WUO_TRK'!A113),_xlfn.TEXTAFTER('Additional Chemicals-WUO_ERR'!A113, ":"))))</f>
        <v/>
      </c>
    </row>
    <row r="114">
      <c r="A114" s="38">
        <f>IF('Additional Chemicals'!B114 = "", "", IF('Additional Chemicals-WUO_ERR'!A114 = "", "Validated", HYPERLINK("#" &amp; ADDRESS(114, 'Additional Chemicals-WUO_TRK'!A114),_xlfn.TEXTAFTER('Additional Chemicals-WUO_ERR'!A114, ":"))))</f>
        <v/>
      </c>
    </row>
    <row r="115">
      <c r="A115" s="38">
        <f>IF('Additional Chemicals'!B115 = "", "", IF('Additional Chemicals-WUO_ERR'!A115 = "", "Validated", HYPERLINK("#" &amp; ADDRESS(115, 'Additional Chemicals-WUO_TRK'!A115),_xlfn.TEXTAFTER('Additional Chemicals-WUO_ERR'!A115, ":"))))</f>
        <v/>
      </c>
    </row>
    <row r="116">
      <c r="A116" s="38">
        <f>IF('Additional Chemicals'!B116 = "", "", IF('Additional Chemicals-WUO_ERR'!A116 = "", "Validated", HYPERLINK("#" &amp; ADDRESS(116, 'Additional Chemicals-WUO_TRK'!A116),_xlfn.TEXTAFTER('Additional Chemicals-WUO_ERR'!A116, ":"))))</f>
        <v/>
      </c>
    </row>
    <row r="117">
      <c r="A117" s="38">
        <f>IF('Additional Chemicals'!B117 = "", "", IF('Additional Chemicals-WUO_ERR'!A117 = "", "Validated", HYPERLINK("#" &amp; ADDRESS(117, 'Additional Chemicals-WUO_TRK'!A117),_xlfn.TEXTAFTER('Additional Chemicals-WUO_ERR'!A117, ":"))))</f>
        <v/>
      </c>
    </row>
    <row r="118">
      <c r="A118" s="38">
        <f>IF('Additional Chemicals'!B118 = "", "", IF('Additional Chemicals-WUO_ERR'!A118 = "", "Validated", HYPERLINK("#" &amp; ADDRESS(118, 'Additional Chemicals-WUO_TRK'!A118),_xlfn.TEXTAFTER('Additional Chemicals-WUO_ERR'!A118, ":"))))</f>
        <v/>
      </c>
    </row>
    <row r="119">
      <c r="A119" s="38">
        <f>IF('Additional Chemicals'!B119 = "", "", IF('Additional Chemicals-WUO_ERR'!A119 = "", "Validated", HYPERLINK("#" &amp; ADDRESS(119, 'Additional Chemicals-WUO_TRK'!A119),_xlfn.TEXTAFTER('Additional Chemicals-WUO_ERR'!A119, ":"))))</f>
        <v/>
      </c>
    </row>
    <row r="120">
      <c r="A120" s="38">
        <f>IF('Additional Chemicals'!B120 = "", "", IF('Additional Chemicals-WUO_ERR'!A120 = "", "Validated", HYPERLINK("#" &amp; ADDRESS(120, 'Additional Chemicals-WUO_TRK'!A120),_xlfn.TEXTAFTER('Additional Chemicals-WUO_ERR'!A120, ":"))))</f>
        <v/>
      </c>
    </row>
    <row r="121">
      <c r="A121" s="38">
        <f>IF('Additional Chemicals'!B121 = "", "", IF('Additional Chemicals-WUO_ERR'!A121 = "", "Validated", HYPERLINK("#" &amp; ADDRESS(121, 'Additional Chemicals-WUO_TRK'!A121),_xlfn.TEXTAFTER('Additional Chemicals-WUO_ERR'!A121, ":"))))</f>
        <v/>
      </c>
    </row>
    <row r="122">
      <c r="A122" s="38">
        <f>IF('Additional Chemicals'!B122 = "", "", IF('Additional Chemicals-WUO_ERR'!A122 = "", "Validated", HYPERLINK("#" &amp; ADDRESS(122, 'Additional Chemicals-WUO_TRK'!A122),_xlfn.TEXTAFTER('Additional Chemicals-WUO_ERR'!A122, ":"))))</f>
        <v/>
      </c>
    </row>
    <row r="123">
      <c r="A123" s="38">
        <f>IF('Additional Chemicals'!B123 = "", "", IF('Additional Chemicals-WUO_ERR'!A123 = "", "Validated", HYPERLINK("#" &amp; ADDRESS(123, 'Additional Chemicals-WUO_TRK'!A123),_xlfn.TEXTAFTER('Additional Chemicals-WUO_ERR'!A123, ":"))))</f>
        <v/>
      </c>
    </row>
    <row r="124">
      <c r="A124" s="38">
        <f>IF('Additional Chemicals'!B124 = "", "", IF('Additional Chemicals-WUO_ERR'!A124 = "", "Validated", HYPERLINK("#" &amp; ADDRESS(124, 'Additional Chemicals-WUO_TRK'!A124),_xlfn.TEXTAFTER('Additional Chemicals-WUO_ERR'!A124, ":"))))</f>
        <v/>
      </c>
    </row>
    <row r="125">
      <c r="A125" s="38">
        <f>IF('Additional Chemicals'!B125 = "", "", IF('Additional Chemicals-WUO_ERR'!A125 = "", "Validated", HYPERLINK("#" &amp; ADDRESS(125, 'Additional Chemicals-WUO_TRK'!A125),_xlfn.TEXTAFTER('Additional Chemicals-WUO_ERR'!A125, ":"))))</f>
        <v/>
      </c>
    </row>
    <row r="126">
      <c r="A126" s="38">
        <f>IF('Additional Chemicals'!B126 = "", "", IF('Additional Chemicals-WUO_ERR'!A126 = "", "Validated", HYPERLINK("#" &amp; ADDRESS(126, 'Additional Chemicals-WUO_TRK'!A126),_xlfn.TEXTAFTER('Additional Chemicals-WUO_ERR'!A126, ":"))))</f>
        <v/>
      </c>
    </row>
    <row r="127">
      <c r="A127" s="38">
        <f>IF('Additional Chemicals'!B127 = "", "", IF('Additional Chemicals-WUO_ERR'!A127 = "", "Validated", HYPERLINK("#" &amp; ADDRESS(127, 'Additional Chemicals-WUO_TRK'!A127),_xlfn.TEXTAFTER('Additional Chemicals-WUO_ERR'!A127, ":"))))</f>
        <v/>
      </c>
    </row>
    <row r="128">
      <c r="A128" s="38">
        <f>IF('Additional Chemicals'!B128 = "", "", IF('Additional Chemicals-WUO_ERR'!A128 = "", "Validated", HYPERLINK("#" &amp; ADDRESS(128, 'Additional Chemicals-WUO_TRK'!A128),_xlfn.TEXTAFTER('Additional Chemicals-WUO_ERR'!A128, ":"))))</f>
        <v/>
      </c>
    </row>
    <row r="129">
      <c r="A129" s="38">
        <f>IF('Additional Chemicals'!B129 = "", "", IF('Additional Chemicals-WUO_ERR'!A129 = "", "Validated", HYPERLINK("#" &amp; ADDRESS(129, 'Additional Chemicals-WUO_TRK'!A129),_xlfn.TEXTAFTER('Additional Chemicals-WUO_ERR'!A129, ":"))))</f>
        <v/>
      </c>
    </row>
    <row r="130">
      <c r="A130" s="38">
        <f>IF('Additional Chemicals'!B130 = "", "", IF('Additional Chemicals-WUO_ERR'!A130 = "", "Validated", HYPERLINK("#" &amp; ADDRESS(130, 'Additional Chemicals-WUO_TRK'!A130),_xlfn.TEXTAFTER('Additional Chemicals-WUO_ERR'!A130, ":"))))</f>
        <v/>
      </c>
    </row>
    <row r="131">
      <c r="A131" s="38">
        <f>IF('Additional Chemicals'!B131 = "", "", IF('Additional Chemicals-WUO_ERR'!A131 = "", "Validated", HYPERLINK("#" &amp; ADDRESS(131, 'Additional Chemicals-WUO_TRK'!A131),_xlfn.TEXTAFTER('Additional Chemicals-WUO_ERR'!A131, ":"))))</f>
        <v/>
      </c>
    </row>
    <row r="132">
      <c r="A132" s="38">
        <f>IF('Additional Chemicals'!B132 = "", "", IF('Additional Chemicals-WUO_ERR'!A132 = "", "Validated", HYPERLINK("#" &amp; ADDRESS(132, 'Additional Chemicals-WUO_TRK'!A132),_xlfn.TEXTAFTER('Additional Chemicals-WUO_ERR'!A132, ":"))))</f>
        <v/>
      </c>
    </row>
    <row r="133">
      <c r="A133" s="38">
        <f>IF('Additional Chemicals'!B133 = "", "", IF('Additional Chemicals-WUO_ERR'!A133 = "", "Validated", HYPERLINK("#" &amp; ADDRESS(133, 'Additional Chemicals-WUO_TRK'!A133),_xlfn.TEXTAFTER('Additional Chemicals-WUO_ERR'!A133, ":"))))</f>
        <v/>
      </c>
    </row>
    <row r="134">
      <c r="A134" s="38">
        <f>IF('Additional Chemicals'!B134 = "", "", IF('Additional Chemicals-WUO_ERR'!A134 = "", "Validated", HYPERLINK("#" &amp; ADDRESS(134, 'Additional Chemicals-WUO_TRK'!A134),_xlfn.TEXTAFTER('Additional Chemicals-WUO_ERR'!A134, ":"))))</f>
        <v/>
      </c>
    </row>
    <row r="135">
      <c r="A135" s="38">
        <f>IF('Additional Chemicals'!B135 = "", "", IF('Additional Chemicals-WUO_ERR'!A135 = "", "Validated", HYPERLINK("#" &amp; ADDRESS(135, 'Additional Chemicals-WUO_TRK'!A135),_xlfn.TEXTAFTER('Additional Chemicals-WUO_ERR'!A135, ":"))))</f>
        <v/>
      </c>
    </row>
    <row r="136">
      <c r="A136" s="38">
        <f>IF('Additional Chemicals'!B136 = "", "", IF('Additional Chemicals-WUO_ERR'!A136 = "", "Validated", HYPERLINK("#" &amp; ADDRESS(136, 'Additional Chemicals-WUO_TRK'!A136),_xlfn.TEXTAFTER('Additional Chemicals-WUO_ERR'!A136, ":"))))</f>
        <v/>
      </c>
    </row>
    <row r="137">
      <c r="A137" s="38">
        <f>IF('Additional Chemicals'!B137 = "", "", IF('Additional Chemicals-WUO_ERR'!A137 = "", "Validated", HYPERLINK("#" &amp; ADDRESS(137, 'Additional Chemicals-WUO_TRK'!A137),_xlfn.TEXTAFTER('Additional Chemicals-WUO_ERR'!A137, ":"))))</f>
        <v/>
      </c>
    </row>
    <row r="138">
      <c r="A138" s="38">
        <f>IF('Additional Chemicals'!B138 = "", "", IF('Additional Chemicals-WUO_ERR'!A138 = "", "Validated", HYPERLINK("#" &amp; ADDRESS(138, 'Additional Chemicals-WUO_TRK'!A138),_xlfn.TEXTAFTER('Additional Chemicals-WUO_ERR'!A138, ":"))))</f>
        <v/>
      </c>
    </row>
    <row r="139">
      <c r="A139" s="38">
        <f>IF('Additional Chemicals'!B139 = "", "", IF('Additional Chemicals-WUO_ERR'!A139 = "", "Validated", HYPERLINK("#" &amp; ADDRESS(139, 'Additional Chemicals-WUO_TRK'!A139),_xlfn.TEXTAFTER('Additional Chemicals-WUO_ERR'!A139, ":"))))</f>
        <v/>
      </c>
    </row>
    <row r="140">
      <c r="A140" s="38">
        <f>IF('Additional Chemicals'!B140 = "", "", IF('Additional Chemicals-WUO_ERR'!A140 = "", "Validated", HYPERLINK("#" &amp; ADDRESS(140, 'Additional Chemicals-WUO_TRK'!A140),_xlfn.TEXTAFTER('Additional Chemicals-WUO_ERR'!A140, ":"))))</f>
        <v/>
      </c>
    </row>
    <row r="141">
      <c r="A141" s="38">
        <f>IF('Additional Chemicals'!B141 = "", "", IF('Additional Chemicals-WUO_ERR'!A141 = "", "Validated", HYPERLINK("#" &amp; ADDRESS(141, 'Additional Chemicals-WUO_TRK'!A141),_xlfn.TEXTAFTER('Additional Chemicals-WUO_ERR'!A141, ":"))))</f>
        <v/>
      </c>
    </row>
    <row r="142">
      <c r="A142" s="38">
        <f>IF('Additional Chemicals'!B142 = "", "", IF('Additional Chemicals-WUO_ERR'!A142 = "", "Validated", HYPERLINK("#" &amp; ADDRESS(142, 'Additional Chemicals-WUO_TRK'!A142),_xlfn.TEXTAFTER('Additional Chemicals-WUO_ERR'!A142, ":"))))</f>
        <v/>
      </c>
    </row>
    <row r="143">
      <c r="A143" s="38">
        <f>IF('Additional Chemicals'!B143 = "", "", IF('Additional Chemicals-WUO_ERR'!A143 = "", "Validated", HYPERLINK("#" &amp; ADDRESS(143, 'Additional Chemicals-WUO_TRK'!A143),_xlfn.TEXTAFTER('Additional Chemicals-WUO_ERR'!A143, ":"))))</f>
        <v/>
      </c>
    </row>
    <row r="144">
      <c r="A144" s="38">
        <f>IF('Additional Chemicals'!B144 = "", "", IF('Additional Chemicals-WUO_ERR'!A144 = "", "Validated", HYPERLINK("#" &amp; ADDRESS(144, 'Additional Chemicals-WUO_TRK'!A144),_xlfn.TEXTAFTER('Additional Chemicals-WUO_ERR'!A144, ":"))))</f>
        <v/>
      </c>
    </row>
    <row r="145">
      <c r="A145" s="38">
        <f>IF('Additional Chemicals'!B145 = "", "", IF('Additional Chemicals-WUO_ERR'!A145 = "", "Validated", HYPERLINK("#" &amp; ADDRESS(145, 'Additional Chemicals-WUO_TRK'!A145),_xlfn.TEXTAFTER('Additional Chemicals-WUO_ERR'!A145, ":"))))</f>
        <v/>
      </c>
    </row>
    <row r="146">
      <c r="A146" s="38">
        <f>IF('Additional Chemicals'!B146 = "", "", IF('Additional Chemicals-WUO_ERR'!A146 = "", "Validated", HYPERLINK("#" &amp; ADDRESS(146, 'Additional Chemicals-WUO_TRK'!A146),_xlfn.TEXTAFTER('Additional Chemicals-WUO_ERR'!A146, ":"))))</f>
        <v/>
      </c>
    </row>
    <row r="147">
      <c r="A147" s="38">
        <f>IF('Additional Chemicals'!B147 = "", "", IF('Additional Chemicals-WUO_ERR'!A147 = "", "Validated", HYPERLINK("#" &amp; ADDRESS(147, 'Additional Chemicals-WUO_TRK'!A147),_xlfn.TEXTAFTER('Additional Chemicals-WUO_ERR'!A147, ":"))))</f>
        <v/>
      </c>
    </row>
    <row r="148">
      <c r="A148" s="38">
        <f>IF('Additional Chemicals'!B148 = "", "", IF('Additional Chemicals-WUO_ERR'!A148 = "", "Validated", HYPERLINK("#" &amp; ADDRESS(148, 'Additional Chemicals-WUO_TRK'!A148),_xlfn.TEXTAFTER('Additional Chemicals-WUO_ERR'!A148, ":"))))</f>
        <v/>
      </c>
    </row>
    <row r="149">
      <c r="A149" s="38">
        <f>IF('Additional Chemicals'!B149 = "", "", IF('Additional Chemicals-WUO_ERR'!A149 = "", "Validated", HYPERLINK("#" &amp; ADDRESS(149, 'Additional Chemicals-WUO_TRK'!A149),_xlfn.TEXTAFTER('Additional Chemicals-WUO_ERR'!A149, ":"))))</f>
        <v/>
      </c>
    </row>
    <row r="150">
      <c r="A150" s="38">
        <f>IF('Additional Chemicals'!B150 = "", "", IF('Additional Chemicals-WUO_ERR'!A150 = "", "Validated", HYPERLINK("#" &amp; ADDRESS(150, 'Additional Chemicals-WUO_TRK'!A150),_xlfn.TEXTAFTER('Additional Chemicals-WUO_ERR'!A150, ":"))))</f>
        <v/>
      </c>
    </row>
    <row r="151">
      <c r="A151" s="38">
        <f>IF('Additional Chemicals'!B151 = "", "", IF('Additional Chemicals-WUO_ERR'!A151 = "", "Validated", HYPERLINK("#" &amp; ADDRESS(151, 'Additional Chemicals-WUO_TRK'!A151),_xlfn.TEXTAFTER('Additional Chemicals-WUO_ERR'!A151, ":"))))</f>
        <v/>
      </c>
    </row>
    <row r="152">
      <c r="A152" s="38">
        <f>IF('Additional Chemicals'!B152 = "", "", IF('Additional Chemicals-WUO_ERR'!A152 = "", "Validated", HYPERLINK("#" &amp; ADDRESS(152, 'Additional Chemicals-WUO_TRK'!A152),_xlfn.TEXTAFTER('Additional Chemicals-WUO_ERR'!A152, ":"))))</f>
        <v/>
      </c>
    </row>
    <row r="153">
      <c r="A153" s="38">
        <f>IF('Additional Chemicals'!B153 = "", "", IF('Additional Chemicals-WUO_ERR'!A153 = "", "Validated", HYPERLINK("#" &amp; ADDRESS(153, 'Additional Chemicals-WUO_TRK'!A153),_xlfn.TEXTAFTER('Additional Chemicals-WUO_ERR'!A153, ":"))))</f>
        <v/>
      </c>
    </row>
    <row r="154">
      <c r="A154" s="38">
        <f>IF('Additional Chemicals'!B154 = "", "", IF('Additional Chemicals-WUO_ERR'!A154 = "", "Validated", HYPERLINK("#" &amp; ADDRESS(154, 'Additional Chemicals-WUO_TRK'!A154),_xlfn.TEXTAFTER('Additional Chemicals-WUO_ERR'!A154, ":"))))</f>
        <v/>
      </c>
    </row>
    <row r="155">
      <c r="A155" s="38">
        <f>IF('Additional Chemicals'!B155 = "", "", IF('Additional Chemicals-WUO_ERR'!A155 = "", "Validated", HYPERLINK("#" &amp; ADDRESS(155, 'Additional Chemicals-WUO_TRK'!A155),_xlfn.TEXTAFTER('Additional Chemicals-WUO_ERR'!A155, ":"))))</f>
        <v/>
      </c>
    </row>
    <row r="156">
      <c r="A156" s="38">
        <f>IF('Additional Chemicals'!B156 = "", "", IF('Additional Chemicals-WUO_ERR'!A156 = "", "Validated", HYPERLINK("#" &amp; ADDRESS(156, 'Additional Chemicals-WUO_TRK'!A156),_xlfn.TEXTAFTER('Additional Chemicals-WUO_ERR'!A156, ":"))))</f>
        <v/>
      </c>
    </row>
    <row r="157">
      <c r="A157" s="38">
        <f>IF('Additional Chemicals'!B157 = "", "", IF('Additional Chemicals-WUO_ERR'!A157 = "", "Validated", HYPERLINK("#" &amp; ADDRESS(157, 'Additional Chemicals-WUO_TRK'!A157),_xlfn.TEXTAFTER('Additional Chemicals-WUO_ERR'!A157, ":"))))</f>
        <v/>
      </c>
    </row>
    <row r="158">
      <c r="A158" s="38">
        <f>IF('Additional Chemicals'!B158 = "", "", IF('Additional Chemicals-WUO_ERR'!A158 = "", "Validated", HYPERLINK("#" &amp; ADDRESS(158, 'Additional Chemicals-WUO_TRK'!A158),_xlfn.TEXTAFTER('Additional Chemicals-WUO_ERR'!A158, ":"))))</f>
        <v/>
      </c>
    </row>
    <row r="159">
      <c r="A159" s="38">
        <f>IF('Additional Chemicals'!B159 = "", "", IF('Additional Chemicals-WUO_ERR'!A159 = "", "Validated", HYPERLINK("#" &amp; ADDRESS(159, 'Additional Chemicals-WUO_TRK'!A159),_xlfn.TEXTAFTER('Additional Chemicals-WUO_ERR'!A159, ":"))))</f>
        <v/>
      </c>
    </row>
    <row r="160">
      <c r="A160" s="38">
        <f>IF('Additional Chemicals'!B160 = "", "", IF('Additional Chemicals-WUO_ERR'!A160 = "", "Validated", HYPERLINK("#" &amp; ADDRESS(160, 'Additional Chemicals-WUO_TRK'!A160),_xlfn.TEXTAFTER('Additional Chemicals-WUO_ERR'!A160, ":"))))</f>
        <v/>
      </c>
    </row>
    <row r="161">
      <c r="A161" s="38">
        <f>IF('Additional Chemicals'!B161 = "", "", IF('Additional Chemicals-WUO_ERR'!A161 = "", "Validated", HYPERLINK("#" &amp; ADDRESS(161, 'Additional Chemicals-WUO_TRK'!A161),_xlfn.TEXTAFTER('Additional Chemicals-WUO_ERR'!A161, ":"))))</f>
        <v/>
      </c>
    </row>
    <row r="162">
      <c r="A162" s="38">
        <f>IF('Additional Chemicals'!B162 = "", "", IF('Additional Chemicals-WUO_ERR'!A162 = "", "Validated", HYPERLINK("#" &amp; ADDRESS(162, 'Additional Chemicals-WUO_TRK'!A162),_xlfn.TEXTAFTER('Additional Chemicals-WUO_ERR'!A162, ":"))))</f>
        <v/>
      </c>
    </row>
    <row r="163">
      <c r="A163" s="38">
        <f>IF('Additional Chemicals'!B163 = "", "", IF('Additional Chemicals-WUO_ERR'!A163 = "", "Validated", HYPERLINK("#" &amp; ADDRESS(163, 'Additional Chemicals-WUO_TRK'!A163),_xlfn.TEXTAFTER('Additional Chemicals-WUO_ERR'!A163, ":"))))</f>
        <v/>
      </c>
    </row>
    <row r="164">
      <c r="A164" s="38">
        <f>IF('Additional Chemicals'!B164 = "", "", IF('Additional Chemicals-WUO_ERR'!A164 = "", "Validated", HYPERLINK("#" &amp; ADDRESS(164, 'Additional Chemicals-WUO_TRK'!A164),_xlfn.TEXTAFTER('Additional Chemicals-WUO_ERR'!A164, ":"))))</f>
        <v/>
      </c>
    </row>
    <row r="165">
      <c r="A165" s="38">
        <f>IF('Additional Chemicals'!B165 = "", "", IF('Additional Chemicals-WUO_ERR'!A165 = "", "Validated", HYPERLINK("#" &amp; ADDRESS(165, 'Additional Chemicals-WUO_TRK'!A165),_xlfn.TEXTAFTER('Additional Chemicals-WUO_ERR'!A165, ":"))))</f>
        <v/>
      </c>
    </row>
    <row r="166">
      <c r="A166" s="38">
        <f>IF('Additional Chemicals'!B166 = "", "", IF('Additional Chemicals-WUO_ERR'!A166 = "", "Validated", HYPERLINK("#" &amp; ADDRESS(166, 'Additional Chemicals-WUO_TRK'!A166),_xlfn.TEXTAFTER('Additional Chemicals-WUO_ERR'!A166, ":"))))</f>
        <v/>
      </c>
    </row>
    <row r="167">
      <c r="A167" s="38">
        <f>IF('Additional Chemicals'!B167 = "", "", IF('Additional Chemicals-WUO_ERR'!A167 = "", "Validated", HYPERLINK("#" &amp; ADDRESS(167, 'Additional Chemicals-WUO_TRK'!A167),_xlfn.TEXTAFTER('Additional Chemicals-WUO_ERR'!A167, ":"))))</f>
        <v/>
      </c>
    </row>
    <row r="168">
      <c r="A168" s="38">
        <f>IF('Additional Chemicals'!B168 = "", "", IF('Additional Chemicals-WUO_ERR'!A168 = "", "Validated", HYPERLINK("#" &amp; ADDRESS(168, 'Additional Chemicals-WUO_TRK'!A168),_xlfn.TEXTAFTER('Additional Chemicals-WUO_ERR'!A168, ":"))))</f>
        <v/>
      </c>
    </row>
    <row r="169">
      <c r="A169" s="38">
        <f>IF('Additional Chemicals'!B169 = "", "", IF('Additional Chemicals-WUO_ERR'!A169 = "", "Validated", HYPERLINK("#" &amp; ADDRESS(169, 'Additional Chemicals-WUO_TRK'!A169),_xlfn.TEXTAFTER('Additional Chemicals-WUO_ERR'!A169, ":"))))</f>
        <v/>
      </c>
    </row>
    <row r="170">
      <c r="A170" s="38">
        <f>IF('Additional Chemicals'!B170 = "", "", IF('Additional Chemicals-WUO_ERR'!A170 = "", "Validated", HYPERLINK("#" &amp; ADDRESS(170, 'Additional Chemicals-WUO_TRK'!A170),_xlfn.TEXTAFTER('Additional Chemicals-WUO_ERR'!A170, ":"))))</f>
        <v/>
      </c>
    </row>
    <row r="171">
      <c r="A171" s="38">
        <f>IF('Additional Chemicals'!B171 = "", "", IF('Additional Chemicals-WUO_ERR'!A171 = "", "Validated", HYPERLINK("#" &amp; ADDRESS(171, 'Additional Chemicals-WUO_TRK'!A171),_xlfn.TEXTAFTER('Additional Chemicals-WUO_ERR'!A171, ":"))))</f>
        <v/>
      </c>
    </row>
    <row r="172">
      <c r="A172" s="38">
        <f>IF('Additional Chemicals'!B172 = "", "", IF('Additional Chemicals-WUO_ERR'!A172 = "", "Validated", HYPERLINK("#" &amp; ADDRESS(172, 'Additional Chemicals-WUO_TRK'!A172),_xlfn.TEXTAFTER('Additional Chemicals-WUO_ERR'!A172, ":"))))</f>
        <v/>
      </c>
    </row>
    <row r="173">
      <c r="A173" s="38">
        <f>IF('Additional Chemicals'!B173 = "", "", IF('Additional Chemicals-WUO_ERR'!A173 = "", "Validated", HYPERLINK("#" &amp; ADDRESS(173, 'Additional Chemicals-WUO_TRK'!A173),_xlfn.TEXTAFTER('Additional Chemicals-WUO_ERR'!A173, ":"))))</f>
        <v/>
      </c>
    </row>
    <row r="174">
      <c r="A174" s="38">
        <f>IF('Additional Chemicals'!B174 = "", "", IF('Additional Chemicals-WUO_ERR'!A174 = "", "Validated", HYPERLINK("#" &amp; ADDRESS(174, 'Additional Chemicals-WUO_TRK'!A174),_xlfn.TEXTAFTER('Additional Chemicals-WUO_ERR'!A174, ":"))))</f>
        <v/>
      </c>
    </row>
    <row r="175">
      <c r="A175" s="38">
        <f>IF('Additional Chemicals'!B175 = "", "", IF('Additional Chemicals-WUO_ERR'!A175 = "", "Validated", HYPERLINK("#" &amp; ADDRESS(175, 'Additional Chemicals-WUO_TRK'!A175),_xlfn.TEXTAFTER('Additional Chemicals-WUO_ERR'!A175, ":"))))</f>
        <v/>
      </c>
    </row>
    <row r="176">
      <c r="A176" s="38">
        <f>IF('Additional Chemicals'!B176 = "", "", IF('Additional Chemicals-WUO_ERR'!A176 = "", "Validated", HYPERLINK("#" &amp; ADDRESS(176, 'Additional Chemicals-WUO_TRK'!A176),_xlfn.TEXTAFTER('Additional Chemicals-WUO_ERR'!A176, ":"))))</f>
        <v/>
      </c>
    </row>
    <row r="177">
      <c r="A177" s="38">
        <f>IF('Additional Chemicals'!B177 = "", "", IF('Additional Chemicals-WUO_ERR'!A177 = "", "Validated", HYPERLINK("#" &amp; ADDRESS(177, 'Additional Chemicals-WUO_TRK'!A177),_xlfn.TEXTAFTER('Additional Chemicals-WUO_ERR'!A177, ":"))))</f>
        <v/>
      </c>
    </row>
    <row r="178">
      <c r="A178" s="38">
        <f>IF('Additional Chemicals'!B178 = "", "", IF('Additional Chemicals-WUO_ERR'!A178 = "", "Validated", HYPERLINK("#" &amp; ADDRESS(178, 'Additional Chemicals-WUO_TRK'!A178),_xlfn.TEXTAFTER('Additional Chemicals-WUO_ERR'!A178, ":"))))</f>
        <v/>
      </c>
    </row>
    <row r="179">
      <c r="A179" s="38">
        <f>IF('Additional Chemicals'!B179 = "", "", IF('Additional Chemicals-WUO_ERR'!A179 = "", "Validated", HYPERLINK("#" &amp; ADDRESS(179, 'Additional Chemicals-WUO_TRK'!A179),_xlfn.TEXTAFTER('Additional Chemicals-WUO_ERR'!A179, ":"))))</f>
        <v/>
      </c>
    </row>
    <row r="180">
      <c r="A180" s="38">
        <f>IF('Additional Chemicals'!B180 = "", "", IF('Additional Chemicals-WUO_ERR'!A180 = "", "Validated", HYPERLINK("#" &amp; ADDRESS(180, 'Additional Chemicals-WUO_TRK'!A180),_xlfn.TEXTAFTER('Additional Chemicals-WUO_ERR'!A180, ":"))))</f>
        <v/>
      </c>
    </row>
    <row r="181">
      <c r="A181" s="38">
        <f>IF('Additional Chemicals'!B181 = "", "", IF('Additional Chemicals-WUO_ERR'!A181 = "", "Validated", HYPERLINK("#" &amp; ADDRESS(181, 'Additional Chemicals-WUO_TRK'!A181),_xlfn.TEXTAFTER('Additional Chemicals-WUO_ERR'!A181, ":"))))</f>
        <v/>
      </c>
    </row>
    <row r="182">
      <c r="A182" s="38">
        <f>IF('Additional Chemicals'!B182 = "", "", IF('Additional Chemicals-WUO_ERR'!A182 = "", "Validated", HYPERLINK("#" &amp; ADDRESS(182, 'Additional Chemicals-WUO_TRK'!A182),_xlfn.TEXTAFTER('Additional Chemicals-WUO_ERR'!A182, ":"))))</f>
        <v/>
      </c>
    </row>
    <row r="183">
      <c r="A183" s="38">
        <f>IF('Additional Chemicals'!B183 = "", "", IF('Additional Chemicals-WUO_ERR'!A183 = "", "Validated", HYPERLINK("#" &amp; ADDRESS(183, 'Additional Chemicals-WUO_TRK'!A183),_xlfn.TEXTAFTER('Additional Chemicals-WUO_ERR'!A183, ":"))))</f>
        <v/>
      </c>
    </row>
    <row r="184">
      <c r="A184" s="38">
        <f>IF('Additional Chemicals'!B184 = "", "", IF('Additional Chemicals-WUO_ERR'!A184 = "", "Validated", HYPERLINK("#" &amp; ADDRESS(184, 'Additional Chemicals-WUO_TRK'!A184),_xlfn.TEXTAFTER('Additional Chemicals-WUO_ERR'!A184, ":"))))</f>
        <v/>
      </c>
    </row>
    <row r="185">
      <c r="A185" s="38">
        <f>IF('Additional Chemicals'!B185 = "", "", IF('Additional Chemicals-WUO_ERR'!A185 = "", "Validated", HYPERLINK("#" &amp; ADDRESS(185, 'Additional Chemicals-WUO_TRK'!A185),_xlfn.TEXTAFTER('Additional Chemicals-WUO_ERR'!A185, ":"))))</f>
        <v/>
      </c>
    </row>
    <row r="186">
      <c r="A186" s="38">
        <f>IF('Additional Chemicals'!B186 = "", "", IF('Additional Chemicals-WUO_ERR'!A186 = "", "Validated", HYPERLINK("#" &amp; ADDRESS(186, 'Additional Chemicals-WUO_TRK'!A186),_xlfn.TEXTAFTER('Additional Chemicals-WUO_ERR'!A186, ":"))))</f>
        <v/>
      </c>
    </row>
    <row r="187">
      <c r="A187" s="38">
        <f>IF('Additional Chemicals'!B187 = "", "", IF('Additional Chemicals-WUO_ERR'!A187 = "", "Validated", HYPERLINK("#" &amp; ADDRESS(187, 'Additional Chemicals-WUO_TRK'!A187),_xlfn.TEXTAFTER('Additional Chemicals-WUO_ERR'!A187, ":"))))</f>
        <v/>
      </c>
    </row>
    <row r="188">
      <c r="A188" s="38">
        <f>IF('Additional Chemicals'!B188 = "", "", IF('Additional Chemicals-WUO_ERR'!A188 = "", "Validated", HYPERLINK("#" &amp; ADDRESS(188, 'Additional Chemicals-WUO_TRK'!A188),_xlfn.TEXTAFTER('Additional Chemicals-WUO_ERR'!A188, ":"))))</f>
        <v/>
      </c>
    </row>
    <row r="189">
      <c r="A189" s="38">
        <f>IF('Additional Chemicals'!B189 = "", "", IF('Additional Chemicals-WUO_ERR'!A189 = "", "Validated", HYPERLINK("#" &amp; ADDRESS(189, 'Additional Chemicals-WUO_TRK'!A189),_xlfn.TEXTAFTER('Additional Chemicals-WUO_ERR'!A189, ":"))))</f>
        <v/>
      </c>
    </row>
    <row r="190">
      <c r="A190" s="38">
        <f>IF('Additional Chemicals'!B190 = "", "", IF('Additional Chemicals-WUO_ERR'!A190 = "", "Validated", HYPERLINK("#" &amp; ADDRESS(190, 'Additional Chemicals-WUO_TRK'!A190),_xlfn.TEXTAFTER('Additional Chemicals-WUO_ERR'!A190, ":"))))</f>
        <v/>
      </c>
    </row>
    <row r="191">
      <c r="A191" s="38">
        <f>IF('Additional Chemicals'!B191 = "", "", IF('Additional Chemicals-WUO_ERR'!A191 = "", "Validated", HYPERLINK("#" &amp; ADDRESS(191, 'Additional Chemicals-WUO_TRK'!A191),_xlfn.TEXTAFTER('Additional Chemicals-WUO_ERR'!A191, ":"))))</f>
        <v/>
      </c>
    </row>
    <row r="192">
      <c r="A192" s="38">
        <f>IF('Additional Chemicals'!B192 = "", "", IF('Additional Chemicals-WUO_ERR'!A192 = "", "Validated", HYPERLINK("#" &amp; ADDRESS(192, 'Additional Chemicals-WUO_TRK'!A192),_xlfn.TEXTAFTER('Additional Chemicals-WUO_ERR'!A192, ":"))))</f>
        <v/>
      </c>
    </row>
    <row r="193">
      <c r="A193" s="38">
        <f>IF('Additional Chemicals'!B193 = "", "", IF('Additional Chemicals-WUO_ERR'!A193 = "", "Validated", HYPERLINK("#" &amp; ADDRESS(193, 'Additional Chemicals-WUO_TRK'!A193),_xlfn.TEXTAFTER('Additional Chemicals-WUO_ERR'!A193, ":"))))</f>
        <v/>
      </c>
    </row>
    <row r="194">
      <c r="A194" s="38">
        <f>IF('Additional Chemicals'!B194 = "", "", IF('Additional Chemicals-WUO_ERR'!A194 = "", "Validated", HYPERLINK("#" &amp; ADDRESS(194, 'Additional Chemicals-WUO_TRK'!A194),_xlfn.TEXTAFTER('Additional Chemicals-WUO_ERR'!A194, ":"))))</f>
        <v/>
      </c>
    </row>
    <row r="195">
      <c r="A195" s="38">
        <f>IF('Additional Chemicals'!B195 = "", "", IF('Additional Chemicals-WUO_ERR'!A195 = "", "Validated", HYPERLINK("#" &amp; ADDRESS(195, 'Additional Chemicals-WUO_TRK'!A195),_xlfn.TEXTAFTER('Additional Chemicals-WUO_ERR'!A195, ":"))))</f>
        <v/>
      </c>
    </row>
    <row r="196">
      <c r="A196" s="38">
        <f>IF('Additional Chemicals'!B196 = "", "", IF('Additional Chemicals-WUO_ERR'!A196 = "", "Validated", HYPERLINK("#" &amp; ADDRESS(196, 'Additional Chemicals-WUO_TRK'!A196),_xlfn.TEXTAFTER('Additional Chemicals-WUO_ERR'!A196, ":"))))</f>
        <v/>
      </c>
    </row>
    <row r="197">
      <c r="A197" s="38">
        <f>IF('Additional Chemicals'!B197 = "", "", IF('Additional Chemicals-WUO_ERR'!A197 = "", "Validated", HYPERLINK("#" &amp; ADDRESS(197, 'Additional Chemicals-WUO_TRK'!A197),_xlfn.TEXTAFTER('Additional Chemicals-WUO_ERR'!A197, ":"))))</f>
        <v/>
      </c>
    </row>
    <row r="198">
      <c r="A198" s="38">
        <f>IF('Additional Chemicals'!B198 = "", "", IF('Additional Chemicals-WUO_ERR'!A198 = "", "Validated", HYPERLINK("#" &amp; ADDRESS(198, 'Additional Chemicals-WUO_TRK'!A198),_xlfn.TEXTAFTER('Additional Chemicals-WUO_ERR'!A198, ":"))))</f>
        <v/>
      </c>
    </row>
    <row r="199">
      <c r="A199" s="38">
        <f>IF('Additional Chemicals'!B199 = "", "", IF('Additional Chemicals-WUO_ERR'!A199 = "", "Validated", HYPERLINK("#" &amp; ADDRESS(199, 'Additional Chemicals-WUO_TRK'!A199),_xlfn.TEXTAFTER('Additional Chemicals-WUO_ERR'!A199, ":"))))</f>
        <v/>
      </c>
    </row>
    <row r="200">
      <c r="A200" s="38">
        <f>IF('Additional Chemicals'!B200 = "", "", IF('Additional Chemicals-WUO_ERR'!A200 = "", "Validated", HYPERLINK("#" &amp; ADDRESS(200, 'Additional Chemicals-WUO_TRK'!A200),_xlfn.TEXTAFTER('Additional Chemicals-WUO_ERR'!A200, ":"))))</f>
        <v/>
      </c>
    </row>
    <row r="201">
      <c r="A201" s="38">
        <f>IF('Additional Chemicals'!B201 = "", "", IF('Additional Chemicals-WUO_ERR'!A201 = "", "Validated", HYPERLINK("#" &amp; ADDRESS(201, 'Additional Chemicals-WUO_TRK'!A201),_xlfn.TEXTAFTER('Additional Chemicals-WUO_ERR'!A201, ":"))))</f>
        <v/>
      </c>
    </row>
    <row r="202">
      <c r="A202" s="38">
        <f>IF('Additional Chemicals'!B202 = "", "", IF('Additional Chemicals-WUO_ERR'!A202 = "", "Validated", HYPERLINK("#" &amp; ADDRESS(202, 'Additional Chemicals-WUO_TRK'!A202),_xlfn.TEXTAFTER('Additional Chemicals-WUO_ERR'!A202, ":"))))</f>
        <v/>
      </c>
    </row>
    <row r="203">
      <c r="A203" s="38">
        <f>IF('Additional Chemicals'!B203 = "", "", IF('Additional Chemicals-WUO_ERR'!A203 = "", "Validated", HYPERLINK("#" &amp; ADDRESS(203, 'Additional Chemicals-WUO_TRK'!A203),_xlfn.TEXTAFTER('Additional Chemicals-WUO_ERR'!A203, ":"))))</f>
        <v/>
      </c>
    </row>
    <row r="204">
      <c r="A204" s="38">
        <f>IF('Additional Chemicals'!B204 = "", "", IF('Additional Chemicals-WUO_ERR'!A204 = "", "Validated", HYPERLINK("#" &amp; ADDRESS(204, 'Additional Chemicals-WUO_TRK'!A204),_xlfn.TEXTAFTER('Additional Chemicals-WUO_ERR'!A204, ":"))))</f>
        <v/>
      </c>
    </row>
    <row r="205">
      <c r="A205" s="38">
        <f>IF('Additional Chemicals'!B205 = "", "", IF('Additional Chemicals-WUO_ERR'!A205 = "", "Validated", HYPERLINK("#" &amp; ADDRESS(205, 'Additional Chemicals-WUO_TRK'!A205),_xlfn.TEXTAFTER('Additional Chemicals-WUO_ERR'!A205, ":"))))</f>
        <v/>
      </c>
    </row>
    <row r="206">
      <c r="A206" s="38">
        <f>IF('Additional Chemicals'!B206 = "", "", IF('Additional Chemicals-WUO_ERR'!A206 = "", "Validated", HYPERLINK("#" &amp; ADDRESS(206, 'Additional Chemicals-WUO_TRK'!A206),_xlfn.TEXTAFTER('Additional Chemicals-WUO_ERR'!A206, ":"))))</f>
        <v/>
      </c>
    </row>
    <row r="207">
      <c r="A207" s="38">
        <f>IF('Additional Chemicals'!B207 = "", "", IF('Additional Chemicals-WUO_ERR'!A207 = "", "Validated", HYPERLINK("#" &amp; ADDRESS(207, 'Additional Chemicals-WUO_TRK'!A207),_xlfn.TEXTAFTER('Additional Chemicals-WUO_ERR'!A207, ":"))))</f>
        <v/>
      </c>
    </row>
    <row r="208">
      <c r="A208" s="38">
        <f>IF('Additional Chemicals'!B208 = "", "", IF('Additional Chemicals-WUO_ERR'!A208 = "", "Validated", HYPERLINK("#" &amp; ADDRESS(208, 'Additional Chemicals-WUO_TRK'!A208),_xlfn.TEXTAFTER('Additional Chemicals-WUO_ERR'!A208, ":"))))</f>
        <v/>
      </c>
    </row>
    <row r="209">
      <c r="A209" s="38">
        <f>IF('Additional Chemicals'!B209 = "", "", IF('Additional Chemicals-WUO_ERR'!A209 = "", "Validated", HYPERLINK("#" &amp; ADDRESS(209, 'Additional Chemicals-WUO_TRK'!A209),_xlfn.TEXTAFTER('Additional Chemicals-WUO_ERR'!A209, ":"))))</f>
        <v/>
      </c>
    </row>
    <row r="210">
      <c r="A210" s="38">
        <f>IF('Additional Chemicals'!B210 = "", "", IF('Additional Chemicals-WUO_ERR'!A210 = "", "Validated", HYPERLINK("#" &amp; ADDRESS(210, 'Additional Chemicals-WUO_TRK'!A210),_xlfn.TEXTAFTER('Additional Chemicals-WUO_ERR'!A210, ":"))))</f>
        <v/>
      </c>
    </row>
    <row r="211">
      <c r="A211" s="38">
        <f>IF('Additional Chemicals'!B211 = "", "", IF('Additional Chemicals-WUO_ERR'!A211 = "", "Validated", HYPERLINK("#" &amp; ADDRESS(211, 'Additional Chemicals-WUO_TRK'!A211),_xlfn.TEXTAFTER('Additional Chemicals-WUO_ERR'!A211, ":"))))</f>
        <v/>
      </c>
    </row>
    <row r="212">
      <c r="A212" s="38">
        <f>IF('Additional Chemicals'!B212 = "", "", IF('Additional Chemicals-WUO_ERR'!A212 = "", "Validated", HYPERLINK("#" &amp; ADDRESS(212, 'Additional Chemicals-WUO_TRK'!A212),_xlfn.TEXTAFTER('Additional Chemicals-WUO_ERR'!A212, ":"))))</f>
        <v/>
      </c>
    </row>
    <row r="213">
      <c r="A213" s="38">
        <f>IF('Additional Chemicals'!B213 = "", "", IF('Additional Chemicals-WUO_ERR'!A213 = "", "Validated", HYPERLINK("#" &amp; ADDRESS(213, 'Additional Chemicals-WUO_TRK'!A213),_xlfn.TEXTAFTER('Additional Chemicals-WUO_ERR'!A213, ":"))))</f>
        <v/>
      </c>
    </row>
    <row r="214">
      <c r="A214" s="38">
        <f>IF('Additional Chemicals'!B214 = "", "", IF('Additional Chemicals-WUO_ERR'!A214 = "", "Validated", HYPERLINK("#" &amp; ADDRESS(214, 'Additional Chemicals-WUO_TRK'!A214),_xlfn.TEXTAFTER('Additional Chemicals-WUO_ERR'!A214, ":"))))</f>
        <v/>
      </c>
    </row>
    <row r="215">
      <c r="A215" s="38">
        <f>IF('Additional Chemicals'!B215 = "", "", IF('Additional Chemicals-WUO_ERR'!A215 = "", "Validated", HYPERLINK("#" &amp; ADDRESS(215, 'Additional Chemicals-WUO_TRK'!A215),_xlfn.TEXTAFTER('Additional Chemicals-WUO_ERR'!A215, ":"))))</f>
        <v/>
      </c>
    </row>
    <row r="216">
      <c r="A216" s="38">
        <f>IF('Additional Chemicals'!B216 = "", "", IF('Additional Chemicals-WUO_ERR'!A216 = "", "Validated", HYPERLINK("#" &amp; ADDRESS(216, 'Additional Chemicals-WUO_TRK'!A216),_xlfn.TEXTAFTER('Additional Chemicals-WUO_ERR'!A216, ":"))))</f>
        <v/>
      </c>
    </row>
    <row r="217">
      <c r="A217" s="38">
        <f>IF('Additional Chemicals'!B217 = "", "", IF('Additional Chemicals-WUO_ERR'!A217 = "", "Validated", HYPERLINK("#" &amp; ADDRESS(217, 'Additional Chemicals-WUO_TRK'!A217),_xlfn.TEXTAFTER('Additional Chemicals-WUO_ERR'!A217, ":"))))</f>
        <v/>
      </c>
    </row>
    <row r="218">
      <c r="A218" s="38">
        <f>IF('Additional Chemicals'!B218 = "", "", IF('Additional Chemicals-WUO_ERR'!A218 = "", "Validated", HYPERLINK("#" &amp; ADDRESS(218, 'Additional Chemicals-WUO_TRK'!A218),_xlfn.TEXTAFTER('Additional Chemicals-WUO_ERR'!A218, ":"))))</f>
        <v/>
      </c>
    </row>
    <row r="219">
      <c r="A219" s="38">
        <f>IF('Additional Chemicals'!B219 = "", "", IF('Additional Chemicals-WUO_ERR'!A219 = "", "Validated", HYPERLINK("#" &amp; ADDRESS(219, 'Additional Chemicals-WUO_TRK'!A219),_xlfn.TEXTAFTER('Additional Chemicals-WUO_ERR'!A219, ":"))))</f>
        <v/>
      </c>
    </row>
    <row r="220">
      <c r="A220" s="38">
        <f>IF('Additional Chemicals'!B220 = "", "", IF('Additional Chemicals-WUO_ERR'!A220 = "", "Validated", HYPERLINK("#" &amp; ADDRESS(220, 'Additional Chemicals-WUO_TRK'!A220),_xlfn.TEXTAFTER('Additional Chemicals-WUO_ERR'!A220, ":"))))</f>
        <v/>
      </c>
    </row>
    <row r="221">
      <c r="A221" s="38">
        <f>IF('Additional Chemicals'!B221 = "", "", IF('Additional Chemicals-WUO_ERR'!A221 = "", "Validated", HYPERLINK("#" &amp; ADDRESS(221, 'Additional Chemicals-WUO_TRK'!A221),_xlfn.TEXTAFTER('Additional Chemicals-WUO_ERR'!A221, ":"))))</f>
        <v/>
      </c>
    </row>
    <row r="222">
      <c r="A222" s="38">
        <f>IF('Additional Chemicals'!B222 = "", "", IF('Additional Chemicals-WUO_ERR'!A222 = "", "Validated", HYPERLINK("#" &amp; ADDRESS(222, 'Additional Chemicals-WUO_TRK'!A222),_xlfn.TEXTAFTER('Additional Chemicals-WUO_ERR'!A222, ":"))))</f>
        <v/>
      </c>
    </row>
    <row r="223">
      <c r="A223" s="38">
        <f>IF('Additional Chemicals'!B223 = "", "", IF('Additional Chemicals-WUO_ERR'!A223 = "", "Validated", HYPERLINK("#" &amp; ADDRESS(223, 'Additional Chemicals-WUO_TRK'!A223),_xlfn.TEXTAFTER('Additional Chemicals-WUO_ERR'!A223, ":"))))</f>
        <v/>
      </c>
    </row>
    <row r="224">
      <c r="A224" s="38">
        <f>IF('Additional Chemicals'!B224 = "", "", IF('Additional Chemicals-WUO_ERR'!A224 = "", "Validated", HYPERLINK("#" &amp; ADDRESS(224, 'Additional Chemicals-WUO_TRK'!A224),_xlfn.TEXTAFTER('Additional Chemicals-WUO_ERR'!A224, ":"))))</f>
        <v/>
      </c>
    </row>
    <row r="225">
      <c r="A225" s="38">
        <f>IF('Additional Chemicals'!B225 = "", "", IF('Additional Chemicals-WUO_ERR'!A225 = "", "Validated", HYPERLINK("#" &amp; ADDRESS(225, 'Additional Chemicals-WUO_TRK'!A225),_xlfn.TEXTAFTER('Additional Chemicals-WUO_ERR'!A225, ":"))))</f>
        <v/>
      </c>
    </row>
    <row r="226">
      <c r="A226" s="38">
        <f>IF('Additional Chemicals'!B226 = "", "", IF('Additional Chemicals-WUO_ERR'!A226 = "", "Validated", HYPERLINK("#" &amp; ADDRESS(226, 'Additional Chemicals-WUO_TRK'!A226),_xlfn.TEXTAFTER('Additional Chemicals-WUO_ERR'!A226, ":"))))</f>
        <v/>
      </c>
    </row>
    <row r="227">
      <c r="A227" s="38">
        <f>IF('Additional Chemicals'!B227 = "", "", IF('Additional Chemicals-WUO_ERR'!A227 = "", "Validated", HYPERLINK("#" &amp; ADDRESS(227, 'Additional Chemicals-WUO_TRK'!A227),_xlfn.TEXTAFTER('Additional Chemicals-WUO_ERR'!A227, ":"))))</f>
        <v/>
      </c>
    </row>
    <row r="228">
      <c r="A228" s="38">
        <f>IF('Additional Chemicals'!B228 = "", "", IF('Additional Chemicals-WUO_ERR'!A228 = "", "Validated", HYPERLINK("#" &amp; ADDRESS(228, 'Additional Chemicals-WUO_TRK'!A228),_xlfn.TEXTAFTER('Additional Chemicals-WUO_ERR'!A228, ":"))))</f>
        <v/>
      </c>
    </row>
    <row r="229">
      <c r="A229" s="38">
        <f>IF('Additional Chemicals'!B229 = "", "", IF('Additional Chemicals-WUO_ERR'!A229 = "", "Validated", HYPERLINK("#" &amp; ADDRESS(229, 'Additional Chemicals-WUO_TRK'!A229),_xlfn.TEXTAFTER('Additional Chemicals-WUO_ERR'!A229, ":"))))</f>
        <v/>
      </c>
    </row>
    <row r="230">
      <c r="A230" s="38">
        <f>IF('Additional Chemicals'!B230 = "", "", IF('Additional Chemicals-WUO_ERR'!A230 = "", "Validated", HYPERLINK("#" &amp; ADDRESS(230, 'Additional Chemicals-WUO_TRK'!A230),_xlfn.TEXTAFTER('Additional Chemicals-WUO_ERR'!A230, ":"))))</f>
        <v/>
      </c>
    </row>
    <row r="231">
      <c r="A231" s="38">
        <f>IF('Additional Chemicals'!B231 = "", "", IF('Additional Chemicals-WUO_ERR'!A231 = "", "Validated", HYPERLINK("#" &amp; ADDRESS(231, 'Additional Chemicals-WUO_TRK'!A231),_xlfn.TEXTAFTER('Additional Chemicals-WUO_ERR'!A231, ":"))))</f>
        <v/>
      </c>
    </row>
    <row r="232">
      <c r="A232" s="38">
        <f>IF('Additional Chemicals'!B232 = "", "", IF('Additional Chemicals-WUO_ERR'!A232 = "", "Validated", HYPERLINK("#" &amp; ADDRESS(232, 'Additional Chemicals-WUO_TRK'!A232),_xlfn.TEXTAFTER('Additional Chemicals-WUO_ERR'!A232, ":"))))</f>
        <v/>
      </c>
    </row>
    <row r="233">
      <c r="A233" s="38">
        <f>IF('Additional Chemicals'!B233 = "", "", IF('Additional Chemicals-WUO_ERR'!A233 = "", "Validated", HYPERLINK("#" &amp; ADDRESS(233, 'Additional Chemicals-WUO_TRK'!A233),_xlfn.TEXTAFTER('Additional Chemicals-WUO_ERR'!A233, ":"))))</f>
        <v/>
      </c>
    </row>
    <row r="234">
      <c r="A234" s="38">
        <f>IF('Additional Chemicals'!B234 = "", "", IF('Additional Chemicals-WUO_ERR'!A234 = "", "Validated", HYPERLINK("#" &amp; ADDRESS(234, 'Additional Chemicals-WUO_TRK'!A234),_xlfn.TEXTAFTER('Additional Chemicals-WUO_ERR'!A234, ":"))))</f>
        <v/>
      </c>
    </row>
    <row r="235">
      <c r="A235" s="38">
        <f>IF('Additional Chemicals'!B235 = "", "", IF('Additional Chemicals-WUO_ERR'!A235 = "", "Validated", HYPERLINK("#" &amp; ADDRESS(235, 'Additional Chemicals-WUO_TRK'!A235),_xlfn.TEXTAFTER('Additional Chemicals-WUO_ERR'!A235, ":"))))</f>
        <v/>
      </c>
    </row>
    <row r="236">
      <c r="A236" s="38">
        <f>IF('Additional Chemicals'!B236 = "", "", IF('Additional Chemicals-WUO_ERR'!A236 = "", "Validated", HYPERLINK("#" &amp; ADDRESS(236, 'Additional Chemicals-WUO_TRK'!A236),_xlfn.TEXTAFTER('Additional Chemicals-WUO_ERR'!A236, ":"))))</f>
        <v/>
      </c>
    </row>
    <row r="237">
      <c r="A237" s="38">
        <f>IF('Additional Chemicals'!B237 = "", "", IF('Additional Chemicals-WUO_ERR'!A237 = "", "Validated", HYPERLINK("#" &amp; ADDRESS(237, 'Additional Chemicals-WUO_TRK'!A237),_xlfn.TEXTAFTER('Additional Chemicals-WUO_ERR'!A237, ":"))))</f>
        <v/>
      </c>
    </row>
    <row r="238">
      <c r="A238" s="38">
        <f>IF('Additional Chemicals'!B238 = "", "", IF('Additional Chemicals-WUO_ERR'!A238 = "", "Validated", HYPERLINK("#" &amp; ADDRESS(238, 'Additional Chemicals-WUO_TRK'!A238),_xlfn.TEXTAFTER('Additional Chemicals-WUO_ERR'!A238, ":"))))</f>
        <v/>
      </c>
    </row>
    <row r="239">
      <c r="A239" s="38">
        <f>IF('Additional Chemicals'!B239 = "", "", IF('Additional Chemicals-WUO_ERR'!A239 = "", "Validated", HYPERLINK("#" &amp; ADDRESS(239, 'Additional Chemicals-WUO_TRK'!A239),_xlfn.TEXTAFTER('Additional Chemicals-WUO_ERR'!A239, ":"))))</f>
        <v/>
      </c>
    </row>
    <row r="240">
      <c r="A240" s="38">
        <f>IF('Additional Chemicals'!B240 = "", "", IF('Additional Chemicals-WUO_ERR'!A240 = "", "Validated", HYPERLINK("#" &amp; ADDRESS(240, 'Additional Chemicals-WUO_TRK'!A240),_xlfn.TEXTAFTER('Additional Chemicals-WUO_ERR'!A240, ":"))))</f>
        <v/>
      </c>
    </row>
    <row r="241">
      <c r="A241" s="38">
        <f>IF('Additional Chemicals'!B241 = "", "", IF('Additional Chemicals-WUO_ERR'!A241 = "", "Validated", HYPERLINK("#" &amp; ADDRESS(241, 'Additional Chemicals-WUO_TRK'!A241),_xlfn.TEXTAFTER('Additional Chemicals-WUO_ERR'!A241, ":"))))</f>
        <v/>
      </c>
    </row>
    <row r="242">
      <c r="A242" s="38">
        <f>IF('Additional Chemicals'!B242 = "", "", IF('Additional Chemicals-WUO_ERR'!A242 = "", "Validated", HYPERLINK("#" &amp; ADDRESS(242, 'Additional Chemicals-WUO_TRK'!A242),_xlfn.TEXTAFTER('Additional Chemicals-WUO_ERR'!A242, ":"))))</f>
        <v/>
      </c>
    </row>
    <row r="243">
      <c r="A243" s="38">
        <f>IF('Additional Chemicals'!B243 = "", "", IF('Additional Chemicals-WUO_ERR'!A243 = "", "Validated", HYPERLINK("#" &amp; ADDRESS(243, 'Additional Chemicals-WUO_TRK'!A243),_xlfn.TEXTAFTER('Additional Chemicals-WUO_ERR'!A243, ":"))))</f>
        <v/>
      </c>
    </row>
    <row r="244">
      <c r="A244" s="38">
        <f>IF('Additional Chemicals'!B244 = "", "", IF('Additional Chemicals-WUO_ERR'!A244 = "", "Validated", HYPERLINK("#" &amp; ADDRESS(244, 'Additional Chemicals-WUO_TRK'!A244),_xlfn.TEXTAFTER('Additional Chemicals-WUO_ERR'!A244, ":"))))</f>
        <v/>
      </c>
    </row>
    <row r="245">
      <c r="A245" s="38">
        <f>IF('Additional Chemicals'!B245 = "", "", IF('Additional Chemicals-WUO_ERR'!A245 = "", "Validated", HYPERLINK("#" &amp; ADDRESS(245, 'Additional Chemicals-WUO_TRK'!A245),_xlfn.TEXTAFTER('Additional Chemicals-WUO_ERR'!A245, ":"))))</f>
        <v/>
      </c>
    </row>
    <row r="246">
      <c r="A246" s="38">
        <f>IF('Additional Chemicals'!B246 = "", "", IF('Additional Chemicals-WUO_ERR'!A246 = "", "Validated", HYPERLINK("#" &amp; ADDRESS(246, 'Additional Chemicals-WUO_TRK'!A246),_xlfn.TEXTAFTER('Additional Chemicals-WUO_ERR'!A246, ":"))))</f>
        <v/>
      </c>
    </row>
    <row r="247">
      <c r="A247" s="38">
        <f>IF('Additional Chemicals'!B247 = "", "", IF('Additional Chemicals-WUO_ERR'!A247 = "", "Validated", HYPERLINK("#" &amp; ADDRESS(247, 'Additional Chemicals-WUO_TRK'!A247),_xlfn.TEXTAFTER('Additional Chemicals-WUO_ERR'!A247, ":"))))</f>
        <v/>
      </c>
    </row>
    <row r="248">
      <c r="A248" s="38">
        <f>IF('Additional Chemicals'!B248 = "", "", IF('Additional Chemicals-WUO_ERR'!A248 = "", "Validated", HYPERLINK("#" &amp; ADDRESS(248, 'Additional Chemicals-WUO_TRK'!A248),_xlfn.TEXTAFTER('Additional Chemicals-WUO_ERR'!A248, ":"))))</f>
        <v/>
      </c>
    </row>
    <row r="249">
      <c r="A249" s="38">
        <f>IF('Additional Chemicals'!B249 = "", "", IF('Additional Chemicals-WUO_ERR'!A249 = "", "Validated", HYPERLINK("#" &amp; ADDRESS(249, 'Additional Chemicals-WUO_TRK'!A249),_xlfn.TEXTAFTER('Additional Chemicals-WUO_ERR'!A249, ":"))))</f>
        <v/>
      </c>
    </row>
    <row r="250">
      <c r="A250" s="38">
        <f>IF('Additional Chemicals'!B250 = "", "", IF('Additional Chemicals-WUO_ERR'!A250 = "", "Validated", HYPERLINK("#" &amp; ADDRESS(250, 'Additional Chemicals-WUO_TRK'!A250),_xlfn.TEXTAFTER('Additional Chemicals-WUO_ERR'!A250, ":"))))</f>
        <v/>
      </c>
    </row>
    <row r="251">
      <c r="A251" s="38">
        <f>IF('Additional Chemicals'!B251 = "", "", IF('Additional Chemicals-WUO_ERR'!A251 = "", "Validated", HYPERLINK("#" &amp; ADDRESS(251, 'Additional Chemicals-WUO_TRK'!A251),_xlfn.TEXTAFTER('Additional Chemicals-WUO_ERR'!A251, ":"))))</f>
        <v/>
      </c>
    </row>
    <row r="252">
      <c r="A252" s="38">
        <f>IF('Additional Chemicals'!B252 = "", "", IF('Additional Chemicals-WUO_ERR'!A252 = "", "Validated", HYPERLINK("#" &amp; ADDRESS(252, 'Additional Chemicals-WUO_TRK'!A252),_xlfn.TEXTAFTER('Additional Chemicals-WUO_ERR'!A252, ":"))))</f>
        <v/>
      </c>
    </row>
    <row r="253">
      <c r="A253" s="38">
        <f>IF('Additional Chemicals'!B253 = "", "", IF('Additional Chemicals-WUO_ERR'!A253 = "", "Validated", HYPERLINK("#" &amp; ADDRESS(253, 'Additional Chemicals-WUO_TRK'!A253),_xlfn.TEXTAFTER('Additional Chemicals-WUO_ERR'!A253, ":"))))</f>
        <v/>
      </c>
    </row>
    <row r="254">
      <c r="A254" s="38">
        <f>IF('Additional Chemicals'!B254 = "", "", IF('Additional Chemicals-WUO_ERR'!A254 = "", "Validated", HYPERLINK("#" &amp; ADDRESS(254, 'Additional Chemicals-WUO_TRK'!A254),_xlfn.TEXTAFTER('Additional Chemicals-WUO_ERR'!A254, ":"))))</f>
        <v/>
      </c>
    </row>
    <row r="255">
      <c r="A255" s="38">
        <f>IF('Additional Chemicals'!B255 = "", "", IF('Additional Chemicals-WUO_ERR'!A255 = "", "Validated", HYPERLINK("#" &amp; ADDRESS(255, 'Additional Chemicals-WUO_TRK'!A255),_xlfn.TEXTAFTER('Additional Chemicals-WUO_ERR'!A255, ":"))))</f>
        <v/>
      </c>
    </row>
    <row r="256">
      <c r="A256" s="38">
        <f>IF('Additional Chemicals'!B256 = "", "", IF('Additional Chemicals-WUO_ERR'!A256 = "", "Validated", HYPERLINK("#" &amp; ADDRESS(256, 'Additional Chemicals-WUO_TRK'!A256),_xlfn.TEXTAFTER('Additional Chemicals-WUO_ERR'!A256, ":"))))</f>
        <v/>
      </c>
    </row>
    <row r="257">
      <c r="A257" s="38">
        <f>IF('Additional Chemicals'!B257 = "", "", IF('Additional Chemicals-WUO_ERR'!A257 = "", "Validated", HYPERLINK("#" &amp; ADDRESS(257, 'Additional Chemicals-WUO_TRK'!A257),_xlfn.TEXTAFTER('Additional Chemicals-WUO_ERR'!A257, ":"))))</f>
        <v/>
      </c>
    </row>
    <row r="258">
      <c r="A258" s="38">
        <f>IF('Additional Chemicals'!B258 = "", "", IF('Additional Chemicals-WUO_ERR'!A258 = "", "Validated", HYPERLINK("#" &amp; ADDRESS(258, 'Additional Chemicals-WUO_TRK'!A258),_xlfn.TEXTAFTER('Additional Chemicals-WUO_ERR'!A258, ":"))))</f>
        <v/>
      </c>
    </row>
    <row r="259">
      <c r="A259" s="38">
        <f>IF('Additional Chemicals'!B259 = "", "", IF('Additional Chemicals-WUO_ERR'!A259 = "", "Validated", HYPERLINK("#" &amp; ADDRESS(259, 'Additional Chemicals-WUO_TRK'!A259),_xlfn.TEXTAFTER('Additional Chemicals-WUO_ERR'!A259, ":"))))</f>
        <v/>
      </c>
    </row>
    <row r="260">
      <c r="A260" s="38">
        <f>IF('Additional Chemicals'!B260 = "", "", IF('Additional Chemicals-WUO_ERR'!A260 = "", "Validated", HYPERLINK("#" &amp; ADDRESS(260, 'Additional Chemicals-WUO_TRK'!A260),_xlfn.TEXTAFTER('Additional Chemicals-WUO_ERR'!A260, ":"))))</f>
        <v/>
      </c>
    </row>
    <row r="261">
      <c r="A261" s="38">
        <f>IF('Additional Chemicals'!B261 = "", "", IF('Additional Chemicals-WUO_ERR'!A261 = "", "Validated", HYPERLINK("#" &amp; ADDRESS(261, 'Additional Chemicals-WUO_TRK'!A261),_xlfn.TEXTAFTER('Additional Chemicals-WUO_ERR'!A261, ":"))))</f>
        <v/>
      </c>
    </row>
    <row r="262">
      <c r="A262" s="38">
        <f>IF('Additional Chemicals'!B262 = "", "", IF('Additional Chemicals-WUO_ERR'!A262 = "", "Validated", HYPERLINK("#" &amp; ADDRESS(262, 'Additional Chemicals-WUO_TRK'!A262),_xlfn.TEXTAFTER('Additional Chemicals-WUO_ERR'!A262, ":"))))</f>
        <v/>
      </c>
    </row>
    <row r="263">
      <c r="A263" s="38">
        <f>IF('Additional Chemicals'!B263 = "", "", IF('Additional Chemicals-WUO_ERR'!A263 = "", "Validated", HYPERLINK("#" &amp; ADDRESS(263, 'Additional Chemicals-WUO_TRK'!A263),_xlfn.TEXTAFTER('Additional Chemicals-WUO_ERR'!A263, ":"))))</f>
        <v/>
      </c>
    </row>
    <row r="264">
      <c r="A264" s="38">
        <f>IF('Additional Chemicals'!B264 = "", "", IF('Additional Chemicals-WUO_ERR'!A264 = "", "Validated", HYPERLINK("#" &amp; ADDRESS(264, 'Additional Chemicals-WUO_TRK'!A264),_xlfn.TEXTAFTER('Additional Chemicals-WUO_ERR'!A264, ":"))))</f>
        <v/>
      </c>
    </row>
    <row r="265">
      <c r="A265" s="38">
        <f>IF('Additional Chemicals'!B265 = "", "", IF('Additional Chemicals-WUO_ERR'!A265 = "", "Validated", HYPERLINK("#" &amp; ADDRESS(265, 'Additional Chemicals-WUO_TRK'!A265),_xlfn.TEXTAFTER('Additional Chemicals-WUO_ERR'!A265, ":"))))</f>
        <v/>
      </c>
    </row>
    <row r="266">
      <c r="A266" s="38">
        <f>IF('Additional Chemicals'!B266 = "", "", IF('Additional Chemicals-WUO_ERR'!A266 = "", "Validated", HYPERLINK("#" &amp; ADDRESS(266, 'Additional Chemicals-WUO_TRK'!A266),_xlfn.TEXTAFTER('Additional Chemicals-WUO_ERR'!A266, ":"))))</f>
        <v/>
      </c>
    </row>
    <row r="267">
      <c r="A267" s="38">
        <f>IF('Additional Chemicals'!B267 = "", "", IF('Additional Chemicals-WUO_ERR'!A267 = "", "Validated", HYPERLINK("#" &amp; ADDRESS(267, 'Additional Chemicals-WUO_TRK'!A267),_xlfn.TEXTAFTER('Additional Chemicals-WUO_ERR'!A267, ":"))))</f>
        <v/>
      </c>
    </row>
    <row r="268">
      <c r="A268" s="38">
        <f>IF('Additional Chemicals'!B268 = "", "", IF('Additional Chemicals-WUO_ERR'!A268 = "", "Validated", HYPERLINK("#" &amp; ADDRESS(268, 'Additional Chemicals-WUO_TRK'!A268),_xlfn.TEXTAFTER('Additional Chemicals-WUO_ERR'!A268, ":"))))</f>
        <v/>
      </c>
    </row>
    <row r="269">
      <c r="A269" s="38">
        <f>IF('Additional Chemicals'!B269 = "", "", IF('Additional Chemicals-WUO_ERR'!A269 = "", "Validated", HYPERLINK("#" &amp; ADDRESS(269, 'Additional Chemicals-WUO_TRK'!A269),_xlfn.TEXTAFTER('Additional Chemicals-WUO_ERR'!A269, ":"))))</f>
        <v/>
      </c>
    </row>
    <row r="270">
      <c r="A270" s="38">
        <f>IF('Additional Chemicals'!B270 = "", "", IF('Additional Chemicals-WUO_ERR'!A270 = "", "Validated", HYPERLINK("#" &amp; ADDRESS(270, 'Additional Chemicals-WUO_TRK'!A270),_xlfn.TEXTAFTER('Additional Chemicals-WUO_ERR'!A270, ":"))))</f>
        <v/>
      </c>
    </row>
    <row r="271">
      <c r="A271" s="38">
        <f>IF('Additional Chemicals'!B271 = "", "", IF('Additional Chemicals-WUO_ERR'!A271 = "", "Validated", HYPERLINK("#" &amp; ADDRESS(271, 'Additional Chemicals-WUO_TRK'!A271),_xlfn.TEXTAFTER('Additional Chemicals-WUO_ERR'!A271, ":"))))</f>
        <v/>
      </c>
    </row>
    <row r="272">
      <c r="A272" s="38">
        <f>IF('Additional Chemicals'!B272 = "", "", IF('Additional Chemicals-WUO_ERR'!A272 = "", "Validated", HYPERLINK("#" &amp; ADDRESS(272, 'Additional Chemicals-WUO_TRK'!A272),_xlfn.TEXTAFTER('Additional Chemicals-WUO_ERR'!A272, ":"))))</f>
        <v/>
      </c>
    </row>
    <row r="273">
      <c r="A273" s="38">
        <f>IF('Additional Chemicals'!B273 = "", "", IF('Additional Chemicals-WUO_ERR'!A273 = "", "Validated", HYPERLINK("#" &amp; ADDRESS(273, 'Additional Chemicals-WUO_TRK'!A273),_xlfn.TEXTAFTER('Additional Chemicals-WUO_ERR'!A273, ":"))))</f>
        <v/>
      </c>
    </row>
    <row r="274">
      <c r="A274" s="38">
        <f>IF('Additional Chemicals'!B274 = "", "", IF('Additional Chemicals-WUO_ERR'!A274 = "", "Validated", HYPERLINK("#" &amp; ADDRESS(274, 'Additional Chemicals-WUO_TRK'!A274),_xlfn.TEXTAFTER('Additional Chemicals-WUO_ERR'!A274, ":"))))</f>
        <v/>
      </c>
    </row>
    <row r="275">
      <c r="A275" s="38">
        <f>IF('Additional Chemicals'!B275 = "", "", IF('Additional Chemicals-WUO_ERR'!A275 = "", "Validated", HYPERLINK("#" &amp; ADDRESS(275, 'Additional Chemicals-WUO_TRK'!A275),_xlfn.TEXTAFTER('Additional Chemicals-WUO_ERR'!A275, ":"))))</f>
        <v/>
      </c>
    </row>
    <row r="276">
      <c r="A276" s="38">
        <f>IF('Additional Chemicals'!B276 = "", "", IF('Additional Chemicals-WUO_ERR'!A276 = "", "Validated", HYPERLINK("#" &amp; ADDRESS(276, 'Additional Chemicals-WUO_TRK'!A276),_xlfn.TEXTAFTER('Additional Chemicals-WUO_ERR'!A276, ":"))))</f>
        <v/>
      </c>
    </row>
    <row r="277">
      <c r="A277" s="38">
        <f>IF('Additional Chemicals'!B277 = "", "", IF('Additional Chemicals-WUO_ERR'!A277 = "", "Validated", HYPERLINK("#" &amp; ADDRESS(277, 'Additional Chemicals-WUO_TRK'!A277),_xlfn.TEXTAFTER('Additional Chemicals-WUO_ERR'!A277, ":"))))</f>
        <v/>
      </c>
    </row>
    <row r="278">
      <c r="A278" s="38">
        <f>IF('Additional Chemicals'!B278 = "", "", IF('Additional Chemicals-WUO_ERR'!A278 = "", "Validated", HYPERLINK("#" &amp; ADDRESS(278, 'Additional Chemicals-WUO_TRK'!A278),_xlfn.TEXTAFTER('Additional Chemicals-WUO_ERR'!A278, ":"))))</f>
        <v/>
      </c>
    </row>
    <row r="279">
      <c r="A279" s="38">
        <f>IF('Additional Chemicals'!B279 = "", "", IF('Additional Chemicals-WUO_ERR'!A279 = "", "Validated", HYPERLINK("#" &amp; ADDRESS(279, 'Additional Chemicals-WUO_TRK'!A279),_xlfn.TEXTAFTER('Additional Chemicals-WUO_ERR'!A279, ":"))))</f>
        <v/>
      </c>
    </row>
    <row r="280">
      <c r="A280" s="38">
        <f>IF('Additional Chemicals'!B280 = "", "", IF('Additional Chemicals-WUO_ERR'!A280 = "", "Validated", HYPERLINK("#" &amp; ADDRESS(280, 'Additional Chemicals-WUO_TRK'!A280),_xlfn.TEXTAFTER('Additional Chemicals-WUO_ERR'!A280, ":"))))</f>
        <v/>
      </c>
    </row>
    <row r="281">
      <c r="A281" s="38">
        <f>IF('Additional Chemicals'!B281 = "", "", IF('Additional Chemicals-WUO_ERR'!A281 = "", "Validated", HYPERLINK("#" &amp; ADDRESS(281, 'Additional Chemicals-WUO_TRK'!A281),_xlfn.TEXTAFTER('Additional Chemicals-WUO_ERR'!A281, ":"))))</f>
        <v/>
      </c>
    </row>
    <row r="282">
      <c r="A282" s="38">
        <f>IF('Additional Chemicals'!B282 = "", "", IF('Additional Chemicals-WUO_ERR'!A282 = "", "Validated", HYPERLINK("#" &amp; ADDRESS(282, 'Additional Chemicals-WUO_TRK'!A282),_xlfn.TEXTAFTER('Additional Chemicals-WUO_ERR'!A282, ":"))))</f>
        <v/>
      </c>
    </row>
    <row r="283">
      <c r="A283" s="38">
        <f>IF('Additional Chemicals'!B283 = "", "", IF('Additional Chemicals-WUO_ERR'!A283 = "", "Validated", HYPERLINK("#" &amp; ADDRESS(283, 'Additional Chemicals-WUO_TRK'!A283),_xlfn.TEXTAFTER('Additional Chemicals-WUO_ERR'!A283, ":"))))</f>
        <v/>
      </c>
    </row>
    <row r="284">
      <c r="A284" s="38">
        <f>IF('Additional Chemicals'!B284 = "", "", IF('Additional Chemicals-WUO_ERR'!A284 = "", "Validated", HYPERLINK("#" &amp; ADDRESS(284, 'Additional Chemicals-WUO_TRK'!A284),_xlfn.TEXTAFTER('Additional Chemicals-WUO_ERR'!A284, ":"))))</f>
        <v/>
      </c>
    </row>
    <row r="285">
      <c r="A285" s="38">
        <f>IF('Additional Chemicals'!B285 = "", "", IF('Additional Chemicals-WUO_ERR'!A285 = "", "Validated", HYPERLINK("#" &amp; ADDRESS(285, 'Additional Chemicals-WUO_TRK'!A285),_xlfn.TEXTAFTER('Additional Chemicals-WUO_ERR'!A285, ":"))))</f>
        <v/>
      </c>
    </row>
    <row r="286">
      <c r="A286" s="38">
        <f>IF('Additional Chemicals'!B286 = "", "", IF('Additional Chemicals-WUO_ERR'!A286 = "", "Validated", HYPERLINK("#" &amp; ADDRESS(286, 'Additional Chemicals-WUO_TRK'!A286),_xlfn.TEXTAFTER('Additional Chemicals-WUO_ERR'!A286, ":"))))</f>
        <v/>
      </c>
    </row>
    <row r="287">
      <c r="A287" s="38">
        <f>IF('Additional Chemicals'!B287 = "", "", IF('Additional Chemicals-WUO_ERR'!A287 = "", "Validated", HYPERLINK("#" &amp; ADDRESS(287, 'Additional Chemicals-WUO_TRK'!A287),_xlfn.TEXTAFTER('Additional Chemicals-WUO_ERR'!A287, ":"))))</f>
        <v/>
      </c>
    </row>
    <row r="288">
      <c r="A288" s="38">
        <f>IF('Additional Chemicals'!B288 = "", "", IF('Additional Chemicals-WUO_ERR'!A288 = "", "Validated", HYPERLINK("#" &amp; ADDRESS(288, 'Additional Chemicals-WUO_TRK'!A288),_xlfn.TEXTAFTER('Additional Chemicals-WUO_ERR'!A288, ":"))))</f>
        <v/>
      </c>
    </row>
    <row r="289">
      <c r="A289" s="38">
        <f>IF('Additional Chemicals'!B289 = "", "", IF('Additional Chemicals-WUO_ERR'!A289 = "", "Validated", HYPERLINK("#" &amp; ADDRESS(289, 'Additional Chemicals-WUO_TRK'!A289),_xlfn.TEXTAFTER('Additional Chemicals-WUO_ERR'!A289, ":"))))</f>
        <v/>
      </c>
    </row>
    <row r="290">
      <c r="A290" s="38">
        <f>IF('Additional Chemicals'!B290 = "", "", IF('Additional Chemicals-WUO_ERR'!A290 = "", "Validated", HYPERLINK("#" &amp; ADDRESS(290, 'Additional Chemicals-WUO_TRK'!A290),_xlfn.TEXTAFTER('Additional Chemicals-WUO_ERR'!A290, ":"))))</f>
        <v/>
      </c>
    </row>
    <row r="291">
      <c r="A291" s="38">
        <f>IF('Additional Chemicals'!B291 = "", "", IF('Additional Chemicals-WUO_ERR'!A291 = "", "Validated", HYPERLINK("#" &amp; ADDRESS(291, 'Additional Chemicals-WUO_TRK'!A291),_xlfn.TEXTAFTER('Additional Chemicals-WUO_ERR'!A291, ":"))))</f>
        <v/>
      </c>
    </row>
    <row r="292">
      <c r="A292" s="38">
        <f>IF('Additional Chemicals'!B292 = "", "", IF('Additional Chemicals-WUO_ERR'!A292 = "", "Validated", HYPERLINK("#" &amp; ADDRESS(292, 'Additional Chemicals-WUO_TRK'!A292),_xlfn.TEXTAFTER('Additional Chemicals-WUO_ERR'!A292, ":"))))</f>
        <v/>
      </c>
    </row>
    <row r="293">
      <c r="A293" s="38">
        <f>IF('Additional Chemicals'!B293 = "", "", IF('Additional Chemicals-WUO_ERR'!A293 = "", "Validated", HYPERLINK("#" &amp; ADDRESS(293, 'Additional Chemicals-WUO_TRK'!A293),_xlfn.TEXTAFTER('Additional Chemicals-WUO_ERR'!A293, ":"))))</f>
        <v/>
      </c>
    </row>
    <row r="294">
      <c r="A294" s="38">
        <f>IF('Additional Chemicals'!B294 = "", "", IF('Additional Chemicals-WUO_ERR'!A294 = "", "Validated", HYPERLINK("#" &amp; ADDRESS(294, 'Additional Chemicals-WUO_TRK'!A294),_xlfn.TEXTAFTER('Additional Chemicals-WUO_ERR'!A294, ":"))))</f>
        <v/>
      </c>
    </row>
    <row r="295">
      <c r="A295" s="38">
        <f>IF('Additional Chemicals'!B295 = "", "", IF('Additional Chemicals-WUO_ERR'!A295 = "", "Validated", HYPERLINK("#" &amp; ADDRESS(295, 'Additional Chemicals-WUO_TRK'!A295),_xlfn.TEXTAFTER('Additional Chemicals-WUO_ERR'!A295, ":"))))</f>
        <v/>
      </c>
    </row>
    <row r="296">
      <c r="A296" s="38">
        <f>IF('Additional Chemicals'!B296 = "", "", IF('Additional Chemicals-WUO_ERR'!A296 = "", "Validated", HYPERLINK("#" &amp; ADDRESS(296, 'Additional Chemicals-WUO_TRK'!A296),_xlfn.TEXTAFTER('Additional Chemicals-WUO_ERR'!A296, ":"))))</f>
        <v/>
      </c>
    </row>
    <row r="297">
      <c r="A297" s="38">
        <f>IF('Additional Chemicals'!B297 = "", "", IF('Additional Chemicals-WUO_ERR'!A297 = "", "Validated", HYPERLINK("#" &amp; ADDRESS(297, 'Additional Chemicals-WUO_TRK'!A297),_xlfn.TEXTAFTER('Additional Chemicals-WUO_ERR'!A297, ":"))))</f>
        <v/>
      </c>
    </row>
    <row r="298">
      <c r="A298" s="38">
        <f>IF('Additional Chemicals'!B298 = "", "", IF('Additional Chemicals-WUO_ERR'!A298 = "", "Validated", HYPERLINK("#" &amp; ADDRESS(298, 'Additional Chemicals-WUO_TRK'!A298),_xlfn.TEXTAFTER('Additional Chemicals-WUO_ERR'!A298, ":"))))</f>
        <v/>
      </c>
    </row>
    <row r="299">
      <c r="A299" s="38">
        <f>IF('Additional Chemicals'!B299 = "", "", IF('Additional Chemicals-WUO_ERR'!A299 = "", "Validated", HYPERLINK("#" &amp; ADDRESS(299, 'Additional Chemicals-WUO_TRK'!A299),_xlfn.TEXTAFTER('Additional Chemicals-WUO_ERR'!A299, ":"))))</f>
        <v/>
      </c>
    </row>
    <row r="300">
      <c r="A300" s="38">
        <f>IF('Additional Chemicals'!B300 = "", "", IF('Additional Chemicals-WUO_ERR'!A300 = "", "Validated", HYPERLINK("#" &amp; ADDRESS(300, 'Additional Chemicals-WUO_TRK'!A300),_xlfn.TEXTAFTER('Additional Chemicals-WUO_ERR'!A300, ":"))))</f>
        <v/>
      </c>
    </row>
    <row r="301">
      <c r="A301" s="38">
        <f>IF('Additional Chemicals'!B301 = "", "", IF('Additional Chemicals-WUO_ERR'!A301 = "", "Validated", HYPERLINK("#" &amp; ADDRESS(301, 'Additional Chemicals-WUO_TRK'!A301),_xlfn.TEXTAFTER('Additional Chemicals-WUO_ERR'!A301, ":"))))</f>
        <v/>
      </c>
    </row>
    <row r="302">
      <c r="A302" s="38">
        <f>IF('Additional Chemicals'!B302 = "", "", IF('Additional Chemicals-WUO_ERR'!A302 = "", "Validated", HYPERLINK("#" &amp; ADDRESS(302, 'Additional Chemicals-WUO_TRK'!A302),_xlfn.TEXTAFTER('Additional Chemicals-WUO_ERR'!A302, ":"))))</f>
        <v/>
      </c>
    </row>
    <row r="303">
      <c r="A303" s="38">
        <f>IF('Additional Chemicals'!B303 = "", "", IF('Additional Chemicals-WUO_ERR'!A303 = "", "Validated", HYPERLINK("#" &amp; ADDRESS(303, 'Additional Chemicals-WUO_TRK'!A303),_xlfn.TEXTAFTER('Additional Chemicals-WUO_ERR'!A303, ":"))))</f>
        <v/>
      </c>
    </row>
    <row r="304">
      <c r="A304" s="38">
        <f>IF('Additional Chemicals'!B304 = "", "", IF('Additional Chemicals-WUO_ERR'!A304 = "", "Validated", HYPERLINK("#" &amp; ADDRESS(304, 'Additional Chemicals-WUO_TRK'!A304),_xlfn.TEXTAFTER('Additional Chemicals-WUO_ERR'!A304, ":"))))</f>
        <v/>
      </c>
    </row>
    <row r="305">
      <c r="A305" s="38">
        <f>IF('Additional Chemicals'!B305 = "", "", IF('Additional Chemicals-WUO_ERR'!A305 = "", "Validated", HYPERLINK("#" &amp; ADDRESS(305, 'Additional Chemicals-WUO_TRK'!A305),_xlfn.TEXTAFTER('Additional Chemicals-WUO_ERR'!A305, ":"))))</f>
        <v/>
      </c>
    </row>
    <row r="306">
      <c r="A306" s="38">
        <f>IF('Additional Chemicals'!B306 = "", "", IF('Additional Chemicals-WUO_ERR'!A306 = "", "Validated", HYPERLINK("#" &amp; ADDRESS(306, 'Additional Chemicals-WUO_TRK'!A306),_xlfn.TEXTAFTER('Additional Chemicals-WUO_ERR'!A306, ":"))))</f>
        <v/>
      </c>
    </row>
    <row r="307">
      <c r="A307" s="38">
        <f>IF('Additional Chemicals'!B307 = "", "", IF('Additional Chemicals-WUO_ERR'!A307 = "", "Validated", HYPERLINK("#" &amp; ADDRESS(307, 'Additional Chemicals-WUO_TRK'!A307),_xlfn.TEXTAFTER('Additional Chemicals-WUO_ERR'!A307, ":"))))</f>
        <v/>
      </c>
    </row>
    <row r="308">
      <c r="A308" s="38">
        <f>IF('Additional Chemicals'!B308 = "", "", IF('Additional Chemicals-WUO_ERR'!A308 = "", "Validated", HYPERLINK("#" &amp; ADDRESS(308, 'Additional Chemicals-WUO_TRK'!A308),_xlfn.TEXTAFTER('Additional Chemicals-WUO_ERR'!A308, ":"))))</f>
        <v/>
      </c>
    </row>
    <row r="309">
      <c r="A309" s="38">
        <f>IF('Additional Chemicals'!B309 = "", "", IF('Additional Chemicals-WUO_ERR'!A309 = "", "Validated", HYPERLINK("#" &amp; ADDRESS(309, 'Additional Chemicals-WUO_TRK'!A309),_xlfn.TEXTAFTER('Additional Chemicals-WUO_ERR'!A309, ":"))))</f>
        <v/>
      </c>
    </row>
    <row r="310">
      <c r="A310" s="38">
        <f>IF('Additional Chemicals'!B310 = "", "", IF('Additional Chemicals-WUO_ERR'!A310 = "", "Validated", HYPERLINK("#" &amp; ADDRESS(310, 'Additional Chemicals-WUO_TRK'!A310),_xlfn.TEXTAFTER('Additional Chemicals-WUO_ERR'!A310, ":"))))</f>
        <v/>
      </c>
    </row>
    <row r="311">
      <c r="A311" s="38">
        <f>IF('Additional Chemicals'!B311 = "", "", IF('Additional Chemicals-WUO_ERR'!A311 = "", "Validated", HYPERLINK("#" &amp; ADDRESS(311, 'Additional Chemicals-WUO_TRK'!A311),_xlfn.TEXTAFTER('Additional Chemicals-WUO_ERR'!A311, ":"))))</f>
        <v/>
      </c>
    </row>
    <row r="312">
      <c r="A312" s="38">
        <f>IF('Additional Chemicals'!B312 = "", "", IF('Additional Chemicals-WUO_ERR'!A312 = "", "Validated", HYPERLINK("#" &amp; ADDRESS(312, 'Additional Chemicals-WUO_TRK'!A312),_xlfn.TEXTAFTER('Additional Chemicals-WUO_ERR'!A312, ":"))))</f>
        <v/>
      </c>
    </row>
    <row r="313">
      <c r="A313" s="38">
        <f>IF('Additional Chemicals'!B313 = "", "", IF('Additional Chemicals-WUO_ERR'!A313 = "", "Validated", HYPERLINK("#" &amp; ADDRESS(313, 'Additional Chemicals-WUO_TRK'!A313),_xlfn.TEXTAFTER('Additional Chemicals-WUO_ERR'!A313, ":"))))</f>
        <v/>
      </c>
    </row>
    <row r="314">
      <c r="A314" s="38">
        <f>IF('Additional Chemicals'!B314 = "", "", IF('Additional Chemicals-WUO_ERR'!A314 = "", "Validated", HYPERLINK("#" &amp; ADDRESS(314, 'Additional Chemicals-WUO_TRK'!A314),_xlfn.TEXTAFTER('Additional Chemicals-WUO_ERR'!A314, ":"))))</f>
        <v/>
      </c>
    </row>
    <row r="315">
      <c r="A315" s="38">
        <f>IF('Additional Chemicals'!B315 = "", "", IF('Additional Chemicals-WUO_ERR'!A315 = "", "Validated", HYPERLINK("#" &amp; ADDRESS(315, 'Additional Chemicals-WUO_TRK'!A315),_xlfn.TEXTAFTER('Additional Chemicals-WUO_ERR'!A315, ":"))))</f>
        <v/>
      </c>
    </row>
    <row r="316">
      <c r="A316" s="38">
        <f>IF('Additional Chemicals'!B316 = "", "", IF('Additional Chemicals-WUO_ERR'!A316 = "", "Validated", HYPERLINK("#" &amp; ADDRESS(316, 'Additional Chemicals-WUO_TRK'!A316),_xlfn.TEXTAFTER('Additional Chemicals-WUO_ERR'!A316, ":"))))</f>
        <v/>
      </c>
    </row>
    <row r="317">
      <c r="A317" s="38">
        <f>IF('Additional Chemicals'!B317 = "", "", IF('Additional Chemicals-WUO_ERR'!A317 = "", "Validated", HYPERLINK("#" &amp; ADDRESS(317, 'Additional Chemicals-WUO_TRK'!A317),_xlfn.TEXTAFTER('Additional Chemicals-WUO_ERR'!A317, ":"))))</f>
        <v/>
      </c>
    </row>
    <row r="318">
      <c r="A318" s="38">
        <f>IF('Additional Chemicals'!B318 = "", "", IF('Additional Chemicals-WUO_ERR'!A318 = "", "Validated", HYPERLINK("#" &amp; ADDRESS(318, 'Additional Chemicals-WUO_TRK'!A318),_xlfn.TEXTAFTER('Additional Chemicals-WUO_ERR'!A318, ":"))))</f>
        <v/>
      </c>
    </row>
    <row r="319">
      <c r="A319" s="38">
        <f>IF('Additional Chemicals'!B319 = "", "", IF('Additional Chemicals-WUO_ERR'!A319 = "", "Validated", HYPERLINK("#" &amp; ADDRESS(319, 'Additional Chemicals-WUO_TRK'!A319),_xlfn.TEXTAFTER('Additional Chemicals-WUO_ERR'!A319, ":"))))</f>
        <v/>
      </c>
    </row>
    <row r="320">
      <c r="A320" s="38">
        <f>IF('Additional Chemicals'!B320 = "", "", IF('Additional Chemicals-WUO_ERR'!A320 = "", "Validated", HYPERLINK("#" &amp; ADDRESS(320, 'Additional Chemicals-WUO_TRK'!A320),_xlfn.TEXTAFTER('Additional Chemicals-WUO_ERR'!A320, ":"))))</f>
        <v/>
      </c>
    </row>
    <row r="321">
      <c r="A321" s="38">
        <f>IF('Additional Chemicals'!B321 = "", "", IF('Additional Chemicals-WUO_ERR'!A321 = "", "Validated", HYPERLINK("#" &amp; ADDRESS(321, 'Additional Chemicals-WUO_TRK'!A321),_xlfn.TEXTAFTER('Additional Chemicals-WUO_ERR'!A321, ":"))))</f>
        <v/>
      </c>
    </row>
    <row r="322">
      <c r="A322" s="38">
        <f>IF('Additional Chemicals'!B322 = "", "", IF('Additional Chemicals-WUO_ERR'!A322 = "", "Validated", HYPERLINK("#" &amp; ADDRESS(322, 'Additional Chemicals-WUO_TRK'!A322),_xlfn.TEXTAFTER('Additional Chemicals-WUO_ERR'!A322, ":"))))</f>
        <v/>
      </c>
    </row>
    <row r="323">
      <c r="A323" s="38">
        <f>IF('Additional Chemicals'!B323 = "", "", IF('Additional Chemicals-WUO_ERR'!A323 = "", "Validated", HYPERLINK("#" &amp; ADDRESS(323, 'Additional Chemicals-WUO_TRK'!A323),_xlfn.TEXTAFTER('Additional Chemicals-WUO_ERR'!A323, ":"))))</f>
        <v/>
      </c>
    </row>
    <row r="324">
      <c r="A324" s="38">
        <f>IF('Additional Chemicals'!B324 = "", "", IF('Additional Chemicals-WUO_ERR'!A324 = "", "Validated", HYPERLINK("#" &amp; ADDRESS(324, 'Additional Chemicals-WUO_TRK'!A324),_xlfn.TEXTAFTER('Additional Chemicals-WUO_ERR'!A324, ":"))))</f>
        <v/>
      </c>
    </row>
    <row r="325">
      <c r="A325" s="38">
        <f>IF('Additional Chemicals'!B325 = "", "", IF('Additional Chemicals-WUO_ERR'!A325 = "", "Validated", HYPERLINK("#" &amp; ADDRESS(325, 'Additional Chemicals-WUO_TRK'!A325),_xlfn.TEXTAFTER('Additional Chemicals-WUO_ERR'!A325, ":"))))</f>
        <v/>
      </c>
    </row>
    <row r="326">
      <c r="A326" s="38">
        <f>IF('Additional Chemicals'!B326 = "", "", IF('Additional Chemicals-WUO_ERR'!A326 = "", "Validated", HYPERLINK("#" &amp; ADDRESS(326, 'Additional Chemicals-WUO_TRK'!A326),_xlfn.TEXTAFTER('Additional Chemicals-WUO_ERR'!A326, ":"))))</f>
        <v/>
      </c>
    </row>
    <row r="327">
      <c r="A327" s="38">
        <f>IF('Additional Chemicals'!B327 = "", "", IF('Additional Chemicals-WUO_ERR'!A327 = "", "Validated", HYPERLINK("#" &amp; ADDRESS(327, 'Additional Chemicals-WUO_TRK'!A327),_xlfn.TEXTAFTER('Additional Chemicals-WUO_ERR'!A327, ":"))))</f>
        <v/>
      </c>
    </row>
    <row r="328">
      <c r="A328" s="38">
        <f>IF('Additional Chemicals'!B328 = "", "", IF('Additional Chemicals-WUO_ERR'!A328 = "", "Validated", HYPERLINK("#" &amp; ADDRESS(328, 'Additional Chemicals-WUO_TRK'!A328),_xlfn.TEXTAFTER('Additional Chemicals-WUO_ERR'!A328, ":"))))</f>
        <v/>
      </c>
    </row>
    <row r="329">
      <c r="A329" s="38">
        <f>IF('Additional Chemicals'!B329 = "", "", IF('Additional Chemicals-WUO_ERR'!A329 = "", "Validated", HYPERLINK("#" &amp; ADDRESS(329, 'Additional Chemicals-WUO_TRK'!A329),_xlfn.TEXTAFTER('Additional Chemicals-WUO_ERR'!A329, ":"))))</f>
        <v/>
      </c>
    </row>
    <row r="330">
      <c r="A330" s="38">
        <f>IF('Additional Chemicals'!B330 = "", "", IF('Additional Chemicals-WUO_ERR'!A330 = "", "Validated", HYPERLINK("#" &amp; ADDRESS(330, 'Additional Chemicals-WUO_TRK'!A330),_xlfn.TEXTAFTER('Additional Chemicals-WUO_ERR'!A330, ":"))))</f>
        <v/>
      </c>
    </row>
    <row r="331">
      <c r="A331" s="38">
        <f>IF('Additional Chemicals'!B331 = "", "", IF('Additional Chemicals-WUO_ERR'!A331 = "", "Validated", HYPERLINK("#" &amp; ADDRESS(331, 'Additional Chemicals-WUO_TRK'!A331),_xlfn.TEXTAFTER('Additional Chemicals-WUO_ERR'!A331, ":"))))</f>
        <v/>
      </c>
    </row>
    <row r="332">
      <c r="A332" s="38">
        <f>IF('Additional Chemicals'!B332 = "", "", IF('Additional Chemicals-WUO_ERR'!A332 = "", "Validated", HYPERLINK("#" &amp; ADDRESS(332, 'Additional Chemicals-WUO_TRK'!A332),_xlfn.TEXTAFTER('Additional Chemicals-WUO_ERR'!A332, ":"))))</f>
        <v/>
      </c>
    </row>
    <row r="333">
      <c r="A333" s="38">
        <f>IF('Additional Chemicals'!B333 = "", "", IF('Additional Chemicals-WUO_ERR'!A333 = "", "Validated", HYPERLINK("#" &amp; ADDRESS(333, 'Additional Chemicals-WUO_TRK'!A333),_xlfn.TEXTAFTER('Additional Chemicals-WUO_ERR'!A333, ":"))))</f>
        <v/>
      </c>
    </row>
    <row r="334">
      <c r="A334" s="38">
        <f>IF('Additional Chemicals'!B334 = "", "", IF('Additional Chemicals-WUO_ERR'!A334 = "", "Validated", HYPERLINK("#" &amp; ADDRESS(334, 'Additional Chemicals-WUO_TRK'!A334),_xlfn.TEXTAFTER('Additional Chemicals-WUO_ERR'!A334, ":"))))</f>
        <v/>
      </c>
    </row>
    <row r="335">
      <c r="A335" s="38">
        <f>IF('Additional Chemicals'!B335 = "", "", IF('Additional Chemicals-WUO_ERR'!A335 = "", "Validated", HYPERLINK("#" &amp; ADDRESS(335, 'Additional Chemicals-WUO_TRK'!A335),_xlfn.TEXTAFTER('Additional Chemicals-WUO_ERR'!A335, ":"))))</f>
        <v/>
      </c>
    </row>
    <row r="336">
      <c r="A336" s="38">
        <f>IF('Additional Chemicals'!B336 = "", "", IF('Additional Chemicals-WUO_ERR'!A336 = "", "Validated", HYPERLINK("#" &amp; ADDRESS(336, 'Additional Chemicals-WUO_TRK'!A336),_xlfn.TEXTAFTER('Additional Chemicals-WUO_ERR'!A336, ":"))))</f>
        <v/>
      </c>
    </row>
    <row r="337">
      <c r="A337" s="38">
        <f>IF('Additional Chemicals'!B337 = "", "", IF('Additional Chemicals-WUO_ERR'!A337 = "", "Validated", HYPERLINK("#" &amp; ADDRESS(337, 'Additional Chemicals-WUO_TRK'!A337),_xlfn.TEXTAFTER('Additional Chemicals-WUO_ERR'!A337, ":"))))</f>
        <v/>
      </c>
    </row>
    <row r="338">
      <c r="A338" s="38">
        <f>IF('Additional Chemicals'!B338 = "", "", IF('Additional Chemicals-WUO_ERR'!A338 = "", "Validated", HYPERLINK("#" &amp; ADDRESS(338, 'Additional Chemicals-WUO_TRK'!A338),_xlfn.TEXTAFTER('Additional Chemicals-WUO_ERR'!A338, ":"))))</f>
        <v/>
      </c>
    </row>
    <row r="339">
      <c r="A339" s="38">
        <f>IF('Additional Chemicals'!B339 = "", "", IF('Additional Chemicals-WUO_ERR'!A339 = "", "Validated", HYPERLINK("#" &amp; ADDRESS(339, 'Additional Chemicals-WUO_TRK'!A339),_xlfn.TEXTAFTER('Additional Chemicals-WUO_ERR'!A339, ":"))))</f>
        <v/>
      </c>
    </row>
    <row r="340">
      <c r="A340" s="38">
        <f>IF('Additional Chemicals'!B340 = "", "", IF('Additional Chemicals-WUO_ERR'!A340 = "", "Validated", HYPERLINK("#" &amp; ADDRESS(340, 'Additional Chemicals-WUO_TRK'!A340),_xlfn.TEXTAFTER('Additional Chemicals-WUO_ERR'!A340, ":"))))</f>
        <v/>
      </c>
    </row>
    <row r="341">
      <c r="A341" s="38">
        <f>IF('Additional Chemicals'!B341 = "", "", IF('Additional Chemicals-WUO_ERR'!A341 = "", "Validated", HYPERLINK("#" &amp; ADDRESS(341, 'Additional Chemicals-WUO_TRK'!A341),_xlfn.TEXTAFTER('Additional Chemicals-WUO_ERR'!A341, ":"))))</f>
        <v/>
      </c>
    </row>
    <row r="342">
      <c r="A342" s="38">
        <f>IF('Additional Chemicals'!B342 = "", "", IF('Additional Chemicals-WUO_ERR'!A342 = "", "Validated", HYPERLINK("#" &amp; ADDRESS(342, 'Additional Chemicals-WUO_TRK'!A342),_xlfn.TEXTAFTER('Additional Chemicals-WUO_ERR'!A342, ":"))))</f>
        <v/>
      </c>
    </row>
    <row r="343">
      <c r="A343" s="38">
        <f>IF('Additional Chemicals'!B343 = "", "", IF('Additional Chemicals-WUO_ERR'!A343 = "", "Validated", HYPERLINK("#" &amp; ADDRESS(343, 'Additional Chemicals-WUO_TRK'!A343),_xlfn.TEXTAFTER('Additional Chemicals-WUO_ERR'!A343, ":"))))</f>
        <v/>
      </c>
    </row>
    <row r="344">
      <c r="A344" s="38">
        <f>IF('Additional Chemicals'!B344 = "", "", IF('Additional Chemicals-WUO_ERR'!A344 = "", "Validated", HYPERLINK("#" &amp; ADDRESS(344, 'Additional Chemicals-WUO_TRK'!A344),_xlfn.TEXTAFTER('Additional Chemicals-WUO_ERR'!A344, ":"))))</f>
        <v/>
      </c>
    </row>
    <row r="345">
      <c r="A345" s="38">
        <f>IF('Additional Chemicals'!B345 = "", "", IF('Additional Chemicals-WUO_ERR'!A345 = "", "Validated", HYPERLINK("#" &amp; ADDRESS(345, 'Additional Chemicals-WUO_TRK'!A345),_xlfn.TEXTAFTER('Additional Chemicals-WUO_ERR'!A345, ":"))))</f>
        <v/>
      </c>
    </row>
    <row r="346">
      <c r="A346" s="38">
        <f>IF('Additional Chemicals'!B346 = "", "", IF('Additional Chemicals-WUO_ERR'!A346 = "", "Validated", HYPERLINK("#" &amp; ADDRESS(346, 'Additional Chemicals-WUO_TRK'!A346),_xlfn.TEXTAFTER('Additional Chemicals-WUO_ERR'!A346, ":"))))</f>
        <v/>
      </c>
    </row>
    <row r="347">
      <c r="A347" s="38">
        <f>IF('Additional Chemicals'!B347 = "", "", IF('Additional Chemicals-WUO_ERR'!A347 = "", "Validated", HYPERLINK("#" &amp; ADDRESS(347, 'Additional Chemicals-WUO_TRK'!A347),_xlfn.TEXTAFTER('Additional Chemicals-WUO_ERR'!A347, ":"))))</f>
        <v/>
      </c>
    </row>
    <row r="348">
      <c r="A348" s="38">
        <f>IF('Additional Chemicals'!B348 = "", "", IF('Additional Chemicals-WUO_ERR'!A348 = "", "Validated", HYPERLINK("#" &amp; ADDRESS(348, 'Additional Chemicals-WUO_TRK'!A348),_xlfn.TEXTAFTER('Additional Chemicals-WUO_ERR'!A348, ":"))))</f>
        <v/>
      </c>
    </row>
    <row r="349">
      <c r="A349" s="38">
        <f>IF('Additional Chemicals'!B349 = "", "", IF('Additional Chemicals-WUO_ERR'!A349 = "", "Validated", HYPERLINK("#" &amp; ADDRESS(349, 'Additional Chemicals-WUO_TRK'!A349),_xlfn.TEXTAFTER('Additional Chemicals-WUO_ERR'!A349, ":"))))</f>
        <v/>
      </c>
    </row>
    <row r="350">
      <c r="A350" s="38">
        <f>IF('Additional Chemicals'!B350 = "", "", IF('Additional Chemicals-WUO_ERR'!A350 = "", "Validated", HYPERLINK("#" &amp; ADDRESS(350, 'Additional Chemicals-WUO_TRK'!A350),_xlfn.TEXTAFTER('Additional Chemicals-WUO_ERR'!A350, ":"))))</f>
        <v/>
      </c>
    </row>
    <row r="351">
      <c r="A351" s="38">
        <f>IF('Additional Chemicals'!B351 = "", "", IF('Additional Chemicals-WUO_ERR'!A351 = "", "Validated", HYPERLINK("#" &amp; ADDRESS(351, 'Additional Chemicals-WUO_TRK'!A351),_xlfn.TEXTAFTER('Additional Chemicals-WUO_ERR'!A351, ":"))))</f>
        <v/>
      </c>
    </row>
    <row r="352">
      <c r="A352" s="38">
        <f>IF('Additional Chemicals'!B352 = "", "", IF('Additional Chemicals-WUO_ERR'!A352 = "", "Validated", HYPERLINK("#" &amp; ADDRESS(352, 'Additional Chemicals-WUO_TRK'!A352),_xlfn.TEXTAFTER('Additional Chemicals-WUO_ERR'!A352, ":"))))</f>
        <v/>
      </c>
    </row>
    <row r="353">
      <c r="A353" s="38">
        <f>IF('Additional Chemicals'!B353 = "", "", IF('Additional Chemicals-WUO_ERR'!A353 = "", "Validated", HYPERLINK("#" &amp; ADDRESS(353, 'Additional Chemicals-WUO_TRK'!A353),_xlfn.TEXTAFTER('Additional Chemicals-WUO_ERR'!A353, ":"))))</f>
        <v/>
      </c>
    </row>
    <row r="354">
      <c r="A354" s="38">
        <f>IF('Additional Chemicals'!B354 = "", "", IF('Additional Chemicals-WUO_ERR'!A354 = "", "Validated", HYPERLINK("#" &amp; ADDRESS(354, 'Additional Chemicals-WUO_TRK'!A354),_xlfn.TEXTAFTER('Additional Chemicals-WUO_ERR'!A354, ":"))))</f>
        <v/>
      </c>
    </row>
    <row r="355">
      <c r="A355" s="38">
        <f>IF('Additional Chemicals'!B355 = "", "", IF('Additional Chemicals-WUO_ERR'!A355 = "", "Validated", HYPERLINK("#" &amp; ADDRESS(355, 'Additional Chemicals-WUO_TRK'!A355),_xlfn.TEXTAFTER('Additional Chemicals-WUO_ERR'!A355, ":"))))</f>
        <v/>
      </c>
    </row>
    <row r="356">
      <c r="A356" s="38">
        <f>IF('Additional Chemicals'!B356 = "", "", IF('Additional Chemicals-WUO_ERR'!A356 = "", "Validated", HYPERLINK("#" &amp; ADDRESS(356, 'Additional Chemicals-WUO_TRK'!A356),_xlfn.TEXTAFTER('Additional Chemicals-WUO_ERR'!A356, ":"))))</f>
        <v/>
      </c>
    </row>
    <row r="357">
      <c r="A357" s="38">
        <f>IF('Additional Chemicals'!B357 = "", "", IF('Additional Chemicals-WUO_ERR'!A357 = "", "Validated", HYPERLINK("#" &amp; ADDRESS(357, 'Additional Chemicals-WUO_TRK'!A357),_xlfn.TEXTAFTER('Additional Chemicals-WUO_ERR'!A357, ":"))))</f>
        <v/>
      </c>
    </row>
    <row r="358">
      <c r="A358" s="38">
        <f>IF('Additional Chemicals'!B358 = "", "", IF('Additional Chemicals-WUO_ERR'!A358 = "", "Validated", HYPERLINK("#" &amp; ADDRESS(358, 'Additional Chemicals-WUO_TRK'!A358),_xlfn.TEXTAFTER('Additional Chemicals-WUO_ERR'!A358, ":"))))</f>
        <v/>
      </c>
    </row>
    <row r="359">
      <c r="A359" s="38">
        <f>IF('Additional Chemicals'!B359 = "", "", IF('Additional Chemicals-WUO_ERR'!A359 = "", "Validated", HYPERLINK("#" &amp; ADDRESS(359, 'Additional Chemicals-WUO_TRK'!A359),_xlfn.TEXTAFTER('Additional Chemicals-WUO_ERR'!A359, ":"))))</f>
        <v/>
      </c>
    </row>
    <row r="360">
      <c r="A360" s="38">
        <f>IF('Additional Chemicals'!B360 = "", "", IF('Additional Chemicals-WUO_ERR'!A360 = "", "Validated", HYPERLINK("#" &amp; ADDRESS(360, 'Additional Chemicals-WUO_TRK'!A360),_xlfn.TEXTAFTER('Additional Chemicals-WUO_ERR'!A360, ":"))))</f>
        <v/>
      </c>
    </row>
    <row r="361">
      <c r="A361" s="38">
        <f>IF('Additional Chemicals'!B361 = "", "", IF('Additional Chemicals-WUO_ERR'!A361 = "", "Validated", HYPERLINK("#" &amp; ADDRESS(361, 'Additional Chemicals-WUO_TRK'!A361),_xlfn.TEXTAFTER('Additional Chemicals-WUO_ERR'!A361, ":"))))</f>
        <v/>
      </c>
    </row>
    <row r="362">
      <c r="A362" s="38">
        <f>IF('Additional Chemicals'!B362 = "", "", IF('Additional Chemicals-WUO_ERR'!A362 = "", "Validated", HYPERLINK("#" &amp; ADDRESS(362, 'Additional Chemicals-WUO_TRK'!A362),_xlfn.TEXTAFTER('Additional Chemicals-WUO_ERR'!A362, ":"))))</f>
        <v/>
      </c>
    </row>
    <row r="363">
      <c r="A363" s="38">
        <f>IF('Additional Chemicals'!B363 = "", "", IF('Additional Chemicals-WUO_ERR'!A363 = "", "Validated", HYPERLINK("#" &amp; ADDRESS(363, 'Additional Chemicals-WUO_TRK'!A363),_xlfn.TEXTAFTER('Additional Chemicals-WUO_ERR'!A363, ":"))))</f>
        <v/>
      </c>
    </row>
    <row r="364">
      <c r="A364" s="38">
        <f>IF('Additional Chemicals'!B364 = "", "", IF('Additional Chemicals-WUO_ERR'!A364 = "", "Validated", HYPERLINK("#" &amp; ADDRESS(364, 'Additional Chemicals-WUO_TRK'!A364),_xlfn.TEXTAFTER('Additional Chemicals-WUO_ERR'!A364, ":"))))</f>
        <v/>
      </c>
    </row>
    <row r="365">
      <c r="A365" s="38">
        <f>IF('Additional Chemicals'!B365 = "", "", IF('Additional Chemicals-WUO_ERR'!A365 = "", "Validated", HYPERLINK("#" &amp; ADDRESS(365, 'Additional Chemicals-WUO_TRK'!A365),_xlfn.TEXTAFTER('Additional Chemicals-WUO_ERR'!A365, ":"))))</f>
        <v/>
      </c>
    </row>
    <row r="366">
      <c r="A366" s="38">
        <f>IF('Additional Chemicals'!B366 = "", "", IF('Additional Chemicals-WUO_ERR'!A366 = "", "Validated", HYPERLINK("#" &amp; ADDRESS(366, 'Additional Chemicals-WUO_TRK'!A366),_xlfn.TEXTAFTER('Additional Chemicals-WUO_ERR'!A366, ":"))))</f>
        <v/>
      </c>
    </row>
    <row r="367">
      <c r="A367" s="38">
        <f>IF('Additional Chemicals'!B367 = "", "", IF('Additional Chemicals-WUO_ERR'!A367 = "", "Validated", HYPERLINK("#" &amp; ADDRESS(367, 'Additional Chemicals-WUO_TRK'!A367),_xlfn.TEXTAFTER('Additional Chemicals-WUO_ERR'!A367, ":"))))</f>
        <v/>
      </c>
    </row>
    <row r="368">
      <c r="A368" s="38">
        <f>IF('Additional Chemicals'!B368 = "", "", IF('Additional Chemicals-WUO_ERR'!A368 = "", "Validated", HYPERLINK("#" &amp; ADDRESS(368, 'Additional Chemicals-WUO_TRK'!A368),_xlfn.TEXTAFTER('Additional Chemicals-WUO_ERR'!A368, ":"))))</f>
        <v/>
      </c>
    </row>
    <row r="369">
      <c r="A369" s="38">
        <f>IF('Additional Chemicals'!B369 = "", "", IF('Additional Chemicals-WUO_ERR'!A369 = "", "Validated", HYPERLINK("#" &amp; ADDRESS(369, 'Additional Chemicals-WUO_TRK'!A369),_xlfn.TEXTAFTER('Additional Chemicals-WUO_ERR'!A369, ":"))))</f>
        <v/>
      </c>
    </row>
    <row r="370">
      <c r="A370" s="38">
        <f>IF('Additional Chemicals'!B370 = "", "", IF('Additional Chemicals-WUO_ERR'!A370 = "", "Validated", HYPERLINK("#" &amp; ADDRESS(370, 'Additional Chemicals-WUO_TRK'!A370),_xlfn.TEXTAFTER('Additional Chemicals-WUO_ERR'!A370, ":"))))</f>
        <v/>
      </c>
    </row>
    <row r="371">
      <c r="A371" s="38">
        <f>IF('Additional Chemicals'!B371 = "", "", IF('Additional Chemicals-WUO_ERR'!A371 = "", "Validated", HYPERLINK("#" &amp; ADDRESS(371, 'Additional Chemicals-WUO_TRK'!A371),_xlfn.TEXTAFTER('Additional Chemicals-WUO_ERR'!A371, ":"))))</f>
        <v/>
      </c>
    </row>
    <row r="372">
      <c r="A372" s="38">
        <f>IF('Additional Chemicals'!B372 = "", "", IF('Additional Chemicals-WUO_ERR'!A372 = "", "Validated", HYPERLINK("#" &amp; ADDRESS(372, 'Additional Chemicals-WUO_TRK'!A372),_xlfn.TEXTAFTER('Additional Chemicals-WUO_ERR'!A372, ":"))))</f>
        <v/>
      </c>
    </row>
    <row r="373">
      <c r="A373" s="38">
        <f>IF('Additional Chemicals'!B373 = "", "", IF('Additional Chemicals-WUO_ERR'!A373 = "", "Validated", HYPERLINK("#" &amp; ADDRESS(373, 'Additional Chemicals-WUO_TRK'!A373),_xlfn.TEXTAFTER('Additional Chemicals-WUO_ERR'!A373, ":"))))</f>
        <v/>
      </c>
    </row>
    <row r="374">
      <c r="A374" s="38">
        <f>IF('Additional Chemicals'!B374 = "", "", IF('Additional Chemicals-WUO_ERR'!A374 = "", "Validated", HYPERLINK("#" &amp; ADDRESS(374, 'Additional Chemicals-WUO_TRK'!A374),_xlfn.TEXTAFTER('Additional Chemicals-WUO_ERR'!A374, ":"))))</f>
        <v/>
      </c>
    </row>
    <row r="375">
      <c r="A375" s="38">
        <f>IF('Additional Chemicals'!B375 = "", "", IF('Additional Chemicals-WUO_ERR'!A375 = "", "Validated", HYPERLINK("#" &amp; ADDRESS(375, 'Additional Chemicals-WUO_TRK'!A375),_xlfn.TEXTAFTER('Additional Chemicals-WUO_ERR'!A375, ":"))))</f>
        <v/>
      </c>
    </row>
    <row r="376">
      <c r="A376" s="38">
        <f>IF('Additional Chemicals'!B376 = "", "", IF('Additional Chemicals-WUO_ERR'!A376 = "", "Validated", HYPERLINK("#" &amp; ADDRESS(376, 'Additional Chemicals-WUO_TRK'!A376),_xlfn.TEXTAFTER('Additional Chemicals-WUO_ERR'!A376, ":"))))</f>
        <v/>
      </c>
    </row>
    <row r="377">
      <c r="A377" s="38">
        <f>IF('Additional Chemicals'!B377 = "", "", IF('Additional Chemicals-WUO_ERR'!A377 = "", "Validated", HYPERLINK("#" &amp; ADDRESS(377, 'Additional Chemicals-WUO_TRK'!A377),_xlfn.TEXTAFTER('Additional Chemicals-WUO_ERR'!A377, ":"))))</f>
        <v/>
      </c>
    </row>
    <row r="378">
      <c r="A378" s="38">
        <f>IF('Additional Chemicals'!B378 = "", "", IF('Additional Chemicals-WUO_ERR'!A378 = "", "Validated", HYPERLINK("#" &amp; ADDRESS(378, 'Additional Chemicals-WUO_TRK'!A378),_xlfn.TEXTAFTER('Additional Chemicals-WUO_ERR'!A378, ":"))))</f>
        <v/>
      </c>
    </row>
    <row r="379">
      <c r="A379" s="38">
        <f>IF('Additional Chemicals'!B379 = "", "", IF('Additional Chemicals-WUO_ERR'!A379 = "", "Validated", HYPERLINK("#" &amp; ADDRESS(379, 'Additional Chemicals-WUO_TRK'!A379),_xlfn.TEXTAFTER('Additional Chemicals-WUO_ERR'!A379, ":"))))</f>
        <v/>
      </c>
    </row>
    <row r="380">
      <c r="A380" s="38">
        <f>IF('Additional Chemicals'!B380 = "", "", IF('Additional Chemicals-WUO_ERR'!A380 = "", "Validated", HYPERLINK("#" &amp; ADDRESS(380, 'Additional Chemicals-WUO_TRK'!A380),_xlfn.TEXTAFTER('Additional Chemicals-WUO_ERR'!A380, ":"))))</f>
        <v/>
      </c>
    </row>
    <row r="381">
      <c r="A381" s="38">
        <f>IF('Additional Chemicals'!B381 = "", "", IF('Additional Chemicals-WUO_ERR'!A381 = "", "Validated", HYPERLINK("#" &amp; ADDRESS(381, 'Additional Chemicals-WUO_TRK'!A381),_xlfn.TEXTAFTER('Additional Chemicals-WUO_ERR'!A381, ":"))))</f>
        <v/>
      </c>
    </row>
    <row r="382">
      <c r="A382" s="38">
        <f>IF('Additional Chemicals'!B382 = "", "", IF('Additional Chemicals-WUO_ERR'!A382 = "", "Validated", HYPERLINK("#" &amp; ADDRESS(382, 'Additional Chemicals-WUO_TRK'!A382),_xlfn.TEXTAFTER('Additional Chemicals-WUO_ERR'!A382, ":"))))</f>
        <v/>
      </c>
    </row>
    <row r="383">
      <c r="A383" s="38">
        <f>IF('Additional Chemicals'!B383 = "", "", IF('Additional Chemicals-WUO_ERR'!A383 = "", "Validated", HYPERLINK("#" &amp; ADDRESS(383, 'Additional Chemicals-WUO_TRK'!A383),_xlfn.TEXTAFTER('Additional Chemicals-WUO_ERR'!A383, ":"))))</f>
        <v/>
      </c>
    </row>
    <row r="384">
      <c r="A384" s="38">
        <f>IF('Additional Chemicals'!B384 = "", "", IF('Additional Chemicals-WUO_ERR'!A384 = "", "Validated", HYPERLINK("#" &amp; ADDRESS(384, 'Additional Chemicals-WUO_TRK'!A384),_xlfn.TEXTAFTER('Additional Chemicals-WUO_ERR'!A384, ":"))))</f>
        <v/>
      </c>
    </row>
    <row r="385">
      <c r="A385" s="38">
        <f>IF('Additional Chemicals'!B385 = "", "", IF('Additional Chemicals-WUO_ERR'!A385 = "", "Validated", HYPERLINK("#" &amp; ADDRESS(385, 'Additional Chemicals-WUO_TRK'!A385),_xlfn.TEXTAFTER('Additional Chemicals-WUO_ERR'!A385, ":"))))</f>
        <v/>
      </c>
    </row>
    <row r="386">
      <c r="A386" s="38">
        <f>IF('Additional Chemicals'!B386 = "", "", IF('Additional Chemicals-WUO_ERR'!A386 = "", "Validated", HYPERLINK("#" &amp; ADDRESS(386, 'Additional Chemicals-WUO_TRK'!A386),_xlfn.TEXTAFTER('Additional Chemicals-WUO_ERR'!A386, ":"))))</f>
        <v/>
      </c>
    </row>
    <row r="387">
      <c r="A387" s="38">
        <f>IF('Additional Chemicals'!B387 = "", "", IF('Additional Chemicals-WUO_ERR'!A387 = "", "Validated", HYPERLINK("#" &amp; ADDRESS(387, 'Additional Chemicals-WUO_TRK'!A387),_xlfn.TEXTAFTER('Additional Chemicals-WUO_ERR'!A387, ":"))))</f>
        <v/>
      </c>
    </row>
    <row r="388">
      <c r="A388" s="38">
        <f>IF('Additional Chemicals'!B388 = "", "", IF('Additional Chemicals-WUO_ERR'!A388 = "", "Validated", HYPERLINK("#" &amp; ADDRESS(388, 'Additional Chemicals-WUO_TRK'!A388),_xlfn.TEXTAFTER('Additional Chemicals-WUO_ERR'!A388, ":"))))</f>
        <v/>
      </c>
    </row>
    <row r="389">
      <c r="A389" s="38">
        <f>IF('Additional Chemicals'!B389 = "", "", IF('Additional Chemicals-WUO_ERR'!A389 = "", "Validated", HYPERLINK("#" &amp; ADDRESS(389, 'Additional Chemicals-WUO_TRK'!A389),_xlfn.TEXTAFTER('Additional Chemicals-WUO_ERR'!A389, ":"))))</f>
        <v/>
      </c>
    </row>
    <row r="390">
      <c r="A390" s="38">
        <f>IF('Additional Chemicals'!B390 = "", "", IF('Additional Chemicals-WUO_ERR'!A390 = "", "Validated", HYPERLINK("#" &amp; ADDRESS(390, 'Additional Chemicals-WUO_TRK'!A390),_xlfn.TEXTAFTER('Additional Chemicals-WUO_ERR'!A390, ":"))))</f>
        <v/>
      </c>
    </row>
    <row r="391">
      <c r="A391" s="38">
        <f>IF('Additional Chemicals'!B391 = "", "", IF('Additional Chemicals-WUO_ERR'!A391 = "", "Validated", HYPERLINK("#" &amp; ADDRESS(391, 'Additional Chemicals-WUO_TRK'!A391),_xlfn.TEXTAFTER('Additional Chemicals-WUO_ERR'!A391, ":"))))</f>
        <v/>
      </c>
    </row>
    <row r="392">
      <c r="A392" s="38">
        <f>IF('Additional Chemicals'!B392 = "", "", IF('Additional Chemicals-WUO_ERR'!A392 = "", "Validated", HYPERLINK("#" &amp; ADDRESS(392, 'Additional Chemicals-WUO_TRK'!A392),_xlfn.TEXTAFTER('Additional Chemicals-WUO_ERR'!A392, ":"))))</f>
        <v/>
      </c>
    </row>
    <row r="393">
      <c r="A393" s="38">
        <f>IF('Additional Chemicals'!B393 = "", "", IF('Additional Chemicals-WUO_ERR'!A393 = "", "Validated", HYPERLINK("#" &amp; ADDRESS(393, 'Additional Chemicals-WUO_TRK'!A393),_xlfn.TEXTAFTER('Additional Chemicals-WUO_ERR'!A393, ":"))))</f>
        <v/>
      </c>
    </row>
    <row r="394">
      <c r="A394" s="38">
        <f>IF('Additional Chemicals'!B394 = "", "", IF('Additional Chemicals-WUO_ERR'!A394 = "", "Validated", HYPERLINK("#" &amp; ADDRESS(394, 'Additional Chemicals-WUO_TRK'!A394),_xlfn.TEXTAFTER('Additional Chemicals-WUO_ERR'!A394, ":"))))</f>
        <v/>
      </c>
    </row>
    <row r="395">
      <c r="A395" s="38">
        <f>IF('Additional Chemicals'!B395 = "", "", IF('Additional Chemicals-WUO_ERR'!A395 = "", "Validated", HYPERLINK("#" &amp; ADDRESS(395, 'Additional Chemicals-WUO_TRK'!A395),_xlfn.TEXTAFTER('Additional Chemicals-WUO_ERR'!A395, ":"))))</f>
        <v/>
      </c>
    </row>
    <row r="396">
      <c r="A396" s="38">
        <f>IF('Additional Chemicals'!B396 = "", "", IF('Additional Chemicals-WUO_ERR'!A396 = "", "Validated", HYPERLINK("#" &amp; ADDRESS(396, 'Additional Chemicals-WUO_TRK'!A396),_xlfn.TEXTAFTER('Additional Chemicals-WUO_ERR'!A396, ":"))))</f>
        <v/>
      </c>
    </row>
    <row r="397">
      <c r="A397" s="38">
        <f>IF('Additional Chemicals'!B397 = "", "", IF('Additional Chemicals-WUO_ERR'!A397 = "", "Validated", HYPERLINK("#" &amp; ADDRESS(397, 'Additional Chemicals-WUO_TRK'!A397),_xlfn.TEXTAFTER('Additional Chemicals-WUO_ERR'!A397, ":"))))</f>
        <v/>
      </c>
    </row>
    <row r="398">
      <c r="A398" s="38">
        <f>IF('Additional Chemicals'!B398 = "", "", IF('Additional Chemicals-WUO_ERR'!A398 = "", "Validated", HYPERLINK("#" &amp; ADDRESS(398, 'Additional Chemicals-WUO_TRK'!A398),_xlfn.TEXTAFTER('Additional Chemicals-WUO_ERR'!A398, ":"))))</f>
        <v/>
      </c>
    </row>
    <row r="399">
      <c r="A399" s="38">
        <f>IF('Additional Chemicals'!B399 = "", "", IF('Additional Chemicals-WUO_ERR'!A399 = "", "Validated", HYPERLINK("#" &amp; ADDRESS(399, 'Additional Chemicals-WUO_TRK'!A399),_xlfn.TEXTAFTER('Additional Chemicals-WUO_ERR'!A399, ":"))))</f>
        <v/>
      </c>
    </row>
    <row r="400">
      <c r="A400" s="38">
        <f>IF('Additional Chemicals'!B400 = "", "", IF('Additional Chemicals-WUO_ERR'!A400 = "", "Validated", HYPERLINK("#" &amp; ADDRESS(400, 'Additional Chemicals-WUO_TRK'!A400),_xlfn.TEXTAFTER('Additional Chemicals-WUO_ERR'!A400, ":"))))</f>
        <v/>
      </c>
    </row>
    <row r="401">
      <c r="A401" s="38">
        <f>IF('Additional Chemicals'!B401 = "", "", IF('Additional Chemicals-WUO_ERR'!A401 = "", "Validated", HYPERLINK("#" &amp; ADDRESS(401, 'Additional Chemicals-WUO_TRK'!A401),_xlfn.TEXTAFTER('Additional Chemicals-WUO_ERR'!A401, ":"))))</f>
        <v/>
      </c>
    </row>
    <row r="402">
      <c r="A402" s="38">
        <f>IF('Additional Chemicals'!B402 = "", "", IF('Additional Chemicals-WUO_ERR'!A402 = "", "Validated", HYPERLINK("#" &amp; ADDRESS(402, 'Additional Chemicals-WUO_TRK'!A402),_xlfn.TEXTAFTER('Additional Chemicals-WUO_ERR'!A402, ":"))))</f>
        <v/>
      </c>
    </row>
    <row r="403">
      <c r="A403" s="38">
        <f>IF('Additional Chemicals'!B403 = "", "", IF('Additional Chemicals-WUO_ERR'!A403 = "", "Validated", HYPERLINK("#" &amp; ADDRESS(403, 'Additional Chemicals-WUO_TRK'!A403),_xlfn.TEXTAFTER('Additional Chemicals-WUO_ERR'!A403, ":"))))</f>
        <v/>
      </c>
    </row>
    <row r="404">
      <c r="A404" s="38">
        <f>IF('Additional Chemicals'!B404 = "", "", IF('Additional Chemicals-WUO_ERR'!A404 = "", "Validated", HYPERLINK("#" &amp; ADDRESS(404, 'Additional Chemicals-WUO_TRK'!A404),_xlfn.TEXTAFTER('Additional Chemicals-WUO_ERR'!A404, ":"))))</f>
        <v/>
      </c>
    </row>
    <row r="405">
      <c r="A405" s="38">
        <f>IF('Additional Chemicals'!B405 = "", "", IF('Additional Chemicals-WUO_ERR'!A405 = "", "Validated", HYPERLINK("#" &amp; ADDRESS(405, 'Additional Chemicals-WUO_TRK'!A405),_xlfn.TEXTAFTER('Additional Chemicals-WUO_ERR'!A405, ":"))))</f>
        <v/>
      </c>
    </row>
    <row r="406">
      <c r="A406" s="38">
        <f>IF('Additional Chemicals'!B406 = "", "", IF('Additional Chemicals-WUO_ERR'!A406 = "", "Validated", HYPERLINK("#" &amp; ADDRESS(406, 'Additional Chemicals-WUO_TRK'!A406),_xlfn.TEXTAFTER('Additional Chemicals-WUO_ERR'!A406, ":"))))</f>
        <v/>
      </c>
    </row>
    <row r="407">
      <c r="A407" s="38">
        <f>IF('Additional Chemicals'!B407 = "", "", IF('Additional Chemicals-WUO_ERR'!A407 = "", "Validated", HYPERLINK("#" &amp; ADDRESS(407, 'Additional Chemicals-WUO_TRK'!A407),_xlfn.TEXTAFTER('Additional Chemicals-WUO_ERR'!A407, ":"))))</f>
        <v/>
      </c>
    </row>
    <row r="408">
      <c r="A408" s="38">
        <f>IF('Additional Chemicals'!B408 = "", "", IF('Additional Chemicals-WUO_ERR'!A408 = "", "Validated", HYPERLINK("#" &amp; ADDRESS(408, 'Additional Chemicals-WUO_TRK'!A408),_xlfn.TEXTAFTER('Additional Chemicals-WUO_ERR'!A408, ":"))))</f>
        <v/>
      </c>
    </row>
    <row r="409">
      <c r="A409" s="38">
        <f>IF('Additional Chemicals'!B409 = "", "", IF('Additional Chemicals-WUO_ERR'!A409 = "", "Validated", HYPERLINK("#" &amp; ADDRESS(409, 'Additional Chemicals-WUO_TRK'!A409),_xlfn.TEXTAFTER('Additional Chemicals-WUO_ERR'!A409, ":"))))</f>
        <v/>
      </c>
    </row>
    <row r="410">
      <c r="A410" s="38">
        <f>IF('Additional Chemicals'!B410 = "", "", IF('Additional Chemicals-WUO_ERR'!A410 = "", "Validated", HYPERLINK("#" &amp; ADDRESS(410, 'Additional Chemicals-WUO_TRK'!A410),_xlfn.TEXTAFTER('Additional Chemicals-WUO_ERR'!A410, ":"))))</f>
        <v/>
      </c>
    </row>
    <row r="411">
      <c r="A411" s="38">
        <f>IF('Additional Chemicals'!B411 = "", "", IF('Additional Chemicals-WUO_ERR'!A411 = "", "Validated", HYPERLINK("#" &amp; ADDRESS(411, 'Additional Chemicals-WUO_TRK'!A411),_xlfn.TEXTAFTER('Additional Chemicals-WUO_ERR'!A411, ":"))))</f>
        <v/>
      </c>
    </row>
    <row r="412">
      <c r="A412" s="38">
        <f>IF('Additional Chemicals'!B412 = "", "", IF('Additional Chemicals-WUO_ERR'!A412 = "", "Validated", HYPERLINK("#" &amp; ADDRESS(412, 'Additional Chemicals-WUO_TRK'!A412),_xlfn.TEXTAFTER('Additional Chemicals-WUO_ERR'!A412, ":"))))</f>
        <v/>
      </c>
    </row>
    <row r="413">
      <c r="A413" s="38">
        <f>IF('Additional Chemicals'!B413 = "", "", IF('Additional Chemicals-WUO_ERR'!A413 = "", "Validated", HYPERLINK("#" &amp; ADDRESS(413, 'Additional Chemicals-WUO_TRK'!A413),_xlfn.TEXTAFTER('Additional Chemicals-WUO_ERR'!A413, ":"))))</f>
        <v/>
      </c>
    </row>
    <row r="414">
      <c r="A414" s="38">
        <f>IF('Additional Chemicals'!B414 = "", "", IF('Additional Chemicals-WUO_ERR'!A414 = "", "Validated", HYPERLINK("#" &amp; ADDRESS(414, 'Additional Chemicals-WUO_TRK'!A414),_xlfn.TEXTAFTER('Additional Chemicals-WUO_ERR'!A414, ":"))))</f>
        <v/>
      </c>
    </row>
    <row r="415">
      <c r="A415" s="38">
        <f>IF('Additional Chemicals'!B415 = "", "", IF('Additional Chemicals-WUO_ERR'!A415 = "", "Validated", HYPERLINK("#" &amp; ADDRESS(415, 'Additional Chemicals-WUO_TRK'!A415),_xlfn.TEXTAFTER('Additional Chemicals-WUO_ERR'!A415, ":"))))</f>
        <v/>
      </c>
    </row>
    <row r="416">
      <c r="A416" s="38">
        <f>IF('Additional Chemicals'!B416 = "", "", IF('Additional Chemicals-WUO_ERR'!A416 = "", "Validated", HYPERLINK("#" &amp; ADDRESS(416, 'Additional Chemicals-WUO_TRK'!A416),_xlfn.TEXTAFTER('Additional Chemicals-WUO_ERR'!A416, ":"))))</f>
        <v/>
      </c>
    </row>
    <row r="417">
      <c r="A417" s="38">
        <f>IF('Additional Chemicals'!B417 = "", "", IF('Additional Chemicals-WUO_ERR'!A417 = "", "Validated", HYPERLINK("#" &amp; ADDRESS(417, 'Additional Chemicals-WUO_TRK'!A417),_xlfn.TEXTAFTER('Additional Chemicals-WUO_ERR'!A417, ":"))))</f>
        <v/>
      </c>
    </row>
    <row r="418">
      <c r="A418" s="38">
        <f>IF('Additional Chemicals'!B418 = "", "", IF('Additional Chemicals-WUO_ERR'!A418 = "", "Validated", HYPERLINK("#" &amp; ADDRESS(418, 'Additional Chemicals-WUO_TRK'!A418),_xlfn.TEXTAFTER('Additional Chemicals-WUO_ERR'!A418, ":"))))</f>
        <v/>
      </c>
    </row>
    <row r="419">
      <c r="A419" s="38">
        <f>IF('Additional Chemicals'!B419 = "", "", IF('Additional Chemicals-WUO_ERR'!A419 = "", "Validated", HYPERLINK("#" &amp; ADDRESS(419, 'Additional Chemicals-WUO_TRK'!A419),_xlfn.TEXTAFTER('Additional Chemicals-WUO_ERR'!A419, ":"))))</f>
        <v/>
      </c>
    </row>
    <row r="420">
      <c r="A420" s="38">
        <f>IF('Additional Chemicals'!B420 = "", "", IF('Additional Chemicals-WUO_ERR'!A420 = "", "Validated", HYPERLINK("#" &amp; ADDRESS(420, 'Additional Chemicals-WUO_TRK'!A420),_xlfn.TEXTAFTER('Additional Chemicals-WUO_ERR'!A420, ":"))))</f>
        <v/>
      </c>
    </row>
    <row r="421">
      <c r="A421" s="38">
        <f>IF('Additional Chemicals'!B421 = "", "", IF('Additional Chemicals-WUO_ERR'!A421 = "", "Validated", HYPERLINK("#" &amp; ADDRESS(421, 'Additional Chemicals-WUO_TRK'!A421),_xlfn.TEXTAFTER('Additional Chemicals-WUO_ERR'!A421, ":"))))</f>
        <v/>
      </c>
    </row>
    <row r="422">
      <c r="A422" s="38">
        <f>IF('Additional Chemicals'!B422 = "", "", IF('Additional Chemicals-WUO_ERR'!A422 = "", "Validated", HYPERLINK("#" &amp; ADDRESS(422, 'Additional Chemicals-WUO_TRK'!A422),_xlfn.TEXTAFTER('Additional Chemicals-WUO_ERR'!A422, ":"))))</f>
        <v/>
      </c>
    </row>
    <row r="423">
      <c r="A423" s="38">
        <f>IF('Additional Chemicals'!B423 = "", "", IF('Additional Chemicals-WUO_ERR'!A423 = "", "Validated", HYPERLINK("#" &amp; ADDRESS(423, 'Additional Chemicals-WUO_TRK'!A423),_xlfn.TEXTAFTER('Additional Chemicals-WUO_ERR'!A423, ":"))))</f>
        <v/>
      </c>
    </row>
    <row r="424">
      <c r="A424" s="38">
        <f>IF('Additional Chemicals'!B424 = "", "", IF('Additional Chemicals-WUO_ERR'!A424 = "", "Validated", HYPERLINK("#" &amp; ADDRESS(424, 'Additional Chemicals-WUO_TRK'!A424),_xlfn.TEXTAFTER('Additional Chemicals-WUO_ERR'!A424, ":"))))</f>
        <v/>
      </c>
    </row>
    <row r="425">
      <c r="A425" s="38">
        <f>IF('Additional Chemicals'!B425 = "", "", IF('Additional Chemicals-WUO_ERR'!A425 = "", "Validated", HYPERLINK("#" &amp; ADDRESS(425, 'Additional Chemicals-WUO_TRK'!A425),_xlfn.TEXTAFTER('Additional Chemicals-WUO_ERR'!A425, ":"))))</f>
        <v/>
      </c>
    </row>
    <row r="426">
      <c r="A426" s="38">
        <f>IF('Additional Chemicals'!B426 = "", "", IF('Additional Chemicals-WUO_ERR'!A426 = "", "Validated", HYPERLINK("#" &amp; ADDRESS(426, 'Additional Chemicals-WUO_TRK'!A426),_xlfn.TEXTAFTER('Additional Chemicals-WUO_ERR'!A426, ":"))))</f>
        <v/>
      </c>
    </row>
    <row r="427">
      <c r="A427" s="38">
        <f>IF('Additional Chemicals'!B427 = "", "", IF('Additional Chemicals-WUO_ERR'!A427 = "", "Validated", HYPERLINK("#" &amp; ADDRESS(427, 'Additional Chemicals-WUO_TRK'!A427),_xlfn.TEXTAFTER('Additional Chemicals-WUO_ERR'!A427, ":"))))</f>
        <v/>
      </c>
    </row>
    <row r="428">
      <c r="A428" s="38">
        <f>IF('Additional Chemicals'!B428 = "", "", IF('Additional Chemicals-WUO_ERR'!A428 = "", "Validated", HYPERLINK("#" &amp; ADDRESS(428, 'Additional Chemicals-WUO_TRK'!A428),_xlfn.TEXTAFTER('Additional Chemicals-WUO_ERR'!A428, ":"))))</f>
        <v/>
      </c>
    </row>
    <row r="429">
      <c r="A429" s="38">
        <f>IF('Additional Chemicals'!B429 = "", "", IF('Additional Chemicals-WUO_ERR'!A429 = "", "Validated", HYPERLINK("#" &amp; ADDRESS(429, 'Additional Chemicals-WUO_TRK'!A429),_xlfn.TEXTAFTER('Additional Chemicals-WUO_ERR'!A429, ":"))))</f>
        <v/>
      </c>
    </row>
    <row r="430">
      <c r="A430" s="38">
        <f>IF('Additional Chemicals'!B430 = "", "", IF('Additional Chemicals-WUO_ERR'!A430 = "", "Validated", HYPERLINK("#" &amp; ADDRESS(430, 'Additional Chemicals-WUO_TRK'!A430),_xlfn.TEXTAFTER('Additional Chemicals-WUO_ERR'!A430, ":"))))</f>
        <v/>
      </c>
    </row>
    <row r="431">
      <c r="A431" s="38">
        <f>IF('Additional Chemicals'!B431 = "", "", IF('Additional Chemicals-WUO_ERR'!A431 = "", "Validated", HYPERLINK("#" &amp; ADDRESS(431, 'Additional Chemicals-WUO_TRK'!A431),_xlfn.TEXTAFTER('Additional Chemicals-WUO_ERR'!A431, ":"))))</f>
        <v/>
      </c>
    </row>
    <row r="432">
      <c r="A432" s="38">
        <f>IF('Additional Chemicals'!B432 = "", "", IF('Additional Chemicals-WUO_ERR'!A432 = "", "Validated", HYPERLINK("#" &amp; ADDRESS(432, 'Additional Chemicals-WUO_TRK'!A432),_xlfn.TEXTAFTER('Additional Chemicals-WUO_ERR'!A432, ":"))))</f>
        <v/>
      </c>
    </row>
    <row r="433">
      <c r="A433" s="38">
        <f>IF('Additional Chemicals'!B433 = "", "", IF('Additional Chemicals-WUO_ERR'!A433 = "", "Validated", HYPERLINK("#" &amp; ADDRESS(433, 'Additional Chemicals-WUO_TRK'!A433),_xlfn.TEXTAFTER('Additional Chemicals-WUO_ERR'!A433, ":"))))</f>
        <v/>
      </c>
    </row>
    <row r="434">
      <c r="A434" s="38">
        <f>IF('Additional Chemicals'!B434 = "", "", IF('Additional Chemicals-WUO_ERR'!A434 = "", "Validated", HYPERLINK("#" &amp; ADDRESS(434, 'Additional Chemicals-WUO_TRK'!A434),_xlfn.TEXTAFTER('Additional Chemicals-WUO_ERR'!A434, ":"))))</f>
        <v/>
      </c>
    </row>
    <row r="435">
      <c r="A435" s="38">
        <f>IF('Additional Chemicals'!B435 = "", "", IF('Additional Chemicals-WUO_ERR'!A435 = "", "Validated", HYPERLINK("#" &amp; ADDRESS(435, 'Additional Chemicals-WUO_TRK'!A435),_xlfn.TEXTAFTER('Additional Chemicals-WUO_ERR'!A435, ":"))))</f>
        <v/>
      </c>
    </row>
    <row r="436">
      <c r="A436" s="38">
        <f>IF('Additional Chemicals'!B436 = "", "", IF('Additional Chemicals-WUO_ERR'!A436 = "", "Validated", HYPERLINK("#" &amp; ADDRESS(436, 'Additional Chemicals-WUO_TRK'!A436),_xlfn.TEXTAFTER('Additional Chemicals-WUO_ERR'!A436, ":"))))</f>
        <v/>
      </c>
    </row>
    <row r="437">
      <c r="A437" s="38">
        <f>IF('Additional Chemicals'!B437 = "", "", IF('Additional Chemicals-WUO_ERR'!A437 = "", "Validated", HYPERLINK("#" &amp; ADDRESS(437, 'Additional Chemicals-WUO_TRK'!A437),_xlfn.TEXTAFTER('Additional Chemicals-WUO_ERR'!A437, ":"))))</f>
        <v/>
      </c>
    </row>
    <row r="438">
      <c r="A438" s="38">
        <f>IF('Additional Chemicals'!B438 = "", "", IF('Additional Chemicals-WUO_ERR'!A438 = "", "Validated", HYPERLINK("#" &amp; ADDRESS(438, 'Additional Chemicals-WUO_TRK'!A438),_xlfn.TEXTAFTER('Additional Chemicals-WUO_ERR'!A438, ":"))))</f>
        <v/>
      </c>
    </row>
    <row r="439">
      <c r="A439" s="38">
        <f>IF('Additional Chemicals'!B439 = "", "", IF('Additional Chemicals-WUO_ERR'!A439 = "", "Validated", HYPERLINK("#" &amp; ADDRESS(439, 'Additional Chemicals-WUO_TRK'!A439),_xlfn.TEXTAFTER('Additional Chemicals-WUO_ERR'!A439, ":"))))</f>
        <v/>
      </c>
    </row>
    <row r="440">
      <c r="A440" s="38">
        <f>IF('Additional Chemicals'!B440 = "", "", IF('Additional Chemicals-WUO_ERR'!A440 = "", "Validated", HYPERLINK("#" &amp; ADDRESS(440, 'Additional Chemicals-WUO_TRK'!A440),_xlfn.TEXTAFTER('Additional Chemicals-WUO_ERR'!A440, ":"))))</f>
        <v/>
      </c>
    </row>
    <row r="441">
      <c r="A441" s="38">
        <f>IF('Additional Chemicals'!B441 = "", "", IF('Additional Chemicals-WUO_ERR'!A441 = "", "Validated", HYPERLINK("#" &amp; ADDRESS(441, 'Additional Chemicals-WUO_TRK'!A441),_xlfn.TEXTAFTER('Additional Chemicals-WUO_ERR'!A441, ":"))))</f>
        <v/>
      </c>
    </row>
    <row r="442">
      <c r="A442" s="38">
        <f>IF('Additional Chemicals'!B442 = "", "", IF('Additional Chemicals-WUO_ERR'!A442 = "", "Validated", HYPERLINK("#" &amp; ADDRESS(442, 'Additional Chemicals-WUO_TRK'!A442),_xlfn.TEXTAFTER('Additional Chemicals-WUO_ERR'!A442, ":"))))</f>
        <v/>
      </c>
    </row>
    <row r="443">
      <c r="A443" s="38">
        <f>IF('Additional Chemicals'!B443 = "", "", IF('Additional Chemicals-WUO_ERR'!A443 = "", "Validated", HYPERLINK("#" &amp; ADDRESS(443, 'Additional Chemicals-WUO_TRK'!A443),_xlfn.TEXTAFTER('Additional Chemicals-WUO_ERR'!A443, ":"))))</f>
        <v/>
      </c>
    </row>
    <row r="444">
      <c r="A444" s="38">
        <f>IF('Additional Chemicals'!B444 = "", "", IF('Additional Chemicals-WUO_ERR'!A444 = "", "Validated", HYPERLINK("#" &amp; ADDRESS(444, 'Additional Chemicals-WUO_TRK'!A444),_xlfn.TEXTAFTER('Additional Chemicals-WUO_ERR'!A444, ":"))))</f>
        <v/>
      </c>
    </row>
    <row r="445">
      <c r="A445" s="38">
        <f>IF('Additional Chemicals'!B445 = "", "", IF('Additional Chemicals-WUO_ERR'!A445 = "", "Validated", HYPERLINK("#" &amp; ADDRESS(445, 'Additional Chemicals-WUO_TRK'!A445),_xlfn.TEXTAFTER('Additional Chemicals-WUO_ERR'!A445, ":"))))</f>
        <v/>
      </c>
    </row>
    <row r="446">
      <c r="A446" s="38">
        <f>IF('Additional Chemicals'!B446 = "", "", IF('Additional Chemicals-WUO_ERR'!A446 = "", "Validated", HYPERLINK("#" &amp; ADDRESS(446, 'Additional Chemicals-WUO_TRK'!A446),_xlfn.TEXTAFTER('Additional Chemicals-WUO_ERR'!A446, ":"))))</f>
        <v/>
      </c>
    </row>
    <row r="447">
      <c r="A447" s="38">
        <f>IF('Additional Chemicals'!B447 = "", "", IF('Additional Chemicals-WUO_ERR'!A447 = "", "Validated", HYPERLINK("#" &amp; ADDRESS(447, 'Additional Chemicals-WUO_TRK'!A447),_xlfn.TEXTAFTER('Additional Chemicals-WUO_ERR'!A447, ":"))))</f>
        <v/>
      </c>
    </row>
    <row r="448">
      <c r="A448" s="38">
        <f>IF('Additional Chemicals'!B448 = "", "", IF('Additional Chemicals-WUO_ERR'!A448 = "", "Validated", HYPERLINK("#" &amp; ADDRESS(448, 'Additional Chemicals-WUO_TRK'!A448),_xlfn.TEXTAFTER('Additional Chemicals-WUO_ERR'!A448, ":"))))</f>
        <v/>
      </c>
    </row>
    <row r="449">
      <c r="A449" s="38">
        <f>IF('Additional Chemicals'!B449 = "", "", IF('Additional Chemicals-WUO_ERR'!A449 = "", "Validated", HYPERLINK("#" &amp; ADDRESS(449, 'Additional Chemicals-WUO_TRK'!A449),_xlfn.TEXTAFTER('Additional Chemicals-WUO_ERR'!A449, ":"))))</f>
        <v/>
      </c>
    </row>
    <row r="450">
      <c r="A450" s="38">
        <f>IF('Additional Chemicals'!B450 = "", "", IF('Additional Chemicals-WUO_ERR'!A450 = "", "Validated", HYPERLINK("#" &amp; ADDRESS(450, 'Additional Chemicals-WUO_TRK'!A450),_xlfn.TEXTAFTER('Additional Chemicals-WUO_ERR'!A450, ":"))))</f>
        <v/>
      </c>
    </row>
    <row r="451">
      <c r="A451" s="38">
        <f>IF('Additional Chemicals'!B451 = "", "", IF('Additional Chemicals-WUO_ERR'!A451 = "", "Validated", HYPERLINK("#" &amp; ADDRESS(451, 'Additional Chemicals-WUO_TRK'!A451),_xlfn.TEXTAFTER('Additional Chemicals-WUO_ERR'!A451, ":"))))</f>
        <v/>
      </c>
    </row>
    <row r="452">
      <c r="A452" s="38">
        <f>IF('Additional Chemicals'!B452 = "", "", IF('Additional Chemicals-WUO_ERR'!A452 = "", "Validated", HYPERLINK("#" &amp; ADDRESS(452, 'Additional Chemicals-WUO_TRK'!A452),_xlfn.TEXTAFTER('Additional Chemicals-WUO_ERR'!A452, ":"))))</f>
        <v/>
      </c>
    </row>
    <row r="453">
      <c r="A453" s="38">
        <f>IF('Additional Chemicals'!B453 = "", "", IF('Additional Chemicals-WUO_ERR'!A453 = "", "Validated", HYPERLINK("#" &amp; ADDRESS(453, 'Additional Chemicals-WUO_TRK'!A453),_xlfn.TEXTAFTER('Additional Chemicals-WUO_ERR'!A453, ":"))))</f>
        <v/>
      </c>
    </row>
    <row r="454">
      <c r="A454" s="38">
        <f>IF('Additional Chemicals'!B454 = "", "", IF('Additional Chemicals-WUO_ERR'!A454 = "", "Validated", HYPERLINK("#" &amp; ADDRESS(454, 'Additional Chemicals-WUO_TRK'!A454),_xlfn.TEXTAFTER('Additional Chemicals-WUO_ERR'!A454, ":"))))</f>
        <v/>
      </c>
    </row>
    <row r="455">
      <c r="A455" s="38">
        <f>IF('Additional Chemicals'!B455 = "", "", IF('Additional Chemicals-WUO_ERR'!A455 = "", "Validated", HYPERLINK("#" &amp; ADDRESS(455, 'Additional Chemicals-WUO_TRK'!A455),_xlfn.TEXTAFTER('Additional Chemicals-WUO_ERR'!A455, ":"))))</f>
        <v/>
      </c>
    </row>
    <row r="456">
      <c r="A456" s="38">
        <f>IF('Additional Chemicals'!B456 = "", "", IF('Additional Chemicals-WUO_ERR'!A456 = "", "Validated", HYPERLINK("#" &amp; ADDRESS(456, 'Additional Chemicals-WUO_TRK'!A456),_xlfn.TEXTAFTER('Additional Chemicals-WUO_ERR'!A456, ":"))))</f>
        <v/>
      </c>
    </row>
    <row r="457">
      <c r="A457" s="38">
        <f>IF('Additional Chemicals'!B457 = "", "", IF('Additional Chemicals-WUO_ERR'!A457 = "", "Validated", HYPERLINK("#" &amp; ADDRESS(457, 'Additional Chemicals-WUO_TRK'!A457),_xlfn.TEXTAFTER('Additional Chemicals-WUO_ERR'!A457, ":"))))</f>
        <v/>
      </c>
    </row>
    <row r="458">
      <c r="A458" s="38">
        <f>IF('Additional Chemicals'!B458 = "", "", IF('Additional Chemicals-WUO_ERR'!A458 = "", "Validated", HYPERLINK("#" &amp; ADDRESS(458, 'Additional Chemicals-WUO_TRK'!A458),_xlfn.TEXTAFTER('Additional Chemicals-WUO_ERR'!A458, ":"))))</f>
        <v/>
      </c>
    </row>
    <row r="459">
      <c r="A459" s="38">
        <f>IF('Additional Chemicals'!B459 = "", "", IF('Additional Chemicals-WUO_ERR'!A459 = "", "Validated", HYPERLINK("#" &amp; ADDRESS(459, 'Additional Chemicals-WUO_TRK'!A459),_xlfn.TEXTAFTER('Additional Chemicals-WUO_ERR'!A459, ":"))))</f>
        <v/>
      </c>
    </row>
    <row r="460">
      <c r="A460" s="38">
        <f>IF('Additional Chemicals'!B460 = "", "", IF('Additional Chemicals-WUO_ERR'!A460 = "", "Validated", HYPERLINK("#" &amp; ADDRESS(460, 'Additional Chemicals-WUO_TRK'!A460),_xlfn.TEXTAFTER('Additional Chemicals-WUO_ERR'!A460, ":"))))</f>
        <v/>
      </c>
    </row>
    <row r="461">
      <c r="A461" s="38">
        <f>IF('Additional Chemicals'!B461 = "", "", IF('Additional Chemicals-WUO_ERR'!A461 = "", "Validated", HYPERLINK("#" &amp; ADDRESS(461, 'Additional Chemicals-WUO_TRK'!A461),_xlfn.TEXTAFTER('Additional Chemicals-WUO_ERR'!A461, ":"))))</f>
        <v/>
      </c>
    </row>
    <row r="462">
      <c r="A462" s="38">
        <f>IF('Additional Chemicals'!B462 = "", "", IF('Additional Chemicals-WUO_ERR'!A462 = "", "Validated", HYPERLINK("#" &amp; ADDRESS(462, 'Additional Chemicals-WUO_TRK'!A462),_xlfn.TEXTAFTER('Additional Chemicals-WUO_ERR'!A462, ":"))))</f>
        <v/>
      </c>
    </row>
    <row r="463">
      <c r="A463" s="38">
        <f>IF('Additional Chemicals'!B463 = "", "", IF('Additional Chemicals-WUO_ERR'!A463 = "", "Validated", HYPERLINK("#" &amp; ADDRESS(463, 'Additional Chemicals-WUO_TRK'!A463),_xlfn.TEXTAFTER('Additional Chemicals-WUO_ERR'!A463, ":"))))</f>
        <v/>
      </c>
    </row>
    <row r="464">
      <c r="A464" s="38">
        <f>IF('Additional Chemicals'!B464 = "", "", IF('Additional Chemicals-WUO_ERR'!A464 = "", "Validated", HYPERLINK("#" &amp; ADDRESS(464, 'Additional Chemicals-WUO_TRK'!A464),_xlfn.TEXTAFTER('Additional Chemicals-WUO_ERR'!A464, ":"))))</f>
        <v/>
      </c>
    </row>
    <row r="465">
      <c r="A465" s="38">
        <f>IF('Additional Chemicals'!B465 = "", "", IF('Additional Chemicals-WUO_ERR'!A465 = "", "Validated", HYPERLINK("#" &amp; ADDRESS(465, 'Additional Chemicals-WUO_TRK'!A465),_xlfn.TEXTAFTER('Additional Chemicals-WUO_ERR'!A465, ":"))))</f>
        <v/>
      </c>
    </row>
    <row r="466">
      <c r="A466" s="38">
        <f>IF('Additional Chemicals'!B466 = "", "", IF('Additional Chemicals-WUO_ERR'!A466 = "", "Validated", HYPERLINK("#" &amp; ADDRESS(466, 'Additional Chemicals-WUO_TRK'!A466),_xlfn.TEXTAFTER('Additional Chemicals-WUO_ERR'!A466, ":"))))</f>
        <v/>
      </c>
    </row>
    <row r="467">
      <c r="A467" s="38">
        <f>IF('Additional Chemicals'!B467 = "", "", IF('Additional Chemicals-WUO_ERR'!A467 = "", "Validated", HYPERLINK("#" &amp; ADDRESS(467, 'Additional Chemicals-WUO_TRK'!A467),_xlfn.TEXTAFTER('Additional Chemicals-WUO_ERR'!A467, ":"))))</f>
        <v/>
      </c>
    </row>
    <row r="468">
      <c r="A468" s="38">
        <f>IF('Additional Chemicals'!B468 = "", "", IF('Additional Chemicals-WUO_ERR'!A468 = "", "Validated", HYPERLINK("#" &amp; ADDRESS(468, 'Additional Chemicals-WUO_TRK'!A468),_xlfn.TEXTAFTER('Additional Chemicals-WUO_ERR'!A468, ":"))))</f>
        <v/>
      </c>
    </row>
    <row r="469">
      <c r="A469" s="38">
        <f>IF('Additional Chemicals'!B469 = "", "", IF('Additional Chemicals-WUO_ERR'!A469 = "", "Validated", HYPERLINK("#" &amp; ADDRESS(469, 'Additional Chemicals-WUO_TRK'!A469),_xlfn.TEXTAFTER('Additional Chemicals-WUO_ERR'!A469, ":"))))</f>
        <v/>
      </c>
    </row>
    <row r="470">
      <c r="A470" s="38">
        <f>IF('Additional Chemicals'!B470 = "", "", IF('Additional Chemicals-WUO_ERR'!A470 = "", "Validated", HYPERLINK("#" &amp; ADDRESS(470, 'Additional Chemicals-WUO_TRK'!A470),_xlfn.TEXTAFTER('Additional Chemicals-WUO_ERR'!A470, ":"))))</f>
        <v/>
      </c>
    </row>
    <row r="471">
      <c r="A471" s="38">
        <f>IF('Additional Chemicals'!B471 = "", "", IF('Additional Chemicals-WUO_ERR'!A471 = "", "Validated", HYPERLINK("#" &amp; ADDRESS(471, 'Additional Chemicals-WUO_TRK'!A471),_xlfn.TEXTAFTER('Additional Chemicals-WUO_ERR'!A471, ":"))))</f>
        <v/>
      </c>
    </row>
    <row r="472">
      <c r="A472" s="38">
        <f>IF('Additional Chemicals'!B472 = "", "", IF('Additional Chemicals-WUO_ERR'!A472 = "", "Validated", HYPERLINK("#" &amp; ADDRESS(472, 'Additional Chemicals-WUO_TRK'!A472),_xlfn.TEXTAFTER('Additional Chemicals-WUO_ERR'!A472, ":"))))</f>
        <v/>
      </c>
    </row>
    <row r="473">
      <c r="A473" s="38">
        <f>IF('Additional Chemicals'!B473 = "", "", IF('Additional Chemicals-WUO_ERR'!A473 = "", "Validated", HYPERLINK("#" &amp; ADDRESS(473, 'Additional Chemicals-WUO_TRK'!A473),_xlfn.TEXTAFTER('Additional Chemicals-WUO_ERR'!A473, ":"))))</f>
        <v/>
      </c>
    </row>
    <row r="474">
      <c r="A474" s="38">
        <f>IF('Additional Chemicals'!B474 = "", "", IF('Additional Chemicals-WUO_ERR'!A474 = "", "Validated", HYPERLINK("#" &amp; ADDRESS(474, 'Additional Chemicals-WUO_TRK'!A474),_xlfn.TEXTAFTER('Additional Chemicals-WUO_ERR'!A474, ":"))))</f>
        <v/>
      </c>
    </row>
    <row r="475">
      <c r="A475" s="38">
        <f>IF('Additional Chemicals'!B475 = "", "", IF('Additional Chemicals-WUO_ERR'!A475 = "", "Validated", HYPERLINK("#" &amp; ADDRESS(475, 'Additional Chemicals-WUO_TRK'!A475),_xlfn.TEXTAFTER('Additional Chemicals-WUO_ERR'!A475, ":"))))</f>
        <v/>
      </c>
    </row>
    <row r="476">
      <c r="A476" s="38">
        <f>IF('Additional Chemicals'!B476 = "", "", IF('Additional Chemicals-WUO_ERR'!A476 = "", "Validated", HYPERLINK("#" &amp; ADDRESS(476, 'Additional Chemicals-WUO_TRK'!A476),_xlfn.TEXTAFTER('Additional Chemicals-WUO_ERR'!A476, ":"))))</f>
        <v/>
      </c>
    </row>
    <row r="477">
      <c r="A477" s="38">
        <f>IF('Additional Chemicals'!B477 = "", "", IF('Additional Chemicals-WUO_ERR'!A477 = "", "Validated", HYPERLINK("#" &amp; ADDRESS(477, 'Additional Chemicals-WUO_TRK'!A477),_xlfn.TEXTAFTER('Additional Chemicals-WUO_ERR'!A477, ":"))))</f>
        <v/>
      </c>
    </row>
    <row r="478">
      <c r="A478" s="38">
        <f>IF('Additional Chemicals'!B478 = "", "", IF('Additional Chemicals-WUO_ERR'!A478 = "", "Validated", HYPERLINK("#" &amp; ADDRESS(478, 'Additional Chemicals-WUO_TRK'!A478),_xlfn.TEXTAFTER('Additional Chemicals-WUO_ERR'!A478, ":"))))</f>
        <v/>
      </c>
    </row>
    <row r="479">
      <c r="A479" s="38">
        <f>IF('Additional Chemicals'!B479 = "", "", IF('Additional Chemicals-WUO_ERR'!A479 = "", "Validated", HYPERLINK("#" &amp; ADDRESS(479, 'Additional Chemicals-WUO_TRK'!A479),_xlfn.TEXTAFTER('Additional Chemicals-WUO_ERR'!A479, ":"))))</f>
        <v/>
      </c>
    </row>
    <row r="480">
      <c r="A480" s="38">
        <f>IF('Additional Chemicals'!B480 = "", "", IF('Additional Chemicals-WUO_ERR'!A480 = "", "Validated", HYPERLINK("#" &amp; ADDRESS(480, 'Additional Chemicals-WUO_TRK'!A480),_xlfn.TEXTAFTER('Additional Chemicals-WUO_ERR'!A480, ":"))))</f>
        <v/>
      </c>
    </row>
    <row r="481">
      <c r="A481" s="38">
        <f>IF('Additional Chemicals'!B481 = "", "", IF('Additional Chemicals-WUO_ERR'!A481 = "", "Validated", HYPERLINK("#" &amp; ADDRESS(481, 'Additional Chemicals-WUO_TRK'!A481),_xlfn.TEXTAFTER('Additional Chemicals-WUO_ERR'!A481, ":"))))</f>
        <v/>
      </c>
    </row>
    <row r="482">
      <c r="A482" s="38">
        <f>IF('Additional Chemicals'!B482 = "", "", IF('Additional Chemicals-WUO_ERR'!A482 = "", "Validated", HYPERLINK("#" &amp; ADDRESS(482, 'Additional Chemicals-WUO_TRK'!A482),_xlfn.TEXTAFTER('Additional Chemicals-WUO_ERR'!A482, ":"))))</f>
        <v/>
      </c>
    </row>
    <row r="483">
      <c r="A483" s="38">
        <f>IF('Additional Chemicals'!B483 = "", "", IF('Additional Chemicals-WUO_ERR'!A483 = "", "Validated", HYPERLINK("#" &amp; ADDRESS(483, 'Additional Chemicals-WUO_TRK'!A483),_xlfn.TEXTAFTER('Additional Chemicals-WUO_ERR'!A483, ":"))))</f>
        <v/>
      </c>
    </row>
    <row r="484">
      <c r="A484" s="38">
        <f>IF('Additional Chemicals'!B484 = "", "", IF('Additional Chemicals-WUO_ERR'!A484 = "", "Validated", HYPERLINK("#" &amp; ADDRESS(484, 'Additional Chemicals-WUO_TRK'!A484),_xlfn.TEXTAFTER('Additional Chemicals-WUO_ERR'!A484, ":"))))</f>
        <v/>
      </c>
    </row>
    <row r="485">
      <c r="A485" s="38">
        <f>IF('Additional Chemicals'!B485 = "", "", IF('Additional Chemicals-WUO_ERR'!A485 = "", "Validated", HYPERLINK("#" &amp; ADDRESS(485, 'Additional Chemicals-WUO_TRK'!A485),_xlfn.TEXTAFTER('Additional Chemicals-WUO_ERR'!A485, ":"))))</f>
        <v/>
      </c>
    </row>
    <row r="486">
      <c r="A486" s="38">
        <f>IF('Additional Chemicals'!B486 = "", "", IF('Additional Chemicals-WUO_ERR'!A486 = "", "Validated", HYPERLINK("#" &amp; ADDRESS(486, 'Additional Chemicals-WUO_TRK'!A486),_xlfn.TEXTAFTER('Additional Chemicals-WUO_ERR'!A486, ":"))))</f>
        <v/>
      </c>
    </row>
    <row r="487">
      <c r="A487" s="38">
        <f>IF('Additional Chemicals'!B487 = "", "", IF('Additional Chemicals-WUO_ERR'!A487 = "", "Validated", HYPERLINK("#" &amp; ADDRESS(487, 'Additional Chemicals-WUO_TRK'!A487),_xlfn.TEXTAFTER('Additional Chemicals-WUO_ERR'!A487, ":"))))</f>
        <v/>
      </c>
    </row>
    <row r="488">
      <c r="A488" s="38">
        <f>IF('Additional Chemicals'!B488 = "", "", IF('Additional Chemicals-WUO_ERR'!A488 = "", "Validated", HYPERLINK("#" &amp; ADDRESS(488, 'Additional Chemicals-WUO_TRK'!A488),_xlfn.TEXTAFTER('Additional Chemicals-WUO_ERR'!A488, ":"))))</f>
        <v/>
      </c>
    </row>
    <row r="489">
      <c r="A489" s="38">
        <f>IF('Additional Chemicals'!B489 = "", "", IF('Additional Chemicals-WUO_ERR'!A489 = "", "Validated", HYPERLINK("#" &amp; ADDRESS(489, 'Additional Chemicals-WUO_TRK'!A489),_xlfn.TEXTAFTER('Additional Chemicals-WUO_ERR'!A489, ":"))))</f>
        <v/>
      </c>
    </row>
    <row r="490">
      <c r="A490" s="38">
        <f>IF('Additional Chemicals'!B490 = "", "", IF('Additional Chemicals-WUO_ERR'!A490 = "", "Validated", HYPERLINK("#" &amp; ADDRESS(490, 'Additional Chemicals-WUO_TRK'!A490),_xlfn.TEXTAFTER('Additional Chemicals-WUO_ERR'!A490, ":"))))</f>
        <v/>
      </c>
    </row>
    <row r="491">
      <c r="A491" s="38">
        <f>IF('Additional Chemicals'!B491 = "", "", IF('Additional Chemicals-WUO_ERR'!A491 = "", "Validated", HYPERLINK("#" &amp; ADDRESS(491, 'Additional Chemicals-WUO_TRK'!A491),_xlfn.TEXTAFTER('Additional Chemicals-WUO_ERR'!A491, ":"))))</f>
        <v/>
      </c>
    </row>
    <row r="492">
      <c r="A492" s="38">
        <f>IF('Additional Chemicals'!B492 = "", "", IF('Additional Chemicals-WUO_ERR'!A492 = "", "Validated", HYPERLINK("#" &amp; ADDRESS(492, 'Additional Chemicals-WUO_TRK'!A492),_xlfn.TEXTAFTER('Additional Chemicals-WUO_ERR'!A492, ":"))))</f>
        <v/>
      </c>
    </row>
    <row r="493">
      <c r="A493" s="38">
        <f>IF('Additional Chemicals'!B493 = "", "", IF('Additional Chemicals-WUO_ERR'!A493 = "", "Validated", HYPERLINK("#" &amp; ADDRESS(493, 'Additional Chemicals-WUO_TRK'!A493),_xlfn.TEXTAFTER('Additional Chemicals-WUO_ERR'!A493, ":"))))</f>
        <v/>
      </c>
    </row>
    <row r="494">
      <c r="A494" s="38">
        <f>IF('Additional Chemicals'!B494 = "", "", IF('Additional Chemicals-WUO_ERR'!A494 = "", "Validated", HYPERLINK("#" &amp; ADDRESS(494, 'Additional Chemicals-WUO_TRK'!A494),_xlfn.TEXTAFTER('Additional Chemicals-WUO_ERR'!A494, ":"))))</f>
        <v/>
      </c>
    </row>
    <row r="495">
      <c r="A495" s="38">
        <f>IF('Additional Chemicals'!B495 = "", "", IF('Additional Chemicals-WUO_ERR'!A495 = "", "Validated", HYPERLINK("#" &amp; ADDRESS(495, 'Additional Chemicals-WUO_TRK'!A495),_xlfn.TEXTAFTER('Additional Chemicals-WUO_ERR'!A495, ":"))))</f>
        <v/>
      </c>
    </row>
    <row r="496">
      <c r="A496" s="38">
        <f>IF('Additional Chemicals'!B496 = "", "", IF('Additional Chemicals-WUO_ERR'!A496 = "", "Validated", HYPERLINK("#" &amp; ADDRESS(496, 'Additional Chemicals-WUO_TRK'!A496),_xlfn.TEXTAFTER('Additional Chemicals-WUO_ERR'!A496, ":"))))</f>
        <v/>
      </c>
    </row>
    <row r="497">
      <c r="A497" s="38">
        <f>IF('Additional Chemicals'!B497 = "", "", IF('Additional Chemicals-WUO_ERR'!A497 = "", "Validated", HYPERLINK("#" &amp; ADDRESS(497, 'Additional Chemicals-WUO_TRK'!A497),_xlfn.TEXTAFTER('Additional Chemicals-WUO_ERR'!A497, ":"))))</f>
        <v/>
      </c>
    </row>
    <row r="498">
      <c r="A498" s="38">
        <f>IF('Additional Chemicals'!B498 = "", "", IF('Additional Chemicals-WUO_ERR'!A498 = "", "Validated", HYPERLINK("#" &amp; ADDRESS(498, 'Additional Chemicals-WUO_TRK'!A498),_xlfn.TEXTAFTER('Additional Chemicals-WUO_ERR'!A498, ":"))))</f>
        <v/>
      </c>
    </row>
    <row r="499">
      <c r="A499" s="38">
        <f>IF('Additional Chemicals'!B499 = "", "", IF('Additional Chemicals-WUO_ERR'!A499 = "", "Validated", HYPERLINK("#" &amp; ADDRESS(499, 'Additional Chemicals-WUO_TRK'!A499),_xlfn.TEXTAFTER('Additional Chemicals-WUO_ERR'!A499, ":"))))</f>
        <v/>
      </c>
    </row>
    <row r="500">
      <c r="A500" s="38">
        <f>IF('Additional Chemicals'!B500 = "", "", IF('Additional Chemicals-WUO_ERR'!A500 = "", "Validated", HYPERLINK("#" &amp; ADDRESS(500, 'Additional Chemicals-WUO_TRK'!A500),_xlfn.TEXTAFTER('Additional Chemicals-WUO_ERR'!A500, ":"))))</f>
        <v/>
      </c>
    </row>
    <row r="501">
      <c r="A501" s="38">
        <f>IF('Additional Chemicals'!B501 = "", "", IF('Additional Chemicals-WUO_ERR'!A501 = "", "Validated", HYPERLINK("#" &amp; ADDRESS(501, 'Additional Chemicals-WUO_TRK'!A501),_xlfn.TEXTAFTER('Additional Chemicals-WUO_ERR'!A501, ":"))))</f>
        <v/>
      </c>
    </row>
    <row r="502">
      <c r="A502" s="38">
        <f>IF('Additional Chemicals'!B502 = "", "", IF('Additional Chemicals-WUO_ERR'!A502 = "", "Validated", HYPERLINK("#" &amp; ADDRESS(502, 'Additional Chemicals-WUO_TRK'!A502),_xlfn.TEXTAFTER('Additional Chemicals-WUO_ERR'!A502, ":"))))</f>
        <v/>
      </c>
    </row>
    <row r="503">
      <c r="A503" s="38">
        <f>IF('Additional Chemicals'!B503 = "", "", IF('Additional Chemicals-WUO_ERR'!A503 = "", "Validated", HYPERLINK("#" &amp; ADDRESS(503, 'Additional Chemicals-WUO_TRK'!A503),_xlfn.TEXTAFTER('Additional Chemicals-WUO_ERR'!A503, ":"))))</f>
        <v/>
      </c>
    </row>
    <row r="504">
      <c r="A504" s="38">
        <f>IF('Additional Chemicals'!B504 = "", "", IF('Additional Chemicals-WUO_ERR'!A504 = "", "Validated", HYPERLINK("#" &amp; ADDRESS(504, 'Additional Chemicals-WUO_TRK'!A504),_xlfn.TEXTAFTER('Additional Chemicals-WUO_ERR'!A504, ":"))))</f>
        <v/>
      </c>
    </row>
    <row r="505">
      <c r="A505" s="38">
        <f>IF('Additional Chemicals'!B505 = "", "", IF('Additional Chemicals-WUO_ERR'!A505 = "", "Validated", HYPERLINK("#" &amp; ADDRESS(505, 'Additional Chemicals-WUO_TRK'!A505),_xlfn.TEXTAFTER('Additional Chemicals-WUO_ERR'!A505, ":"))))</f>
        <v/>
      </c>
    </row>
    <row r="506">
      <c r="A506" s="38">
        <f>IF('Additional Chemicals'!B506 = "", "", IF('Additional Chemicals-WUO_ERR'!A506 = "", "Validated", HYPERLINK("#" &amp; ADDRESS(506, 'Additional Chemicals-WUO_TRK'!A506),_xlfn.TEXTAFTER('Additional Chemicals-WUO_ERR'!A506, ":"))))</f>
        <v/>
      </c>
    </row>
    <row r="507">
      <c r="A507" s="38">
        <f>IF('Additional Chemicals'!B507 = "", "", IF('Additional Chemicals-WUO_ERR'!A507 = "", "Validated", HYPERLINK("#" &amp; ADDRESS(507, 'Additional Chemicals-WUO_TRK'!A507),_xlfn.TEXTAFTER('Additional Chemicals-WUO_ERR'!A507, ":"))))</f>
        <v/>
      </c>
    </row>
  </sheetData>
  <sheetProtection selectLockedCells="0" selectUnlockedCells="0" sheet="1" objects="1" insertRows="1" insertHyperlinks="1" autoFilter="1" scenarios="1" formatColumns="0" deleteColumns="1" insertColumns="1" pivotTables="1" deleteRows="1" formatCells="1" formatRows="0" sort="1" password="8F06"/>
  <mergeCells count="1">
    <mergeCell ref="C2:D2"/>
  </mergeCells>
  <conditionalFormatting sqref="A7:A50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50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dataValidations count="1">
    <dataValidation sqref="C7:C2500" showDropDown="0" showInputMessage="1" showErrorMessage="1" allowBlank="1" errorTitle="Invalid Chemical" error="The value provided is not a valid Chemical." promptTitle="Chemical" prompt="Please select a valid Chemical" type="list">
      <formula1>'WAYFAIR_USE_ONLY'!$BO$7:$BO908</formula1>
    </dataValidation>
  </dataValidations>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style="22" min="2" max="2"/>
    <col width="13.7109375" customWidth="1" style="22" min="3" max="4"/>
  </cols>
  <sheetData>
    <row r="1" hidden="1">
      <c r="B1" s="22" t="inlineStr">
        <is>
          <t>core::supplierPartNumber</t>
        </is>
      </c>
      <c r="C1" s="22" t="inlineStr">
        <is>
          <t>propSixtyFive::chemicalId</t>
        </is>
      </c>
      <c r="D1" s="22" t="inlineStr">
        <is>
          <t>propSixtyFive::toxicity</t>
        </is>
      </c>
    </row>
    <row r="3">
      <c r="B3" s="31" t="inlineStr">
        <is>
          <t>Required</t>
        </is>
      </c>
      <c r="C3" s="31" t="inlineStr">
        <is>
          <t>Conditional</t>
        </is>
      </c>
      <c r="D3" s="31" t="inlineStr">
        <is>
          <t>Conditional</t>
        </is>
      </c>
    </row>
    <row r="4" ht="50" customHeight="1">
      <c r="B4" s="19" t="inlineStr">
        <is>
          <t>Supplier Part Number</t>
        </is>
      </c>
      <c r="C4" s="19" t="inlineStr">
        <is>
          <t>Chemical</t>
        </is>
      </c>
      <c r="D4" s="19" t="inlineStr">
        <is>
          <t>Toxicity</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Select the chemical that requires the Prop65 warning.</t>
        </is>
      </c>
      <c r="D5" s="34" t="inlineStr">
        <is>
          <t>Select the toxicity that can result from the selected chemical.</t>
        </is>
      </c>
    </row>
    <row r="6" ht="50" customHeight="1">
      <c r="B6" s="34" t="inlineStr">
        <is>
          <t>Text</t>
        </is>
      </c>
      <c r="C6" s="35" t="inlineStr">
        <is>
          <t>Select</t>
        </is>
      </c>
      <c r="D6" s="35" t="inlineStr">
        <is>
          <t>Please choose one or more from the following, using a semicolon (;) to separate each value: Cancer; Developmental</t>
        </is>
      </c>
    </row>
    <row r="7">
      <c r="A7">
        <f t="array" ref="A7">_xlfn.BYROW(B7:E507,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Chemicals'!B7:B507, 'Additional Chemicals'!B7:B507,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Chemicals'!B7:B507, 'Additional Chemicals'!C7:C507, 'Additional Chemicals'!D7:D507, _xlfn.LAMBDA(_xlpm.part, _xlpm.val, _xlpm.dep1, IF(_xlpm.part = "", "", _xlfn.LET(_xlpm.check1, IF(AND(_xlpm.val = "", C$3="Required"), "3:Chemical - Value is required", ""), IF(LEN(_xlpm.check1) &gt; 0, _xlpm.check1, IF(_xlpm.dep1 &lt;&gt; "", IF(_xlpm.val = "", "3:Please provide a chemical", ""), ""))))))</f>
        <v/>
      </c>
      <c r="D7" s="22">
        <f t="array" ref="D7">_xlfn.MAP('Additional Chemicals'!B7:B507, 'Additional Chemicals'!D7:D507, 'Additional Chemicals'!C7:C507,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style="22" min="2" max="2"/>
    <col width="13.7109375" customWidth="1" style="22" min="3" max="4"/>
  </cols>
  <sheetData>
    <row r="1" hidden="1">
      <c r="B1" s="22" t="inlineStr">
        <is>
          <t>core::supplierPartNumber</t>
        </is>
      </c>
      <c r="C1" s="22" t="inlineStr">
        <is>
          <t>propSixtyFive::chemicalId</t>
        </is>
      </c>
      <c r="D1" s="22" t="inlineStr">
        <is>
          <t>propSixtyFive::toxicity</t>
        </is>
      </c>
    </row>
    <row r="3">
      <c r="B3" s="31" t="inlineStr">
        <is>
          <t>Required</t>
        </is>
      </c>
      <c r="C3" s="31" t="inlineStr">
        <is>
          <t>Conditional</t>
        </is>
      </c>
      <c r="D3" s="31" t="inlineStr">
        <is>
          <t>Conditional</t>
        </is>
      </c>
    </row>
    <row r="4" ht="50" customHeight="1">
      <c r="B4" s="19" t="inlineStr">
        <is>
          <t>Supplier Part Number</t>
        </is>
      </c>
      <c r="C4" s="19" t="inlineStr">
        <is>
          <t>Chemical</t>
        </is>
      </c>
      <c r="D4" s="19" t="inlineStr">
        <is>
          <t>Toxicity</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Select the chemical that requires the Prop65 warning.</t>
        </is>
      </c>
      <c r="D5" s="34" t="inlineStr">
        <is>
          <t>Select the toxicity that can result from the selected chemical.</t>
        </is>
      </c>
    </row>
    <row r="6" ht="50" customHeight="1">
      <c r="B6" s="34" t="inlineStr">
        <is>
          <t>Text</t>
        </is>
      </c>
      <c r="C6" s="35" t="inlineStr">
        <is>
          <t>Select</t>
        </is>
      </c>
      <c r="D6" s="35" t="inlineStr">
        <is>
          <t>Please choose one or more from the following, using a semicolon (;) to separate each value: Cancer; Developmental</t>
        </is>
      </c>
    </row>
    <row r="7">
      <c r="A7">
        <f t="array" ref="A7">_xlfn.BYROW(B7:E507, _xlfn.LAMBDA(_xlpm.r, _xlfn.LET(_xlpm.high_priority_idx, IFERROR(MATCH(TRUE, (_xlpm.r = "Error") + (_xlpm.r = "Required") &gt; 0, 0), 0), IF(_xlpm.high_priority_idx &gt; 0, _xlpm.high_priority_idx + 1, IFERROR(MATCH(1, (_xlpm.r = "Warning") * 1, 0) + 1, "")))))</f>
        <v/>
      </c>
      <c r="B7" s="22">
        <f t="array" ref="B7">_xlfn.MAP('Additional Chemicals'!B7:B507, 'Additional Chemicals'!B7:B507, 'Additional Chemicals-WUO_ERR'!B7:B507, _xlfn.LAMBDA(_xlpm.part, _xlpm.val, _xlpm.error, IF(_xlpm.part = "", "", IF(LEN(_xlpm.error), _xlfn.SWITCH(IFERROR(_xlfn.TEXTBEFORE(_xlpm.error,":"), ""), "1", "Error", "2", "Disabled", "3", "Required", "4", "Warning", "Valid"), "Valid"))))</f>
        <v/>
      </c>
      <c r="C7" s="22">
        <f t="array" ref="C7">_xlfn.MAP('Additional Chemicals'!B7:B507, 'Additional Chemicals'!C7:C507, 'Additional Chemicals-WUO_ERR'!C7:C507, _xlfn.LAMBDA(_xlpm.part, _xlpm.val, _xlpm.error, IF(_xlpm.part = "", "", IF(LEN(_xlpm.error), _xlfn.SWITCH(IFERROR(_xlfn.TEXTBEFORE(_xlpm.error,":"), ""), "1", "Error", "2", "Disabled", "3", "Required", "4", "Warning", "Valid"), "Valid"))))</f>
        <v/>
      </c>
      <c r="D7" s="22">
        <f t="array" ref="D7">_xlfn.MAP('Additional Chemicals'!B7:B507, 'Additional Chemicals'!D7:D507, 'Additional Chemicals-WUO_ERR'!D7:D507,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27.7109375" customWidth="1" style="22" min="3" max="3"/>
    <col hidden="1" min="26" max="26"/>
  </cols>
  <sheetData>
    <row r="1" hidden="1">
      <c r="B1" s="22" t="inlineStr">
        <is>
          <t>core::supplierPartNumber</t>
        </is>
      </c>
      <c r="C1" s="22" t="inlineStr">
        <is>
          <t>media::imageValue</t>
        </is>
      </c>
    </row>
    <row r="2">
      <c r="B2" s="23" t="inlineStr">
        <is>
          <t>Basic Information</t>
        </is>
      </c>
      <c r="C2" s="29" t="inlineStr">
        <is>
          <t>Media</t>
        </is>
      </c>
    </row>
    <row r="3">
      <c r="B3" s="31" t="inlineStr">
        <is>
          <t>Required</t>
        </is>
      </c>
      <c r="C3" s="31" t="inlineStr">
        <is>
          <t>Additional</t>
        </is>
      </c>
    </row>
    <row r="4" ht="50" customHeight="1">
      <c r="A4" s="19" t="inlineStr">
        <is>
          <t>Errors</t>
        </is>
      </c>
      <c r="B4" s="19" t="inlineStr">
        <is>
          <t>Supplier Part Number</t>
        </is>
      </c>
      <c r="C4" s="19" t="inlineStr">
        <is>
          <t>Image File Name or URL</t>
        </is>
      </c>
    </row>
    <row r="5" ht="50" customHeight="1">
      <c r="A5" s="34" t="inlineStr">
        <is>
          <t>Displays the error status and message for the first error in the row, with a link to the corresponding cell.</t>
        </is>
      </c>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4" t="inlineStr">
        <is>
          <t>Read-Only</t>
        </is>
      </c>
      <c r="B6" s="34" t="inlineStr">
        <is>
          <t>Text</t>
        </is>
      </c>
      <c r="C6" s="34" t="inlineStr">
        <is>
          <t>Text</t>
        </is>
      </c>
    </row>
    <row r="7">
      <c r="A7" s="38">
        <f>IF('Additional Images'!B7 = "", "", IF('Additional Images-WUO_ERR'!A7 = "", "Validated", HYPERLINK("#" &amp; ADDRESS(7, 'Additional Images-WUO_TRK'!A7),_xlfn.TEXTAFTER('Additional Images-WUO_ERR'!A7, ":"))))</f>
        <v/>
      </c>
      <c r="Z7">
        <f t="array" ref="Z7">IF(B7:B507="", "", IFERROR(_xlfn.XLOOKUP(B7:B507, _xlfn.VSTACK('6 - TV Stands &amp; Enterta'!B7:B507), _xlfn.VSTACK('6 - TV Stands &amp; Enterta'!G7:G507)), ""))</f>
        <v/>
      </c>
    </row>
    <row r="8">
      <c r="A8" s="38">
        <f>IF('Additional Images'!B8 = "", "", IF('Additional Images-WUO_ERR'!A8 = "", "Validated", HYPERLINK("#" &amp; ADDRESS(8, 'Additional Images-WUO_TRK'!A8),_xlfn.TEXTAFTER('Additional Images-WUO_ERR'!A8, ":"))))</f>
        <v/>
      </c>
    </row>
    <row r="9">
      <c r="A9" s="38">
        <f>IF('Additional Images'!B9 = "", "", IF('Additional Images-WUO_ERR'!A9 = "", "Validated", HYPERLINK("#" &amp; ADDRESS(9, 'Additional Images-WUO_TRK'!A9),_xlfn.TEXTAFTER('Additional Images-WUO_ERR'!A9, ":"))))</f>
        <v/>
      </c>
    </row>
    <row r="10">
      <c r="A10" s="38">
        <f>IF('Additional Images'!B10 = "", "", IF('Additional Images-WUO_ERR'!A10 = "", "Validated", HYPERLINK("#" &amp; ADDRESS(10, 'Additional Images-WUO_TRK'!A10),_xlfn.TEXTAFTER('Additional Images-WUO_ERR'!A10, ":"))))</f>
        <v/>
      </c>
    </row>
    <row r="11">
      <c r="A11" s="38">
        <f>IF('Additional Images'!B11 = "", "", IF('Additional Images-WUO_ERR'!A11 = "", "Validated", HYPERLINK("#" &amp; ADDRESS(11, 'Additional Images-WUO_TRK'!A11),_xlfn.TEXTAFTER('Additional Images-WUO_ERR'!A11, ":"))))</f>
        <v/>
      </c>
    </row>
    <row r="12">
      <c r="A12" s="38">
        <f>IF('Additional Images'!B12 = "", "", IF('Additional Images-WUO_ERR'!A12 = "", "Validated", HYPERLINK("#" &amp; ADDRESS(12, 'Additional Images-WUO_TRK'!A12),_xlfn.TEXTAFTER('Additional Images-WUO_ERR'!A12, ":"))))</f>
        <v/>
      </c>
    </row>
    <row r="13">
      <c r="A13" s="38">
        <f>IF('Additional Images'!B13 = "", "", IF('Additional Images-WUO_ERR'!A13 = "", "Validated", HYPERLINK("#" &amp; ADDRESS(13, 'Additional Images-WUO_TRK'!A13),_xlfn.TEXTAFTER('Additional Images-WUO_ERR'!A13, ":"))))</f>
        <v/>
      </c>
    </row>
    <row r="14">
      <c r="A14" s="38">
        <f>IF('Additional Images'!B14 = "", "", IF('Additional Images-WUO_ERR'!A14 = "", "Validated", HYPERLINK("#" &amp; ADDRESS(14, 'Additional Images-WUO_TRK'!A14),_xlfn.TEXTAFTER('Additional Images-WUO_ERR'!A14, ":"))))</f>
        <v/>
      </c>
    </row>
    <row r="15">
      <c r="A15" s="38">
        <f>IF('Additional Images'!B15 = "", "", IF('Additional Images-WUO_ERR'!A15 = "", "Validated", HYPERLINK("#" &amp; ADDRESS(15, 'Additional Images-WUO_TRK'!A15),_xlfn.TEXTAFTER('Additional Images-WUO_ERR'!A15, ":"))))</f>
        <v/>
      </c>
    </row>
    <row r="16">
      <c r="A16" s="38">
        <f>IF('Additional Images'!B16 = "", "", IF('Additional Images-WUO_ERR'!A16 = "", "Validated", HYPERLINK("#" &amp; ADDRESS(16, 'Additional Images-WUO_TRK'!A16),_xlfn.TEXTAFTER('Additional Images-WUO_ERR'!A16, ":"))))</f>
        <v/>
      </c>
    </row>
    <row r="17">
      <c r="A17" s="38">
        <f>IF('Additional Images'!B17 = "", "", IF('Additional Images-WUO_ERR'!A17 = "", "Validated", HYPERLINK("#" &amp; ADDRESS(17, 'Additional Images-WUO_TRK'!A17),_xlfn.TEXTAFTER('Additional Images-WUO_ERR'!A17, ":"))))</f>
        <v/>
      </c>
    </row>
    <row r="18">
      <c r="A18" s="38">
        <f>IF('Additional Images'!B18 = "", "", IF('Additional Images-WUO_ERR'!A18 = "", "Validated", HYPERLINK("#" &amp; ADDRESS(18, 'Additional Images-WUO_TRK'!A18),_xlfn.TEXTAFTER('Additional Images-WUO_ERR'!A18, ":"))))</f>
        <v/>
      </c>
    </row>
    <row r="19">
      <c r="A19" s="38">
        <f>IF('Additional Images'!B19 = "", "", IF('Additional Images-WUO_ERR'!A19 = "", "Validated", HYPERLINK("#" &amp; ADDRESS(19, 'Additional Images-WUO_TRK'!A19),_xlfn.TEXTAFTER('Additional Images-WUO_ERR'!A19, ":"))))</f>
        <v/>
      </c>
    </row>
    <row r="20">
      <c r="A20" s="38">
        <f>IF('Additional Images'!B20 = "", "", IF('Additional Images-WUO_ERR'!A20 = "", "Validated", HYPERLINK("#" &amp; ADDRESS(20, 'Additional Images-WUO_TRK'!A20),_xlfn.TEXTAFTER('Additional Images-WUO_ERR'!A20, ":"))))</f>
        <v/>
      </c>
    </row>
    <row r="21">
      <c r="A21" s="38">
        <f>IF('Additional Images'!B21 = "", "", IF('Additional Images-WUO_ERR'!A21 = "", "Validated", HYPERLINK("#" &amp; ADDRESS(21, 'Additional Images-WUO_TRK'!A21),_xlfn.TEXTAFTER('Additional Images-WUO_ERR'!A21, ":"))))</f>
        <v/>
      </c>
    </row>
    <row r="22">
      <c r="A22" s="38">
        <f>IF('Additional Images'!B22 = "", "", IF('Additional Images-WUO_ERR'!A22 = "", "Validated", HYPERLINK("#" &amp; ADDRESS(22, 'Additional Images-WUO_TRK'!A22),_xlfn.TEXTAFTER('Additional Images-WUO_ERR'!A22, ":"))))</f>
        <v/>
      </c>
    </row>
    <row r="23">
      <c r="A23" s="38">
        <f>IF('Additional Images'!B23 = "", "", IF('Additional Images-WUO_ERR'!A23 = "", "Validated", HYPERLINK("#" &amp; ADDRESS(23, 'Additional Images-WUO_TRK'!A23),_xlfn.TEXTAFTER('Additional Images-WUO_ERR'!A23, ":"))))</f>
        <v/>
      </c>
    </row>
    <row r="24">
      <c r="A24" s="38">
        <f>IF('Additional Images'!B24 = "", "", IF('Additional Images-WUO_ERR'!A24 = "", "Validated", HYPERLINK("#" &amp; ADDRESS(24, 'Additional Images-WUO_TRK'!A24),_xlfn.TEXTAFTER('Additional Images-WUO_ERR'!A24, ":"))))</f>
        <v/>
      </c>
    </row>
    <row r="25">
      <c r="A25" s="38">
        <f>IF('Additional Images'!B25 = "", "", IF('Additional Images-WUO_ERR'!A25 = "", "Validated", HYPERLINK("#" &amp; ADDRESS(25, 'Additional Images-WUO_TRK'!A25),_xlfn.TEXTAFTER('Additional Images-WUO_ERR'!A25, ":"))))</f>
        <v/>
      </c>
    </row>
    <row r="26">
      <c r="A26" s="38">
        <f>IF('Additional Images'!B26 = "", "", IF('Additional Images-WUO_ERR'!A26 = "", "Validated", HYPERLINK("#" &amp; ADDRESS(26, 'Additional Images-WUO_TRK'!A26),_xlfn.TEXTAFTER('Additional Images-WUO_ERR'!A26, ":"))))</f>
        <v/>
      </c>
    </row>
    <row r="27">
      <c r="A27" s="38">
        <f>IF('Additional Images'!B27 = "", "", IF('Additional Images-WUO_ERR'!A27 = "", "Validated", HYPERLINK("#" &amp; ADDRESS(27, 'Additional Images-WUO_TRK'!A27),_xlfn.TEXTAFTER('Additional Images-WUO_ERR'!A27, ":"))))</f>
        <v/>
      </c>
    </row>
    <row r="28">
      <c r="A28" s="38">
        <f>IF('Additional Images'!B28 = "", "", IF('Additional Images-WUO_ERR'!A28 = "", "Validated", HYPERLINK("#" &amp; ADDRESS(28, 'Additional Images-WUO_TRK'!A28),_xlfn.TEXTAFTER('Additional Images-WUO_ERR'!A28, ":"))))</f>
        <v/>
      </c>
    </row>
    <row r="29">
      <c r="A29" s="38">
        <f>IF('Additional Images'!B29 = "", "", IF('Additional Images-WUO_ERR'!A29 = "", "Validated", HYPERLINK("#" &amp; ADDRESS(29, 'Additional Images-WUO_TRK'!A29),_xlfn.TEXTAFTER('Additional Images-WUO_ERR'!A29, ":"))))</f>
        <v/>
      </c>
    </row>
    <row r="30">
      <c r="A30" s="38">
        <f>IF('Additional Images'!B30 = "", "", IF('Additional Images-WUO_ERR'!A30 = "", "Validated", HYPERLINK("#" &amp; ADDRESS(30, 'Additional Images-WUO_TRK'!A30),_xlfn.TEXTAFTER('Additional Images-WUO_ERR'!A30, ":"))))</f>
        <v/>
      </c>
    </row>
    <row r="31">
      <c r="A31" s="38">
        <f>IF('Additional Images'!B31 = "", "", IF('Additional Images-WUO_ERR'!A31 = "", "Validated", HYPERLINK("#" &amp; ADDRESS(31, 'Additional Images-WUO_TRK'!A31),_xlfn.TEXTAFTER('Additional Images-WUO_ERR'!A31, ":"))))</f>
        <v/>
      </c>
    </row>
    <row r="32">
      <c r="A32" s="38">
        <f>IF('Additional Images'!B32 = "", "", IF('Additional Images-WUO_ERR'!A32 = "", "Validated", HYPERLINK("#" &amp; ADDRESS(32, 'Additional Images-WUO_TRK'!A32),_xlfn.TEXTAFTER('Additional Images-WUO_ERR'!A32, ":"))))</f>
        <v/>
      </c>
    </row>
    <row r="33">
      <c r="A33" s="38">
        <f>IF('Additional Images'!B33 = "", "", IF('Additional Images-WUO_ERR'!A33 = "", "Validated", HYPERLINK("#" &amp; ADDRESS(33, 'Additional Images-WUO_TRK'!A33),_xlfn.TEXTAFTER('Additional Images-WUO_ERR'!A33, ":"))))</f>
        <v/>
      </c>
    </row>
    <row r="34">
      <c r="A34" s="38">
        <f>IF('Additional Images'!B34 = "", "", IF('Additional Images-WUO_ERR'!A34 = "", "Validated", HYPERLINK("#" &amp; ADDRESS(34, 'Additional Images-WUO_TRK'!A34),_xlfn.TEXTAFTER('Additional Images-WUO_ERR'!A34, ":"))))</f>
        <v/>
      </c>
    </row>
    <row r="35">
      <c r="A35" s="38">
        <f>IF('Additional Images'!B35 = "", "", IF('Additional Images-WUO_ERR'!A35 = "", "Validated", HYPERLINK("#" &amp; ADDRESS(35, 'Additional Images-WUO_TRK'!A35),_xlfn.TEXTAFTER('Additional Images-WUO_ERR'!A35, ":"))))</f>
        <v/>
      </c>
    </row>
    <row r="36">
      <c r="A36" s="38">
        <f>IF('Additional Images'!B36 = "", "", IF('Additional Images-WUO_ERR'!A36 = "", "Validated", HYPERLINK("#" &amp; ADDRESS(36, 'Additional Images-WUO_TRK'!A36),_xlfn.TEXTAFTER('Additional Images-WUO_ERR'!A36, ":"))))</f>
        <v/>
      </c>
    </row>
    <row r="37">
      <c r="A37" s="38">
        <f>IF('Additional Images'!B37 = "", "", IF('Additional Images-WUO_ERR'!A37 = "", "Validated", HYPERLINK("#" &amp; ADDRESS(37, 'Additional Images-WUO_TRK'!A37),_xlfn.TEXTAFTER('Additional Images-WUO_ERR'!A37, ":"))))</f>
        <v/>
      </c>
    </row>
    <row r="38">
      <c r="A38" s="38">
        <f>IF('Additional Images'!B38 = "", "", IF('Additional Images-WUO_ERR'!A38 = "", "Validated", HYPERLINK("#" &amp; ADDRESS(38, 'Additional Images-WUO_TRK'!A38),_xlfn.TEXTAFTER('Additional Images-WUO_ERR'!A38, ":"))))</f>
        <v/>
      </c>
    </row>
    <row r="39">
      <c r="A39" s="38">
        <f>IF('Additional Images'!B39 = "", "", IF('Additional Images-WUO_ERR'!A39 = "", "Validated", HYPERLINK("#" &amp; ADDRESS(39, 'Additional Images-WUO_TRK'!A39),_xlfn.TEXTAFTER('Additional Images-WUO_ERR'!A39, ":"))))</f>
        <v/>
      </c>
    </row>
    <row r="40">
      <c r="A40" s="38">
        <f>IF('Additional Images'!B40 = "", "", IF('Additional Images-WUO_ERR'!A40 = "", "Validated", HYPERLINK("#" &amp; ADDRESS(40, 'Additional Images-WUO_TRK'!A40),_xlfn.TEXTAFTER('Additional Images-WUO_ERR'!A40, ":"))))</f>
        <v/>
      </c>
    </row>
    <row r="41">
      <c r="A41" s="38">
        <f>IF('Additional Images'!B41 = "", "", IF('Additional Images-WUO_ERR'!A41 = "", "Validated", HYPERLINK("#" &amp; ADDRESS(41, 'Additional Images-WUO_TRK'!A41),_xlfn.TEXTAFTER('Additional Images-WUO_ERR'!A41, ":"))))</f>
        <v/>
      </c>
    </row>
    <row r="42">
      <c r="A42" s="38">
        <f>IF('Additional Images'!B42 = "", "", IF('Additional Images-WUO_ERR'!A42 = "", "Validated", HYPERLINK("#" &amp; ADDRESS(42, 'Additional Images-WUO_TRK'!A42),_xlfn.TEXTAFTER('Additional Images-WUO_ERR'!A42, ":"))))</f>
        <v/>
      </c>
    </row>
    <row r="43">
      <c r="A43" s="38">
        <f>IF('Additional Images'!B43 = "", "", IF('Additional Images-WUO_ERR'!A43 = "", "Validated", HYPERLINK("#" &amp; ADDRESS(43, 'Additional Images-WUO_TRK'!A43),_xlfn.TEXTAFTER('Additional Images-WUO_ERR'!A43, ":"))))</f>
        <v/>
      </c>
    </row>
    <row r="44">
      <c r="A44" s="38">
        <f>IF('Additional Images'!B44 = "", "", IF('Additional Images-WUO_ERR'!A44 = "", "Validated", HYPERLINK("#" &amp; ADDRESS(44, 'Additional Images-WUO_TRK'!A44),_xlfn.TEXTAFTER('Additional Images-WUO_ERR'!A44, ":"))))</f>
        <v/>
      </c>
    </row>
    <row r="45">
      <c r="A45" s="38">
        <f>IF('Additional Images'!B45 = "", "", IF('Additional Images-WUO_ERR'!A45 = "", "Validated", HYPERLINK("#" &amp; ADDRESS(45, 'Additional Images-WUO_TRK'!A45),_xlfn.TEXTAFTER('Additional Images-WUO_ERR'!A45, ":"))))</f>
        <v/>
      </c>
    </row>
    <row r="46">
      <c r="A46" s="38">
        <f>IF('Additional Images'!B46 = "", "", IF('Additional Images-WUO_ERR'!A46 = "", "Validated", HYPERLINK("#" &amp; ADDRESS(46, 'Additional Images-WUO_TRK'!A46),_xlfn.TEXTAFTER('Additional Images-WUO_ERR'!A46, ":"))))</f>
        <v/>
      </c>
    </row>
    <row r="47">
      <c r="A47" s="38">
        <f>IF('Additional Images'!B47 = "", "", IF('Additional Images-WUO_ERR'!A47 = "", "Validated", HYPERLINK("#" &amp; ADDRESS(47, 'Additional Images-WUO_TRK'!A47),_xlfn.TEXTAFTER('Additional Images-WUO_ERR'!A47, ":"))))</f>
        <v/>
      </c>
    </row>
    <row r="48">
      <c r="A48" s="38">
        <f>IF('Additional Images'!B48 = "", "", IF('Additional Images-WUO_ERR'!A48 = "", "Validated", HYPERLINK("#" &amp; ADDRESS(48, 'Additional Images-WUO_TRK'!A48),_xlfn.TEXTAFTER('Additional Images-WUO_ERR'!A48, ":"))))</f>
        <v/>
      </c>
    </row>
    <row r="49">
      <c r="A49" s="38">
        <f>IF('Additional Images'!B49 = "", "", IF('Additional Images-WUO_ERR'!A49 = "", "Validated", HYPERLINK("#" &amp; ADDRESS(49, 'Additional Images-WUO_TRK'!A49),_xlfn.TEXTAFTER('Additional Images-WUO_ERR'!A49, ":"))))</f>
        <v/>
      </c>
    </row>
    <row r="50">
      <c r="A50" s="38">
        <f>IF('Additional Images'!B50 = "", "", IF('Additional Images-WUO_ERR'!A50 = "", "Validated", HYPERLINK("#" &amp; ADDRESS(50, 'Additional Images-WUO_TRK'!A50),_xlfn.TEXTAFTER('Additional Images-WUO_ERR'!A50, ":"))))</f>
        <v/>
      </c>
    </row>
    <row r="51">
      <c r="A51" s="38">
        <f>IF('Additional Images'!B51 = "", "", IF('Additional Images-WUO_ERR'!A51 = "", "Validated", HYPERLINK("#" &amp; ADDRESS(51, 'Additional Images-WUO_TRK'!A51),_xlfn.TEXTAFTER('Additional Images-WUO_ERR'!A51, ":"))))</f>
        <v/>
      </c>
    </row>
    <row r="52">
      <c r="A52" s="38">
        <f>IF('Additional Images'!B52 = "", "", IF('Additional Images-WUO_ERR'!A52 = "", "Validated", HYPERLINK("#" &amp; ADDRESS(52, 'Additional Images-WUO_TRK'!A52),_xlfn.TEXTAFTER('Additional Images-WUO_ERR'!A52, ":"))))</f>
        <v/>
      </c>
    </row>
    <row r="53">
      <c r="A53" s="38">
        <f>IF('Additional Images'!B53 = "", "", IF('Additional Images-WUO_ERR'!A53 = "", "Validated", HYPERLINK("#" &amp; ADDRESS(53, 'Additional Images-WUO_TRK'!A53),_xlfn.TEXTAFTER('Additional Images-WUO_ERR'!A53, ":"))))</f>
        <v/>
      </c>
    </row>
    <row r="54">
      <c r="A54" s="38">
        <f>IF('Additional Images'!B54 = "", "", IF('Additional Images-WUO_ERR'!A54 = "", "Validated", HYPERLINK("#" &amp; ADDRESS(54, 'Additional Images-WUO_TRK'!A54),_xlfn.TEXTAFTER('Additional Images-WUO_ERR'!A54, ":"))))</f>
        <v/>
      </c>
    </row>
    <row r="55">
      <c r="A55" s="38">
        <f>IF('Additional Images'!B55 = "", "", IF('Additional Images-WUO_ERR'!A55 = "", "Validated", HYPERLINK("#" &amp; ADDRESS(55, 'Additional Images-WUO_TRK'!A55),_xlfn.TEXTAFTER('Additional Images-WUO_ERR'!A55, ":"))))</f>
        <v/>
      </c>
    </row>
    <row r="56">
      <c r="A56" s="38">
        <f>IF('Additional Images'!B56 = "", "", IF('Additional Images-WUO_ERR'!A56 = "", "Validated", HYPERLINK("#" &amp; ADDRESS(56, 'Additional Images-WUO_TRK'!A56),_xlfn.TEXTAFTER('Additional Images-WUO_ERR'!A56, ":"))))</f>
        <v/>
      </c>
    </row>
    <row r="57">
      <c r="A57" s="38">
        <f>IF('Additional Images'!B57 = "", "", IF('Additional Images-WUO_ERR'!A57 = "", "Validated", HYPERLINK("#" &amp; ADDRESS(57, 'Additional Images-WUO_TRK'!A57),_xlfn.TEXTAFTER('Additional Images-WUO_ERR'!A57, ":"))))</f>
        <v/>
      </c>
    </row>
    <row r="58">
      <c r="A58" s="38">
        <f>IF('Additional Images'!B58 = "", "", IF('Additional Images-WUO_ERR'!A58 = "", "Validated", HYPERLINK("#" &amp; ADDRESS(58, 'Additional Images-WUO_TRK'!A58),_xlfn.TEXTAFTER('Additional Images-WUO_ERR'!A58, ":"))))</f>
        <v/>
      </c>
    </row>
    <row r="59">
      <c r="A59" s="38">
        <f>IF('Additional Images'!B59 = "", "", IF('Additional Images-WUO_ERR'!A59 = "", "Validated", HYPERLINK("#" &amp; ADDRESS(59, 'Additional Images-WUO_TRK'!A59),_xlfn.TEXTAFTER('Additional Images-WUO_ERR'!A59, ":"))))</f>
        <v/>
      </c>
    </row>
    <row r="60">
      <c r="A60" s="38">
        <f>IF('Additional Images'!B60 = "", "", IF('Additional Images-WUO_ERR'!A60 = "", "Validated", HYPERLINK("#" &amp; ADDRESS(60, 'Additional Images-WUO_TRK'!A60),_xlfn.TEXTAFTER('Additional Images-WUO_ERR'!A60, ":"))))</f>
        <v/>
      </c>
    </row>
    <row r="61">
      <c r="A61" s="38">
        <f>IF('Additional Images'!B61 = "", "", IF('Additional Images-WUO_ERR'!A61 = "", "Validated", HYPERLINK("#" &amp; ADDRESS(61, 'Additional Images-WUO_TRK'!A61),_xlfn.TEXTAFTER('Additional Images-WUO_ERR'!A61, ":"))))</f>
        <v/>
      </c>
    </row>
    <row r="62">
      <c r="A62" s="38">
        <f>IF('Additional Images'!B62 = "", "", IF('Additional Images-WUO_ERR'!A62 = "", "Validated", HYPERLINK("#" &amp; ADDRESS(62, 'Additional Images-WUO_TRK'!A62),_xlfn.TEXTAFTER('Additional Images-WUO_ERR'!A62, ":"))))</f>
        <v/>
      </c>
    </row>
    <row r="63">
      <c r="A63" s="38">
        <f>IF('Additional Images'!B63 = "", "", IF('Additional Images-WUO_ERR'!A63 = "", "Validated", HYPERLINK("#" &amp; ADDRESS(63, 'Additional Images-WUO_TRK'!A63),_xlfn.TEXTAFTER('Additional Images-WUO_ERR'!A63, ":"))))</f>
        <v/>
      </c>
    </row>
    <row r="64">
      <c r="A64" s="38">
        <f>IF('Additional Images'!B64 = "", "", IF('Additional Images-WUO_ERR'!A64 = "", "Validated", HYPERLINK("#" &amp; ADDRESS(64, 'Additional Images-WUO_TRK'!A64),_xlfn.TEXTAFTER('Additional Images-WUO_ERR'!A64, ":"))))</f>
        <v/>
      </c>
    </row>
    <row r="65">
      <c r="A65" s="38">
        <f>IF('Additional Images'!B65 = "", "", IF('Additional Images-WUO_ERR'!A65 = "", "Validated", HYPERLINK("#" &amp; ADDRESS(65, 'Additional Images-WUO_TRK'!A65),_xlfn.TEXTAFTER('Additional Images-WUO_ERR'!A65, ":"))))</f>
        <v/>
      </c>
    </row>
    <row r="66">
      <c r="A66" s="38">
        <f>IF('Additional Images'!B66 = "", "", IF('Additional Images-WUO_ERR'!A66 = "", "Validated", HYPERLINK("#" &amp; ADDRESS(66, 'Additional Images-WUO_TRK'!A66),_xlfn.TEXTAFTER('Additional Images-WUO_ERR'!A66, ":"))))</f>
        <v/>
      </c>
    </row>
    <row r="67">
      <c r="A67" s="38">
        <f>IF('Additional Images'!B67 = "", "", IF('Additional Images-WUO_ERR'!A67 = "", "Validated", HYPERLINK("#" &amp; ADDRESS(67, 'Additional Images-WUO_TRK'!A67),_xlfn.TEXTAFTER('Additional Images-WUO_ERR'!A67, ":"))))</f>
        <v/>
      </c>
    </row>
    <row r="68">
      <c r="A68" s="38">
        <f>IF('Additional Images'!B68 = "", "", IF('Additional Images-WUO_ERR'!A68 = "", "Validated", HYPERLINK("#" &amp; ADDRESS(68, 'Additional Images-WUO_TRK'!A68),_xlfn.TEXTAFTER('Additional Images-WUO_ERR'!A68, ":"))))</f>
        <v/>
      </c>
    </row>
    <row r="69">
      <c r="A69" s="38">
        <f>IF('Additional Images'!B69 = "", "", IF('Additional Images-WUO_ERR'!A69 = "", "Validated", HYPERLINK("#" &amp; ADDRESS(69, 'Additional Images-WUO_TRK'!A69),_xlfn.TEXTAFTER('Additional Images-WUO_ERR'!A69, ":"))))</f>
        <v/>
      </c>
    </row>
    <row r="70">
      <c r="A70" s="38">
        <f>IF('Additional Images'!B70 = "", "", IF('Additional Images-WUO_ERR'!A70 = "", "Validated", HYPERLINK("#" &amp; ADDRESS(70, 'Additional Images-WUO_TRK'!A70),_xlfn.TEXTAFTER('Additional Images-WUO_ERR'!A70, ":"))))</f>
        <v/>
      </c>
    </row>
    <row r="71">
      <c r="A71" s="38">
        <f>IF('Additional Images'!B71 = "", "", IF('Additional Images-WUO_ERR'!A71 = "", "Validated", HYPERLINK("#" &amp; ADDRESS(71, 'Additional Images-WUO_TRK'!A71),_xlfn.TEXTAFTER('Additional Images-WUO_ERR'!A71, ":"))))</f>
        <v/>
      </c>
    </row>
    <row r="72">
      <c r="A72" s="38">
        <f>IF('Additional Images'!B72 = "", "", IF('Additional Images-WUO_ERR'!A72 = "", "Validated", HYPERLINK("#" &amp; ADDRESS(72, 'Additional Images-WUO_TRK'!A72),_xlfn.TEXTAFTER('Additional Images-WUO_ERR'!A72, ":"))))</f>
        <v/>
      </c>
    </row>
    <row r="73">
      <c r="A73" s="38">
        <f>IF('Additional Images'!B73 = "", "", IF('Additional Images-WUO_ERR'!A73 = "", "Validated", HYPERLINK("#" &amp; ADDRESS(73, 'Additional Images-WUO_TRK'!A73),_xlfn.TEXTAFTER('Additional Images-WUO_ERR'!A73, ":"))))</f>
        <v/>
      </c>
    </row>
    <row r="74">
      <c r="A74" s="38">
        <f>IF('Additional Images'!B74 = "", "", IF('Additional Images-WUO_ERR'!A74 = "", "Validated", HYPERLINK("#" &amp; ADDRESS(74, 'Additional Images-WUO_TRK'!A74),_xlfn.TEXTAFTER('Additional Images-WUO_ERR'!A74, ":"))))</f>
        <v/>
      </c>
    </row>
    <row r="75">
      <c r="A75" s="38">
        <f>IF('Additional Images'!B75 = "", "", IF('Additional Images-WUO_ERR'!A75 = "", "Validated", HYPERLINK("#" &amp; ADDRESS(75, 'Additional Images-WUO_TRK'!A75),_xlfn.TEXTAFTER('Additional Images-WUO_ERR'!A75, ":"))))</f>
        <v/>
      </c>
    </row>
    <row r="76">
      <c r="A76" s="38">
        <f>IF('Additional Images'!B76 = "", "", IF('Additional Images-WUO_ERR'!A76 = "", "Validated", HYPERLINK("#" &amp; ADDRESS(76, 'Additional Images-WUO_TRK'!A76),_xlfn.TEXTAFTER('Additional Images-WUO_ERR'!A76, ":"))))</f>
        <v/>
      </c>
    </row>
    <row r="77">
      <c r="A77" s="38">
        <f>IF('Additional Images'!B77 = "", "", IF('Additional Images-WUO_ERR'!A77 = "", "Validated", HYPERLINK("#" &amp; ADDRESS(77, 'Additional Images-WUO_TRK'!A77),_xlfn.TEXTAFTER('Additional Images-WUO_ERR'!A77, ":"))))</f>
        <v/>
      </c>
    </row>
    <row r="78">
      <c r="A78" s="38">
        <f>IF('Additional Images'!B78 = "", "", IF('Additional Images-WUO_ERR'!A78 = "", "Validated", HYPERLINK("#" &amp; ADDRESS(78, 'Additional Images-WUO_TRK'!A78),_xlfn.TEXTAFTER('Additional Images-WUO_ERR'!A78, ":"))))</f>
        <v/>
      </c>
    </row>
    <row r="79">
      <c r="A79" s="38">
        <f>IF('Additional Images'!B79 = "", "", IF('Additional Images-WUO_ERR'!A79 = "", "Validated", HYPERLINK("#" &amp; ADDRESS(79, 'Additional Images-WUO_TRK'!A79),_xlfn.TEXTAFTER('Additional Images-WUO_ERR'!A79, ":"))))</f>
        <v/>
      </c>
    </row>
    <row r="80">
      <c r="A80" s="38">
        <f>IF('Additional Images'!B80 = "", "", IF('Additional Images-WUO_ERR'!A80 = "", "Validated", HYPERLINK("#" &amp; ADDRESS(80, 'Additional Images-WUO_TRK'!A80),_xlfn.TEXTAFTER('Additional Images-WUO_ERR'!A80, ":"))))</f>
        <v/>
      </c>
    </row>
    <row r="81">
      <c r="A81" s="38">
        <f>IF('Additional Images'!B81 = "", "", IF('Additional Images-WUO_ERR'!A81 = "", "Validated", HYPERLINK("#" &amp; ADDRESS(81, 'Additional Images-WUO_TRK'!A81),_xlfn.TEXTAFTER('Additional Images-WUO_ERR'!A81, ":"))))</f>
        <v/>
      </c>
    </row>
    <row r="82">
      <c r="A82" s="38">
        <f>IF('Additional Images'!B82 = "", "", IF('Additional Images-WUO_ERR'!A82 = "", "Validated", HYPERLINK("#" &amp; ADDRESS(82, 'Additional Images-WUO_TRK'!A82),_xlfn.TEXTAFTER('Additional Images-WUO_ERR'!A82, ":"))))</f>
        <v/>
      </c>
    </row>
    <row r="83">
      <c r="A83" s="38">
        <f>IF('Additional Images'!B83 = "", "", IF('Additional Images-WUO_ERR'!A83 = "", "Validated", HYPERLINK("#" &amp; ADDRESS(83, 'Additional Images-WUO_TRK'!A83),_xlfn.TEXTAFTER('Additional Images-WUO_ERR'!A83, ":"))))</f>
        <v/>
      </c>
    </row>
    <row r="84">
      <c r="A84" s="38">
        <f>IF('Additional Images'!B84 = "", "", IF('Additional Images-WUO_ERR'!A84 = "", "Validated", HYPERLINK("#" &amp; ADDRESS(84, 'Additional Images-WUO_TRK'!A84),_xlfn.TEXTAFTER('Additional Images-WUO_ERR'!A84, ":"))))</f>
        <v/>
      </c>
    </row>
    <row r="85">
      <c r="A85" s="38">
        <f>IF('Additional Images'!B85 = "", "", IF('Additional Images-WUO_ERR'!A85 = "", "Validated", HYPERLINK("#" &amp; ADDRESS(85, 'Additional Images-WUO_TRK'!A85),_xlfn.TEXTAFTER('Additional Images-WUO_ERR'!A85, ":"))))</f>
        <v/>
      </c>
    </row>
    <row r="86">
      <c r="A86" s="38">
        <f>IF('Additional Images'!B86 = "", "", IF('Additional Images-WUO_ERR'!A86 = "", "Validated", HYPERLINK("#" &amp; ADDRESS(86, 'Additional Images-WUO_TRK'!A86),_xlfn.TEXTAFTER('Additional Images-WUO_ERR'!A86, ":"))))</f>
        <v/>
      </c>
    </row>
    <row r="87">
      <c r="A87" s="38">
        <f>IF('Additional Images'!B87 = "", "", IF('Additional Images-WUO_ERR'!A87 = "", "Validated", HYPERLINK("#" &amp; ADDRESS(87, 'Additional Images-WUO_TRK'!A87),_xlfn.TEXTAFTER('Additional Images-WUO_ERR'!A87, ":"))))</f>
        <v/>
      </c>
    </row>
    <row r="88">
      <c r="A88" s="38">
        <f>IF('Additional Images'!B88 = "", "", IF('Additional Images-WUO_ERR'!A88 = "", "Validated", HYPERLINK("#" &amp; ADDRESS(88, 'Additional Images-WUO_TRK'!A88),_xlfn.TEXTAFTER('Additional Images-WUO_ERR'!A88, ":"))))</f>
        <v/>
      </c>
    </row>
    <row r="89">
      <c r="A89" s="38">
        <f>IF('Additional Images'!B89 = "", "", IF('Additional Images-WUO_ERR'!A89 = "", "Validated", HYPERLINK("#" &amp; ADDRESS(89, 'Additional Images-WUO_TRK'!A89),_xlfn.TEXTAFTER('Additional Images-WUO_ERR'!A89, ":"))))</f>
        <v/>
      </c>
    </row>
    <row r="90">
      <c r="A90" s="38">
        <f>IF('Additional Images'!B90 = "", "", IF('Additional Images-WUO_ERR'!A90 = "", "Validated", HYPERLINK("#" &amp; ADDRESS(90, 'Additional Images-WUO_TRK'!A90),_xlfn.TEXTAFTER('Additional Images-WUO_ERR'!A90, ":"))))</f>
        <v/>
      </c>
    </row>
    <row r="91">
      <c r="A91" s="38">
        <f>IF('Additional Images'!B91 = "", "", IF('Additional Images-WUO_ERR'!A91 = "", "Validated", HYPERLINK("#" &amp; ADDRESS(91, 'Additional Images-WUO_TRK'!A91),_xlfn.TEXTAFTER('Additional Images-WUO_ERR'!A91, ":"))))</f>
        <v/>
      </c>
    </row>
    <row r="92">
      <c r="A92" s="38">
        <f>IF('Additional Images'!B92 = "", "", IF('Additional Images-WUO_ERR'!A92 = "", "Validated", HYPERLINK("#" &amp; ADDRESS(92, 'Additional Images-WUO_TRK'!A92),_xlfn.TEXTAFTER('Additional Images-WUO_ERR'!A92, ":"))))</f>
        <v/>
      </c>
    </row>
    <row r="93">
      <c r="A93" s="38">
        <f>IF('Additional Images'!B93 = "", "", IF('Additional Images-WUO_ERR'!A93 = "", "Validated", HYPERLINK("#" &amp; ADDRESS(93, 'Additional Images-WUO_TRK'!A93),_xlfn.TEXTAFTER('Additional Images-WUO_ERR'!A93, ":"))))</f>
        <v/>
      </c>
    </row>
    <row r="94">
      <c r="A94" s="38">
        <f>IF('Additional Images'!B94 = "", "", IF('Additional Images-WUO_ERR'!A94 = "", "Validated", HYPERLINK("#" &amp; ADDRESS(94, 'Additional Images-WUO_TRK'!A94),_xlfn.TEXTAFTER('Additional Images-WUO_ERR'!A94, ":"))))</f>
        <v/>
      </c>
    </row>
    <row r="95">
      <c r="A95" s="38">
        <f>IF('Additional Images'!B95 = "", "", IF('Additional Images-WUO_ERR'!A95 = "", "Validated", HYPERLINK("#" &amp; ADDRESS(95, 'Additional Images-WUO_TRK'!A95),_xlfn.TEXTAFTER('Additional Images-WUO_ERR'!A95, ":"))))</f>
        <v/>
      </c>
    </row>
    <row r="96">
      <c r="A96" s="38">
        <f>IF('Additional Images'!B96 = "", "", IF('Additional Images-WUO_ERR'!A96 = "", "Validated", HYPERLINK("#" &amp; ADDRESS(96, 'Additional Images-WUO_TRK'!A96),_xlfn.TEXTAFTER('Additional Images-WUO_ERR'!A96, ":"))))</f>
        <v/>
      </c>
    </row>
    <row r="97">
      <c r="A97" s="38">
        <f>IF('Additional Images'!B97 = "", "", IF('Additional Images-WUO_ERR'!A97 = "", "Validated", HYPERLINK("#" &amp; ADDRESS(97, 'Additional Images-WUO_TRK'!A97),_xlfn.TEXTAFTER('Additional Images-WUO_ERR'!A97, ":"))))</f>
        <v/>
      </c>
    </row>
    <row r="98">
      <c r="A98" s="38">
        <f>IF('Additional Images'!B98 = "", "", IF('Additional Images-WUO_ERR'!A98 = "", "Validated", HYPERLINK("#" &amp; ADDRESS(98, 'Additional Images-WUO_TRK'!A98),_xlfn.TEXTAFTER('Additional Images-WUO_ERR'!A98, ":"))))</f>
        <v/>
      </c>
    </row>
    <row r="99">
      <c r="A99" s="38">
        <f>IF('Additional Images'!B99 = "", "", IF('Additional Images-WUO_ERR'!A99 = "", "Validated", HYPERLINK("#" &amp; ADDRESS(99, 'Additional Images-WUO_TRK'!A99),_xlfn.TEXTAFTER('Additional Images-WUO_ERR'!A99, ":"))))</f>
        <v/>
      </c>
    </row>
    <row r="100">
      <c r="A100" s="38">
        <f>IF('Additional Images'!B100 = "", "", IF('Additional Images-WUO_ERR'!A100 = "", "Validated", HYPERLINK("#" &amp; ADDRESS(100, 'Additional Images-WUO_TRK'!A100),_xlfn.TEXTAFTER('Additional Images-WUO_ERR'!A100, ":"))))</f>
        <v/>
      </c>
    </row>
    <row r="101">
      <c r="A101" s="38">
        <f>IF('Additional Images'!B101 = "", "", IF('Additional Images-WUO_ERR'!A101 = "", "Validated", HYPERLINK("#" &amp; ADDRESS(101, 'Additional Images-WUO_TRK'!A101),_xlfn.TEXTAFTER('Additional Images-WUO_ERR'!A101, ":"))))</f>
        <v/>
      </c>
    </row>
    <row r="102">
      <c r="A102" s="38">
        <f>IF('Additional Images'!B102 = "", "", IF('Additional Images-WUO_ERR'!A102 = "", "Validated", HYPERLINK("#" &amp; ADDRESS(102, 'Additional Images-WUO_TRK'!A102),_xlfn.TEXTAFTER('Additional Images-WUO_ERR'!A102, ":"))))</f>
        <v/>
      </c>
    </row>
    <row r="103">
      <c r="A103" s="38">
        <f>IF('Additional Images'!B103 = "", "", IF('Additional Images-WUO_ERR'!A103 = "", "Validated", HYPERLINK("#" &amp; ADDRESS(103, 'Additional Images-WUO_TRK'!A103),_xlfn.TEXTAFTER('Additional Images-WUO_ERR'!A103, ":"))))</f>
        <v/>
      </c>
    </row>
    <row r="104">
      <c r="A104" s="38">
        <f>IF('Additional Images'!B104 = "", "", IF('Additional Images-WUO_ERR'!A104 = "", "Validated", HYPERLINK("#" &amp; ADDRESS(104, 'Additional Images-WUO_TRK'!A104),_xlfn.TEXTAFTER('Additional Images-WUO_ERR'!A104, ":"))))</f>
        <v/>
      </c>
    </row>
    <row r="105">
      <c r="A105" s="38">
        <f>IF('Additional Images'!B105 = "", "", IF('Additional Images-WUO_ERR'!A105 = "", "Validated", HYPERLINK("#" &amp; ADDRESS(105, 'Additional Images-WUO_TRK'!A105),_xlfn.TEXTAFTER('Additional Images-WUO_ERR'!A105, ":"))))</f>
        <v/>
      </c>
    </row>
    <row r="106">
      <c r="A106" s="38">
        <f>IF('Additional Images'!B106 = "", "", IF('Additional Images-WUO_ERR'!A106 = "", "Validated", HYPERLINK("#" &amp; ADDRESS(106, 'Additional Images-WUO_TRK'!A106),_xlfn.TEXTAFTER('Additional Images-WUO_ERR'!A106, ":"))))</f>
        <v/>
      </c>
    </row>
    <row r="107">
      <c r="A107" s="38">
        <f>IF('Additional Images'!B107 = "", "", IF('Additional Images-WUO_ERR'!A107 = "", "Validated", HYPERLINK("#" &amp; ADDRESS(107, 'Additional Images-WUO_TRK'!A107),_xlfn.TEXTAFTER('Additional Images-WUO_ERR'!A107, ":"))))</f>
        <v/>
      </c>
    </row>
    <row r="108">
      <c r="A108" s="38">
        <f>IF('Additional Images'!B108 = "", "", IF('Additional Images-WUO_ERR'!A108 = "", "Validated", HYPERLINK("#" &amp; ADDRESS(108, 'Additional Images-WUO_TRK'!A108),_xlfn.TEXTAFTER('Additional Images-WUO_ERR'!A108, ":"))))</f>
        <v/>
      </c>
    </row>
    <row r="109">
      <c r="A109" s="38">
        <f>IF('Additional Images'!B109 = "", "", IF('Additional Images-WUO_ERR'!A109 = "", "Validated", HYPERLINK("#" &amp; ADDRESS(109, 'Additional Images-WUO_TRK'!A109),_xlfn.TEXTAFTER('Additional Images-WUO_ERR'!A109, ":"))))</f>
        <v/>
      </c>
    </row>
    <row r="110">
      <c r="A110" s="38">
        <f>IF('Additional Images'!B110 = "", "", IF('Additional Images-WUO_ERR'!A110 = "", "Validated", HYPERLINK("#" &amp; ADDRESS(110, 'Additional Images-WUO_TRK'!A110),_xlfn.TEXTAFTER('Additional Images-WUO_ERR'!A110, ":"))))</f>
        <v/>
      </c>
    </row>
    <row r="111">
      <c r="A111" s="38">
        <f>IF('Additional Images'!B111 = "", "", IF('Additional Images-WUO_ERR'!A111 = "", "Validated", HYPERLINK("#" &amp; ADDRESS(111, 'Additional Images-WUO_TRK'!A111),_xlfn.TEXTAFTER('Additional Images-WUO_ERR'!A111, ":"))))</f>
        <v/>
      </c>
    </row>
    <row r="112">
      <c r="A112" s="38">
        <f>IF('Additional Images'!B112 = "", "", IF('Additional Images-WUO_ERR'!A112 = "", "Validated", HYPERLINK("#" &amp; ADDRESS(112, 'Additional Images-WUO_TRK'!A112),_xlfn.TEXTAFTER('Additional Images-WUO_ERR'!A112, ":"))))</f>
        <v/>
      </c>
    </row>
    <row r="113">
      <c r="A113" s="38">
        <f>IF('Additional Images'!B113 = "", "", IF('Additional Images-WUO_ERR'!A113 = "", "Validated", HYPERLINK("#" &amp; ADDRESS(113, 'Additional Images-WUO_TRK'!A113),_xlfn.TEXTAFTER('Additional Images-WUO_ERR'!A113, ":"))))</f>
        <v/>
      </c>
    </row>
    <row r="114">
      <c r="A114" s="38">
        <f>IF('Additional Images'!B114 = "", "", IF('Additional Images-WUO_ERR'!A114 = "", "Validated", HYPERLINK("#" &amp; ADDRESS(114, 'Additional Images-WUO_TRK'!A114),_xlfn.TEXTAFTER('Additional Images-WUO_ERR'!A114, ":"))))</f>
        <v/>
      </c>
    </row>
    <row r="115">
      <c r="A115" s="38">
        <f>IF('Additional Images'!B115 = "", "", IF('Additional Images-WUO_ERR'!A115 = "", "Validated", HYPERLINK("#" &amp; ADDRESS(115, 'Additional Images-WUO_TRK'!A115),_xlfn.TEXTAFTER('Additional Images-WUO_ERR'!A115, ":"))))</f>
        <v/>
      </c>
    </row>
    <row r="116">
      <c r="A116" s="38">
        <f>IF('Additional Images'!B116 = "", "", IF('Additional Images-WUO_ERR'!A116 = "", "Validated", HYPERLINK("#" &amp; ADDRESS(116, 'Additional Images-WUO_TRK'!A116),_xlfn.TEXTAFTER('Additional Images-WUO_ERR'!A116, ":"))))</f>
        <v/>
      </c>
    </row>
    <row r="117">
      <c r="A117" s="38">
        <f>IF('Additional Images'!B117 = "", "", IF('Additional Images-WUO_ERR'!A117 = "", "Validated", HYPERLINK("#" &amp; ADDRESS(117, 'Additional Images-WUO_TRK'!A117),_xlfn.TEXTAFTER('Additional Images-WUO_ERR'!A117, ":"))))</f>
        <v/>
      </c>
    </row>
    <row r="118">
      <c r="A118" s="38">
        <f>IF('Additional Images'!B118 = "", "", IF('Additional Images-WUO_ERR'!A118 = "", "Validated", HYPERLINK("#" &amp; ADDRESS(118, 'Additional Images-WUO_TRK'!A118),_xlfn.TEXTAFTER('Additional Images-WUO_ERR'!A118, ":"))))</f>
        <v/>
      </c>
    </row>
    <row r="119">
      <c r="A119" s="38">
        <f>IF('Additional Images'!B119 = "", "", IF('Additional Images-WUO_ERR'!A119 = "", "Validated", HYPERLINK("#" &amp; ADDRESS(119, 'Additional Images-WUO_TRK'!A119),_xlfn.TEXTAFTER('Additional Images-WUO_ERR'!A119, ":"))))</f>
        <v/>
      </c>
    </row>
    <row r="120">
      <c r="A120" s="38">
        <f>IF('Additional Images'!B120 = "", "", IF('Additional Images-WUO_ERR'!A120 = "", "Validated", HYPERLINK("#" &amp; ADDRESS(120, 'Additional Images-WUO_TRK'!A120),_xlfn.TEXTAFTER('Additional Images-WUO_ERR'!A120, ":"))))</f>
        <v/>
      </c>
    </row>
    <row r="121">
      <c r="A121" s="38">
        <f>IF('Additional Images'!B121 = "", "", IF('Additional Images-WUO_ERR'!A121 = "", "Validated", HYPERLINK("#" &amp; ADDRESS(121, 'Additional Images-WUO_TRK'!A121),_xlfn.TEXTAFTER('Additional Images-WUO_ERR'!A121, ":"))))</f>
        <v/>
      </c>
    </row>
    <row r="122">
      <c r="A122" s="38">
        <f>IF('Additional Images'!B122 = "", "", IF('Additional Images-WUO_ERR'!A122 = "", "Validated", HYPERLINK("#" &amp; ADDRESS(122, 'Additional Images-WUO_TRK'!A122),_xlfn.TEXTAFTER('Additional Images-WUO_ERR'!A122, ":"))))</f>
        <v/>
      </c>
    </row>
    <row r="123">
      <c r="A123" s="38">
        <f>IF('Additional Images'!B123 = "", "", IF('Additional Images-WUO_ERR'!A123 = "", "Validated", HYPERLINK("#" &amp; ADDRESS(123, 'Additional Images-WUO_TRK'!A123),_xlfn.TEXTAFTER('Additional Images-WUO_ERR'!A123, ":"))))</f>
        <v/>
      </c>
    </row>
    <row r="124">
      <c r="A124" s="38">
        <f>IF('Additional Images'!B124 = "", "", IF('Additional Images-WUO_ERR'!A124 = "", "Validated", HYPERLINK("#" &amp; ADDRESS(124, 'Additional Images-WUO_TRK'!A124),_xlfn.TEXTAFTER('Additional Images-WUO_ERR'!A124, ":"))))</f>
        <v/>
      </c>
    </row>
    <row r="125">
      <c r="A125" s="38">
        <f>IF('Additional Images'!B125 = "", "", IF('Additional Images-WUO_ERR'!A125 = "", "Validated", HYPERLINK("#" &amp; ADDRESS(125, 'Additional Images-WUO_TRK'!A125),_xlfn.TEXTAFTER('Additional Images-WUO_ERR'!A125, ":"))))</f>
        <v/>
      </c>
    </row>
    <row r="126">
      <c r="A126" s="38">
        <f>IF('Additional Images'!B126 = "", "", IF('Additional Images-WUO_ERR'!A126 = "", "Validated", HYPERLINK("#" &amp; ADDRESS(126, 'Additional Images-WUO_TRK'!A126),_xlfn.TEXTAFTER('Additional Images-WUO_ERR'!A126, ":"))))</f>
        <v/>
      </c>
    </row>
    <row r="127">
      <c r="A127" s="38">
        <f>IF('Additional Images'!B127 = "", "", IF('Additional Images-WUO_ERR'!A127 = "", "Validated", HYPERLINK("#" &amp; ADDRESS(127, 'Additional Images-WUO_TRK'!A127),_xlfn.TEXTAFTER('Additional Images-WUO_ERR'!A127, ":"))))</f>
        <v/>
      </c>
    </row>
    <row r="128">
      <c r="A128" s="38">
        <f>IF('Additional Images'!B128 = "", "", IF('Additional Images-WUO_ERR'!A128 = "", "Validated", HYPERLINK("#" &amp; ADDRESS(128, 'Additional Images-WUO_TRK'!A128),_xlfn.TEXTAFTER('Additional Images-WUO_ERR'!A128, ":"))))</f>
        <v/>
      </c>
    </row>
    <row r="129">
      <c r="A129" s="38">
        <f>IF('Additional Images'!B129 = "", "", IF('Additional Images-WUO_ERR'!A129 = "", "Validated", HYPERLINK("#" &amp; ADDRESS(129, 'Additional Images-WUO_TRK'!A129),_xlfn.TEXTAFTER('Additional Images-WUO_ERR'!A129, ":"))))</f>
        <v/>
      </c>
    </row>
    <row r="130">
      <c r="A130" s="38">
        <f>IF('Additional Images'!B130 = "", "", IF('Additional Images-WUO_ERR'!A130 = "", "Validated", HYPERLINK("#" &amp; ADDRESS(130, 'Additional Images-WUO_TRK'!A130),_xlfn.TEXTAFTER('Additional Images-WUO_ERR'!A130, ":"))))</f>
        <v/>
      </c>
    </row>
    <row r="131">
      <c r="A131" s="38">
        <f>IF('Additional Images'!B131 = "", "", IF('Additional Images-WUO_ERR'!A131 = "", "Validated", HYPERLINK("#" &amp; ADDRESS(131, 'Additional Images-WUO_TRK'!A131),_xlfn.TEXTAFTER('Additional Images-WUO_ERR'!A131, ":"))))</f>
        <v/>
      </c>
    </row>
    <row r="132">
      <c r="A132" s="38">
        <f>IF('Additional Images'!B132 = "", "", IF('Additional Images-WUO_ERR'!A132 = "", "Validated", HYPERLINK("#" &amp; ADDRESS(132, 'Additional Images-WUO_TRK'!A132),_xlfn.TEXTAFTER('Additional Images-WUO_ERR'!A132, ":"))))</f>
        <v/>
      </c>
    </row>
    <row r="133">
      <c r="A133" s="38">
        <f>IF('Additional Images'!B133 = "", "", IF('Additional Images-WUO_ERR'!A133 = "", "Validated", HYPERLINK("#" &amp; ADDRESS(133, 'Additional Images-WUO_TRK'!A133),_xlfn.TEXTAFTER('Additional Images-WUO_ERR'!A133, ":"))))</f>
        <v/>
      </c>
    </row>
    <row r="134">
      <c r="A134" s="38">
        <f>IF('Additional Images'!B134 = "", "", IF('Additional Images-WUO_ERR'!A134 = "", "Validated", HYPERLINK("#" &amp; ADDRESS(134, 'Additional Images-WUO_TRK'!A134),_xlfn.TEXTAFTER('Additional Images-WUO_ERR'!A134, ":"))))</f>
        <v/>
      </c>
    </row>
    <row r="135">
      <c r="A135" s="38">
        <f>IF('Additional Images'!B135 = "", "", IF('Additional Images-WUO_ERR'!A135 = "", "Validated", HYPERLINK("#" &amp; ADDRESS(135, 'Additional Images-WUO_TRK'!A135),_xlfn.TEXTAFTER('Additional Images-WUO_ERR'!A135, ":"))))</f>
        <v/>
      </c>
    </row>
    <row r="136">
      <c r="A136" s="38">
        <f>IF('Additional Images'!B136 = "", "", IF('Additional Images-WUO_ERR'!A136 = "", "Validated", HYPERLINK("#" &amp; ADDRESS(136, 'Additional Images-WUO_TRK'!A136),_xlfn.TEXTAFTER('Additional Images-WUO_ERR'!A136, ":"))))</f>
        <v/>
      </c>
    </row>
    <row r="137">
      <c r="A137" s="38">
        <f>IF('Additional Images'!B137 = "", "", IF('Additional Images-WUO_ERR'!A137 = "", "Validated", HYPERLINK("#" &amp; ADDRESS(137, 'Additional Images-WUO_TRK'!A137),_xlfn.TEXTAFTER('Additional Images-WUO_ERR'!A137, ":"))))</f>
        <v/>
      </c>
    </row>
    <row r="138">
      <c r="A138" s="38">
        <f>IF('Additional Images'!B138 = "", "", IF('Additional Images-WUO_ERR'!A138 = "", "Validated", HYPERLINK("#" &amp; ADDRESS(138, 'Additional Images-WUO_TRK'!A138),_xlfn.TEXTAFTER('Additional Images-WUO_ERR'!A138, ":"))))</f>
        <v/>
      </c>
    </row>
    <row r="139">
      <c r="A139" s="38">
        <f>IF('Additional Images'!B139 = "", "", IF('Additional Images-WUO_ERR'!A139 = "", "Validated", HYPERLINK("#" &amp; ADDRESS(139, 'Additional Images-WUO_TRK'!A139),_xlfn.TEXTAFTER('Additional Images-WUO_ERR'!A139, ":"))))</f>
        <v/>
      </c>
    </row>
    <row r="140">
      <c r="A140" s="38">
        <f>IF('Additional Images'!B140 = "", "", IF('Additional Images-WUO_ERR'!A140 = "", "Validated", HYPERLINK("#" &amp; ADDRESS(140, 'Additional Images-WUO_TRK'!A140),_xlfn.TEXTAFTER('Additional Images-WUO_ERR'!A140, ":"))))</f>
        <v/>
      </c>
    </row>
    <row r="141">
      <c r="A141" s="38">
        <f>IF('Additional Images'!B141 = "", "", IF('Additional Images-WUO_ERR'!A141 = "", "Validated", HYPERLINK("#" &amp; ADDRESS(141, 'Additional Images-WUO_TRK'!A141),_xlfn.TEXTAFTER('Additional Images-WUO_ERR'!A141, ":"))))</f>
        <v/>
      </c>
    </row>
    <row r="142">
      <c r="A142" s="38">
        <f>IF('Additional Images'!B142 = "", "", IF('Additional Images-WUO_ERR'!A142 = "", "Validated", HYPERLINK("#" &amp; ADDRESS(142, 'Additional Images-WUO_TRK'!A142),_xlfn.TEXTAFTER('Additional Images-WUO_ERR'!A142, ":"))))</f>
        <v/>
      </c>
    </row>
    <row r="143">
      <c r="A143" s="38">
        <f>IF('Additional Images'!B143 = "", "", IF('Additional Images-WUO_ERR'!A143 = "", "Validated", HYPERLINK("#" &amp; ADDRESS(143, 'Additional Images-WUO_TRK'!A143),_xlfn.TEXTAFTER('Additional Images-WUO_ERR'!A143, ":"))))</f>
        <v/>
      </c>
    </row>
    <row r="144">
      <c r="A144" s="38">
        <f>IF('Additional Images'!B144 = "", "", IF('Additional Images-WUO_ERR'!A144 = "", "Validated", HYPERLINK("#" &amp; ADDRESS(144, 'Additional Images-WUO_TRK'!A144),_xlfn.TEXTAFTER('Additional Images-WUO_ERR'!A144, ":"))))</f>
        <v/>
      </c>
    </row>
    <row r="145">
      <c r="A145" s="38">
        <f>IF('Additional Images'!B145 = "", "", IF('Additional Images-WUO_ERR'!A145 = "", "Validated", HYPERLINK("#" &amp; ADDRESS(145, 'Additional Images-WUO_TRK'!A145),_xlfn.TEXTAFTER('Additional Images-WUO_ERR'!A145, ":"))))</f>
        <v/>
      </c>
    </row>
    <row r="146">
      <c r="A146" s="38">
        <f>IF('Additional Images'!B146 = "", "", IF('Additional Images-WUO_ERR'!A146 = "", "Validated", HYPERLINK("#" &amp; ADDRESS(146, 'Additional Images-WUO_TRK'!A146),_xlfn.TEXTAFTER('Additional Images-WUO_ERR'!A146, ":"))))</f>
        <v/>
      </c>
    </row>
    <row r="147">
      <c r="A147" s="38">
        <f>IF('Additional Images'!B147 = "", "", IF('Additional Images-WUO_ERR'!A147 = "", "Validated", HYPERLINK("#" &amp; ADDRESS(147, 'Additional Images-WUO_TRK'!A147),_xlfn.TEXTAFTER('Additional Images-WUO_ERR'!A147, ":"))))</f>
        <v/>
      </c>
    </row>
    <row r="148">
      <c r="A148" s="38">
        <f>IF('Additional Images'!B148 = "", "", IF('Additional Images-WUO_ERR'!A148 = "", "Validated", HYPERLINK("#" &amp; ADDRESS(148, 'Additional Images-WUO_TRK'!A148),_xlfn.TEXTAFTER('Additional Images-WUO_ERR'!A148, ":"))))</f>
        <v/>
      </c>
    </row>
    <row r="149">
      <c r="A149" s="38">
        <f>IF('Additional Images'!B149 = "", "", IF('Additional Images-WUO_ERR'!A149 = "", "Validated", HYPERLINK("#" &amp; ADDRESS(149, 'Additional Images-WUO_TRK'!A149),_xlfn.TEXTAFTER('Additional Images-WUO_ERR'!A149, ":"))))</f>
        <v/>
      </c>
    </row>
    <row r="150">
      <c r="A150" s="38">
        <f>IF('Additional Images'!B150 = "", "", IF('Additional Images-WUO_ERR'!A150 = "", "Validated", HYPERLINK("#" &amp; ADDRESS(150, 'Additional Images-WUO_TRK'!A150),_xlfn.TEXTAFTER('Additional Images-WUO_ERR'!A150, ":"))))</f>
        <v/>
      </c>
    </row>
    <row r="151">
      <c r="A151" s="38">
        <f>IF('Additional Images'!B151 = "", "", IF('Additional Images-WUO_ERR'!A151 = "", "Validated", HYPERLINK("#" &amp; ADDRESS(151, 'Additional Images-WUO_TRK'!A151),_xlfn.TEXTAFTER('Additional Images-WUO_ERR'!A151, ":"))))</f>
        <v/>
      </c>
    </row>
    <row r="152">
      <c r="A152" s="38">
        <f>IF('Additional Images'!B152 = "", "", IF('Additional Images-WUO_ERR'!A152 = "", "Validated", HYPERLINK("#" &amp; ADDRESS(152, 'Additional Images-WUO_TRK'!A152),_xlfn.TEXTAFTER('Additional Images-WUO_ERR'!A152, ":"))))</f>
        <v/>
      </c>
    </row>
    <row r="153">
      <c r="A153" s="38">
        <f>IF('Additional Images'!B153 = "", "", IF('Additional Images-WUO_ERR'!A153 = "", "Validated", HYPERLINK("#" &amp; ADDRESS(153, 'Additional Images-WUO_TRK'!A153),_xlfn.TEXTAFTER('Additional Images-WUO_ERR'!A153, ":"))))</f>
        <v/>
      </c>
    </row>
    <row r="154">
      <c r="A154" s="38">
        <f>IF('Additional Images'!B154 = "", "", IF('Additional Images-WUO_ERR'!A154 = "", "Validated", HYPERLINK("#" &amp; ADDRESS(154, 'Additional Images-WUO_TRK'!A154),_xlfn.TEXTAFTER('Additional Images-WUO_ERR'!A154, ":"))))</f>
        <v/>
      </c>
    </row>
    <row r="155">
      <c r="A155" s="38">
        <f>IF('Additional Images'!B155 = "", "", IF('Additional Images-WUO_ERR'!A155 = "", "Validated", HYPERLINK("#" &amp; ADDRESS(155, 'Additional Images-WUO_TRK'!A155),_xlfn.TEXTAFTER('Additional Images-WUO_ERR'!A155, ":"))))</f>
        <v/>
      </c>
    </row>
    <row r="156">
      <c r="A156" s="38">
        <f>IF('Additional Images'!B156 = "", "", IF('Additional Images-WUO_ERR'!A156 = "", "Validated", HYPERLINK("#" &amp; ADDRESS(156, 'Additional Images-WUO_TRK'!A156),_xlfn.TEXTAFTER('Additional Images-WUO_ERR'!A156, ":"))))</f>
        <v/>
      </c>
    </row>
    <row r="157">
      <c r="A157" s="38">
        <f>IF('Additional Images'!B157 = "", "", IF('Additional Images-WUO_ERR'!A157 = "", "Validated", HYPERLINK("#" &amp; ADDRESS(157, 'Additional Images-WUO_TRK'!A157),_xlfn.TEXTAFTER('Additional Images-WUO_ERR'!A157, ":"))))</f>
        <v/>
      </c>
    </row>
    <row r="158">
      <c r="A158" s="38">
        <f>IF('Additional Images'!B158 = "", "", IF('Additional Images-WUO_ERR'!A158 = "", "Validated", HYPERLINK("#" &amp; ADDRESS(158, 'Additional Images-WUO_TRK'!A158),_xlfn.TEXTAFTER('Additional Images-WUO_ERR'!A158, ":"))))</f>
        <v/>
      </c>
    </row>
    <row r="159">
      <c r="A159" s="38">
        <f>IF('Additional Images'!B159 = "", "", IF('Additional Images-WUO_ERR'!A159 = "", "Validated", HYPERLINK("#" &amp; ADDRESS(159, 'Additional Images-WUO_TRK'!A159),_xlfn.TEXTAFTER('Additional Images-WUO_ERR'!A159, ":"))))</f>
        <v/>
      </c>
    </row>
    <row r="160">
      <c r="A160" s="38">
        <f>IF('Additional Images'!B160 = "", "", IF('Additional Images-WUO_ERR'!A160 = "", "Validated", HYPERLINK("#" &amp; ADDRESS(160, 'Additional Images-WUO_TRK'!A160),_xlfn.TEXTAFTER('Additional Images-WUO_ERR'!A160, ":"))))</f>
        <v/>
      </c>
    </row>
    <row r="161">
      <c r="A161" s="38">
        <f>IF('Additional Images'!B161 = "", "", IF('Additional Images-WUO_ERR'!A161 = "", "Validated", HYPERLINK("#" &amp; ADDRESS(161, 'Additional Images-WUO_TRK'!A161),_xlfn.TEXTAFTER('Additional Images-WUO_ERR'!A161, ":"))))</f>
        <v/>
      </c>
    </row>
    <row r="162">
      <c r="A162" s="38">
        <f>IF('Additional Images'!B162 = "", "", IF('Additional Images-WUO_ERR'!A162 = "", "Validated", HYPERLINK("#" &amp; ADDRESS(162, 'Additional Images-WUO_TRK'!A162),_xlfn.TEXTAFTER('Additional Images-WUO_ERR'!A162, ":"))))</f>
        <v/>
      </c>
    </row>
    <row r="163">
      <c r="A163" s="38">
        <f>IF('Additional Images'!B163 = "", "", IF('Additional Images-WUO_ERR'!A163 = "", "Validated", HYPERLINK("#" &amp; ADDRESS(163, 'Additional Images-WUO_TRK'!A163),_xlfn.TEXTAFTER('Additional Images-WUO_ERR'!A163, ":"))))</f>
        <v/>
      </c>
    </row>
    <row r="164">
      <c r="A164" s="38">
        <f>IF('Additional Images'!B164 = "", "", IF('Additional Images-WUO_ERR'!A164 = "", "Validated", HYPERLINK("#" &amp; ADDRESS(164, 'Additional Images-WUO_TRK'!A164),_xlfn.TEXTAFTER('Additional Images-WUO_ERR'!A164, ":"))))</f>
        <v/>
      </c>
    </row>
    <row r="165">
      <c r="A165" s="38">
        <f>IF('Additional Images'!B165 = "", "", IF('Additional Images-WUO_ERR'!A165 = "", "Validated", HYPERLINK("#" &amp; ADDRESS(165, 'Additional Images-WUO_TRK'!A165),_xlfn.TEXTAFTER('Additional Images-WUO_ERR'!A165, ":"))))</f>
        <v/>
      </c>
    </row>
    <row r="166">
      <c r="A166" s="38">
        <f>IF('Additional Images'!B166 = "", "", IF('Additional Images-WUO_ERR'!A166 = "", "Validated", HYPERLINK("#" &amp; ADDRESS(166, 'Additional Images-WUO_TRK'!A166),_xlfn.TEXTAFTER('Additional Images-WUO_ERR'!A166, ":"))))</f>
        <v/>
      </c>
    </row>
    <row r="167">
      <c r="A167" s="38">
        <f>IF('Additional Images'!B167 = "", "", IF('Additional Images-WUO_ERR'!A167 = "", "Validated", HYPERLINK("#" &amp; ADDRESS(167, 'Additional Images-WUO_TRK'!A167),_xlfn.TEXTAFTER('Additional Images-WUO_ERR'!A167, ":"))))</f>
        <v/>
      </c>
    </row>
    <row r="168">
      <c r="A168" s="38">
        <f>IF('Additional Images'!B168 = "", "", IF('Additional Images-WUO_ERR'!A168 = "", "Validated", HYPERLINK("#" &amp; ADDRESS(168, 'Additional Images-WUO_TRK'!A168),_xlfn.TEXTAFTER('Additional Images-WUO_ERR'!A168, ":"))))</f>
        <v/>
      </c>
    </row>
    <row r="169">
      <c r="A169" s="38">
        <f>IF('Additional Images'!B169 = "", "", IF('Additional Images-WUO_ERR'!A169 = "", "Validated", HYPERLINK("#" &amp; ADDRESS(169, 'Additional Images-WUO_TRK'!A169),_xlfn.TEXTAFTER('Additional Images-WUO_ERR'!A169, ":"))))</f>
        <v/>
      </c>
    </row>
    <row r="170">
      <c r="A170" s="38">
        <f>IF('Additional Images'!B170 = "", "", IF('Additional Images-WUO_ERR'!A170 = "", "Validated", HYPERLINK("#" &amp; ADDRESS(170, 'Additional Images-WUO_TRK'!A170),_xlfn.TEXTAFTER('Additional Images-WUO_ERR'!A170, ":"))))</f>
        <v/>
      </c>
    </row>
    <row r="171">
      <c r="A171" s="38">
        <f>IF('Additional Images'!B171 = "", "", IF('Additional Images-WUO_ERR'!A171 = "", "Validated", HYPERLINK("#" &amp; ADDRESS(171, 'Additional Images-WUO_TRK'!A171),_xlfn.TEXTAFTER('Additional Images-WUO_ERR'!A171, ":"))))</f>
        <v/>
      </c>
    </row>
    <row r="172">
      <c r="A172" s="38">
        <f>IF('Additional Images'!B172 = "", "", IF('Additional Images-WUO_ERR'!A172 = "", "Validated", HYPERLINK("#" &amp; ADDRESS(172, 'Additional Images-WUO_TRK'!A172),_xlfn.TEXTAFTER('Additional Images-WUO_ERR'!A172, ":"))))</f>
        <v/>
      </c>
    </row>
    <row r="173">
      <c r="A173" s="38">
        <f>IF('Additional Images'!B173 = "", "", IF('Additional Images-WUO_ERR'!A173 = "", "Validated", HYPERLINK("#" &amp; ADDRESS(173, 'Additional Images-WUO_TRK'!A173),_xlfn.TEXTAFTER('Additional Images-WUO_ERR'!A173, ":"))))</f>
        <v/>
      </c>
    </row>
    <row r="174">
      <c r="A174" s="38">
        <f>IF('Additional Images'!B174 = "", "", IF('Additional Images-WUO_ERR'!A174 = "", "Validated", HYPERLINK("#" &amp; ADDRESS(174, 'Additional Images-WUO_TRK'!A174),_xlfn.TEXTAFTER('Additional Images-WUO_ERR'!A174, ":"))))</f>
        <v/>
      </c>
    </row>
    <row r="175">
      <c r="A175" s="38">
        <f>IF('Additional Images'!B175 = "", "", IF('Additional Images-WUO_ERR'!A175 = "", "Validated", HYPERLINK("#" &amp; ADDRESS(175, 'Additional Images-WUO_TRK'!A175),_xlfn.TEXTAFTER('Additional Images-WUO_ERR'!A175, ":"))))</f>
        <v/>
      </c>
    </row>
    <row r="176">
      <c r="A176" s="38">
        <f>IF('Additional Images'!B176 = "", "", IF('Additional Images-WUO_ERR'!A176 = "", "Validated", HYPERLINK("#" &amp; ADDRESS(176, 'Additional Images-WUO_TRK'!A176),_xlfn.TEXTAFTER('Additional Images-WUO_ERR'!A176, ":"))))</f>
        <v/>
      </c>
    </row>
    <row r="177">
      <c r="A177" s="38">
        <f>IF('Additional Images'!B177 = "", "", IF('Additional Images-WUO_ERR'!A177 = "", "Validated", HYPERLINK("#" &amp; ADDRESS(177, 'Additional Images-WUO_TRK'!A177),_xlfn.TEXTAFTER('Additional Images-WUO_ERR'!A177, ":"))))</f>
        <v/>
      </c>
    </row>
    <row r="178">
      <c r="A178" s="38">
        <f>IF('Additional Images'!B178 = "", "", IF('Additional Images-WUO_ERR'!A178 = "", "Validated", HYPERLINK("#" &amp; ADDRESS(178, 'Additional Images-WUO_TRK'!A178),_xlfn.TEXTAFTER('Additional Images-WUO_ERR'!A178, ":"))))</f>
        <v/>
      </c>
    </row>
    <row r="179">
      <c r="A179" s="38">
        <f>IF('Additional Images'!B179 = "", "", IF('Additional Images-WUO_ERR'!A179 = "", "Validated", HYPERLINK("#" &amp; ADDRESS(179, 'Additional Images-WUO_TRK'!A179),_xlfn.TEXTAFTER('Additional Images-WUO_ERR'!A179, ":"))))</f>
        <v/>
      </c>
    </row>
    <row r="180">
      <c r="A180" s="38">
        <f>IF('Additional Images'!B180 = "", "", IF('Additional Images-WUO_ERR'!A180 = "", "Validated", HYPERLINK("#" &amp; ADDRESS(180, 'Additional Images-WUO_TRK'!A180),_xlfn.TEXTAFTER('Additional Images-WUO_ERR'!A180, ":"))))</f>
        <v/>
      </c>
    </row>
    <row r="181">
      <c r="A181" s="38">
        <f>IF('Additional Images'!B181 = "", "", IF('Additional Images-WUO_ERR'!A181 = "", "Validated", HYPERLINK("#" &amp; ADDRESS(181, 'Additional Images-WUO_TRK'!A181),_xlfn.TEXTAFTER('Additional Images-WUO_ERR'!A181, ":"))))</f>
        <v/>
      </c>
    </row>
    <row r="182">
      <c r="A182" s="38">
        <f>IF('Additional Images'!B182 = "", "", IF('Additional Images-WUO_ERR'!A182 = "", "Validated", HYPERLINK("#" &amp; ADDRESS(182, 'Additional Images-WUO_TRK'!A182),_xlfn.TEXTAFTER('Additional Images-WUO_ERR'!A182, ":"))))</f>
        <v/>
      </c>
    </row>
    <row r="183">
      <c r="A183" s="38">
        <f>IF('Additional Images'!B183 = "", "", IF('Additional Images-WUO_ERR'!A183 = "", "Validated", HYPERLINK("#" &amp; ADDRESS(183, 'Additional Images-WUO_TRK'!A183),_xlfn.TEXTAFTER('Additional Images-WUO_ERR'!A183, ":"))))</f>
        <v/>
      </c>
    </row>
    <row r="184">
      <c r="A184" s="38">
        <f>IF('Additional Images'!B184 = "", "", IF('Additional Images-WUO_ERR'!A184 = "", "Validated", HYPERLINK("#" &amp; ADDRESS(184, 'Additional Images-WUO_TRK'!A184),_xlfn.TEXTAFTER('Additional Images-WUO_ERR'!A184, ":"))))</f>
        <v/>
      </c>
    </row>
    <row r="185">
      <c r="A185" s="38">
        <f>IF('Additional Images'!B185 = "", "", IF('Additional Images-WUO_ERR'!A185 = "", "Validated", HYPERLINK("#" &amp; ADDRESS(185, 'Additional Images-WUO_TRK'!A185),_xlfn.TEXTAFTER('Additional Images-WUO_ERR'!A185, ":"))))</f>
        <v/>
      </c>
    </row>
    <row r="186">
      <c r="A186" s="38">
        <f>IF('Additional Images'!B186 = "", "", IF('Additional Images-WUO_ERR'!A186 = "", "Validated", HYPERLINK("#" &amp; ADDRESS(186, 'Additional Images-WUO_TRK'!A186),_xlfn.TEXTAFTER('Additional Images-WUO_ERR'!A186, ":"))))</f>
        <v/>
      </c>
    </row>
    <row r="187">
      <c r="A187" s="38">
        <f>IF('Additional Images'!B187 = "", "", IF('Additional Images-WUO_ERR'!A187 = "", "Validated", HYPERLINK("#" &amp; ADDRESS(187, 'Additional Images-WUO_TRK'!A187),_xlfn.TEXTAFTER('Additional Images-WUO_ERR'!A187, ":"))))</f>
        <v/>
      </c>
    </row>
    <row r="188">
      <c r="A188" s="38">
        <f>IF('Additional Images'!B188 = "", "", IF('Additional Images-WUO_ERR'!A188 = "", "Validated", HYPERLINK("#" &amp; ADDRESS(188, 'Additional Images-WUO_TRK'!A188),_xlfn.TEXTAFTER('Additional Images-WUO_ERR'!A188, ":"))))</f>
        <v/>
      </c>
    </row>
    <row r="189">
      <c r="A189" s="38">
        <f>IF('Additional Images'!B189 = "", "", IF('Additional Images-WUO_ERR'!A189 = "", "Validated", HYPERLINK("#" &amp; ADDRESS(189, 'Additional Images-WUO_TRK'!A189),_xlfn.TEXTAFTER('Additional Images-WUO_ERR'!A189, ":"))))</f>
        <v/>
      </c>
    </row>
    <row r="190">
      <c r="A190" s="38">
        <f>IF('Additional Images'!B190 = "", "", IF('Additional Images-WUO_ERR'!A190 = "", "Validated", HYPERLINK("#" &amp; ADDRESS(190, 'Additional Images-WUO_TRK'!A190),_xlfn.TEXTAFTER('Additional Images-WUO_ERR'!A190, ":"))))</f>
        <v/>
      </c>
    </row>
    <row r="191">
      <c r="A191" s="38">
        <f>IF('Additional Images'!B191 = "", "", IF('Additional Images-WUO_ERR'!A191 = "", "Validated", HYPERLINK("#" &amp; ADDRESS(191, 'Additional Images-WUO_TRK'!A191),_xlfn.TEXTAFTER('Additional Images-WUO_ERR'!A191, ":"))))</f>
        <v/>
      </c>
    </row>
    <row r="192">
      <c r="A192" s="38">
        <f>IF('Additional Images'!B192 = "", "", IF('Additional Images-WUO_ERR'!A192 = "", "Validated", HYPERLINK("#" &amp; ADDRESS(192, 'Additional Images-WUO_TRK'!A192),_xlfn.TEXTAFTER('Additional Images-WUO_ERR'!A192, ":"))))</f>
        <v/>
      </c>
    </row>
    <row r="193">
      <c r="A193" s="38">
        <f>IF('Additional Images'!B193 = "", "", IF('Additional Images-WUO_ERR'!A193 = "", "Validated", HYPERLINK("#" &amp; ADDRESS(193, 'Additional Images-WUO_TRK'!A193),_xlfn.TEXTAFTER('Additional Images-WUO_ERR'!A193, ":"))))</f>
        <v/>
      </c>
    </row>
    <row r="194">
      <c r="A194" s="38">
        <f>IF('Additional Images'!B194 = "", "", IF('Additional Images-WUO_ERR'!A194 = "", "Validated", HYPERLINK("#" &amp; ADDRESS(194, 'Additional Images-WUO_TRK'!A194),_xlfn.TEXTAFTER('Additional Images-WUO_ERR'!A194, ":"))))</f>
        <v/>
      </c>
    </row>
    <row r="195">
      <c r="A195" s="38">
        <f>IF('Additional Images'!B195 = "", "", IF('Additional Images-WUO_ERR'!A195 = "", "Validated", HYPERLINK("#" &amp; ADDRESS(195, 'Additional Images-WUO_TRK'!A195),_xlfn.TEXTAFTER('Additional Images-WUO_ERR'!A195, ":"))))</f>
        <v/>
      </c>
    </row>
    <row r="196">
      <c r="A196" s="38">
        <f>IF('Additional Images'!B196 = "", "", IF('Additional Images-WUO_ERR'!A196 = "", "Validated", HYPERLINK("#" &amp; ADDRESS(196, 'Additional Images-WUO_TRK'!A196),_xlfn.TEXTAFTER('Additional Images-WUO_ERR'!A196, ":"))))</f>
        <v/>
      </c>
    </row>
    <row r="197">
      <c r="A197" s="38">
        <f>IF('Additional Images'!B197 = "", "", IF('Additional Images-WUO_ERR'!A197 = "", "Validated", HYPERLINK("#" &amp; ADDRESS(197, 'Additional Images-WUO_TRK'!A197),_xlfn.TEXTAFTER('Additional Images-WUO_ERR'!A197, ":"))))</f>
        <v/>
      </c>
    </row>
    <row r="198">
      <c r="A198" s="38">
        <f>IF('Additional Images'!B198 = "", "", IF('Additional Images-WUO_ERR'!A198 = "", "Validated", HYPERLINK("#" &amp; ADDRESS(198, 'Additional Images-WUO_TRK'!A198),_xlfn.TEXTAFTER('Additional Images-WUO_ERR'!A198, ":"))))</f>
        <v/>
      </c>
    </row>
    <row r="199">
      <c r="A199" s="38">
        <f>IF('Additional Images'!B199 = "", "", IF('Additional Images-WUO_ERR'!A199 = "", "Validated", HYPERLINK("#" &amp; ADDRESS(199, 'Additional Images-WUO_TRK'!A199),_xlfn.TEXTAFTER('Additional Images-WUO_ERR'!A199, ":"))))</f>
        <v/>
      </c>
    </row>
    <row r="200">
      <c r="A200" s="38">
        <f>IF('Additional Images'!B200 = "", "", IF('Additional Images-WUO_ERR'!A200 = "", "Validated", HYPERLINK("#" &amp; ADDRESS(200, 'Additional Images-WUO_TRK'!A200),_xlfn.TEXTAFTER('Additional Images-WUO_ERR'!A200, ":"))))</f>
        <v/>
      </c>
    </row>
    <row r="201">
      <c r="A201" s="38">
        <f>IF('Additional Images'!B201 = "", "", IF('Additional Images-WUO_ERR'!A201 = "", "Validated", HYPERLINK("#" &amp; ADDRESS(201, 'Additional Images-WUO_TRK'!A201),_xlfn.TEXTAFTER('Additional Images-WUO_ERR'!A201, ":"))))</f>
        <v/>
      </c>
    </row>
    <row r="202">
      <c r="A202" s="38">
        <f>IF('Additional Images'!B202 = "", "", IF('Additional Images-WUO_ERR'!A202 = "", "Validated", HYPERLINK("#" &amp; ADDRESS(202, 'Additional Images-WUO_TRK'!A202),_xlfn.TEXTAFTER('Additional Images-WUO_ERR'!A202, ":"))))</f>
        <v/>
      </c>
    </row>
    <row r="203">
      <c r="A203" s="38">
        <f>IF('Additional Images'!B203 = "", "", IF('Additional Images-WUO_ERR'!A203 = "", "Validated", HYPERLINK("#" &amp; ADDRESS(203, 'Additional Images-WUO_TRK'!A203),_xlfn.TEXTAFTER('Additional Images-WUO_ERR'!A203, ":"))))</f>
        <v/>
      </c>
    </row>
    <row r="204">
      <c r="A204" s="38">
        <f>IF('Additional Images'!B204 = "", "", IF('Additional Images-WUO_ERR'!A204 = "", "Validated", HYPERLINK("#" &amp; ADDRESS(204, 'Additional Images-WUO_TRK'!A204),_xlfn.TEXTAFTER('Additional Images-WUO_ERR'!A204, ":"))))</f>
        <v/>
      </c>
    </row>
    <row r="205">
      <c r="A205" s="38">
        <f>IF('Additional Images'!B205 = "", "", IF('Additional Images-WUO_ERR'!A205 = "", "Validated", HYPERLINK("#" &amp; ADDRESS(205, 'Additional Images-WUO_TRK'!A205),_xlfn.TEXTAFTER('Additional Images-WUO_ERR'!A205, ":"))))</f>
        <v/>
      </c>
    </row>
    <row r="206">
      <c r="A206" s="38">
        <f>IF('Additional Images'!B206 = "", "", IF('Additional Images-WUO_ERR'!A206 = "", "Validated", HYPERLINK("#" &amp; ADDRESS(206, 'Additional Images-WUO_TRK'!A206),_xlfn.TEXTAFTER('Additional Images-WUO_ERR'!A206, ":"))))</f>
        <v/>
      </c>
    </row>
    <row r="207">
      <c r="A207" s="38">
        <f>IF('Additional Images'!B207 = "", "", IF('Additional Images-WUO_ERR'!A207 = "", "Validated", HYPERLINK("#" &amp; ADDRESS(207, 'Additional Images-WUO_TRK'!A207),_xlfn.TEXTAFTER('Additional Images-WUO_ERR'!A207, ":"))))</f>
        <v/>
      </c>
    </row>
    <row r="208">
      <c r="A208" s="38">
        <f>IF('Additional Images'!B208 = "", "", IF('Additional Images-WUO_ERR'!A208 = "", "Validated", HYPERLINK("#" &amp; ADDRESS(208, 'Additional Images-WUO_TRK'!A208),_xlfn.TEXTAFTER('Additional Images-WUO_ERR'!A208, ":"))))</f>
        <v/>
      </c>
    </row>
    <row r="209">
      <c r="A209" s="38">
        <f>IF('Additional Images'!B209 = "", "", IF('Additional Images-WUO_ERR'!A209 = "", "Validated", HYPERLINK("#" &amp; ADDRESS(209, 'Additional Images-WUO_TRK'!A209),_xlfn.TEXTAFTER('Additional Images-WUO_ERR'!A209, ":"))))</f>
        <v/>
      </c>
    </row>
    <row r="210">
      <c r="A210" s="38">
        <f>IF('Additional Images'!B210 = "", "", IF('Additional Images-WUO_ERR'!A210 = "", "Validated", HYPERLINK("#" &amp; ADDRESS(210, 'Additional Images-WUO_TRK'!A210),_xlfn.TEXTAFTER('Additional Images-WUO_ERR'!A210, ":"))))</f>
        <v/>
      </c>
    </row>
    <row r="211">
      <c r="A211" s="38">
        <f>IF('Additional Images'!B211 = "", "", IF('Additional Images-WUO_ERR'!A211 = "", "Validated", HYPERLINK("#" &amp; ADDRESS(211, 'Additional Images-WUO_TRK'!A211),_xlfn.TEXTAFTER('Additional Images-WUO_ERR'!A211, ":"))))</f>
        <v/>
      </c>
    </row>
    <row r="212">
      <c r="A212" s="38">
        <f>IF('Additional Images'!B212 = "", "", IF('Additional Images-WUO_ERR'!A212 = "", "Validated", HYPERLINK("#" &amp; ADDRESS(212, 'Additional Images-WUO_TRK'!A212),_xlfn.TEXTAFTER('Additional Images-WUO_ERR'!A212, ":"))))</f>
        <v/>
      </c>
    </row>
    <row r="213">
      <c r="A213" s="38">
        <f>IF('Additional Images'!B213 = "", "", IF('Additional Images-WUO_ERR'!A213 = "", "Validated", HYPERLINK("#" &amp; ADDRESS(213, 'Additional Images-WUO_TRK'!A213),_xlfn.TEXTAFTER('Additional Images-WUO_ERR'!A213, ":"))))</f>
        <v/>
      </c>
    </row>
    <row r="214">
      <c r="A214" s="38">
        <f>IF('Additional Images'!B214 = "", "", IF('Additional Images-WUO_ERR'!A214 = "", "Validated", HYPERLINK("#" &amp; ADDRESS(214, 'Additional Images-WUO_TRK'!A214),_xlfn.TEXTAFTER('Additional Images-WUO_ERR'!A214, ":"))))</f>
        <v/>
      </c>
    </row>
    <row r="215">
      <c r="A215" s="38">
        <f>IF('Additional Images'!B215 = "", "", IF('Additional Images-WUO_ERR'!A215 = "", "Validated", HYPERLINK("#" &amp; ADDRESS(215, 'Additional Images-WUO_TRK'!A215),_xlfn.TEXTAFTER('Additional Images-WUO_ERR'!A215, ":"))))</f>
        <v/>
      </c>
    </row>
    <row r="216">
      <c r="A216" s="38">
        <f>IF('Additional Images'!B216 = "", "", IF('Additional Images-WUO_ERR'!A216 = "", "Validated", HYPERLINK("#" &amp; ADDRESS(216, 'Additional Images-WUO_TRK'!A216),_xlfn.TEXTAFTER('Additional Images-WUO_ERR'!A216, ":"))))</f>
        <v/>
      </c>
    </row>
    <row r="217">
      <c r="A217" s="38">
        <f>IF('Additional Images'!B217 = "", "", IF('Additional Images-WUO_ERR'!A217 = "", "Validated", HYPERLINK("#" &amp; ADDRESS(217, 'Additional Images-WUO_TRK'!A217),_xlfn.TEXTAFTER('Additional Images-WUO_ERR'!A217, ":"))))</f>
        <v/>
      </c>
    </row>
    <row r="218">
      <c r="A218" s="38">
        <f>IF('Additional Images'!B218 = "", "", IF('Additional Images-WUO_ERR'!A218 = "", "Validated", HYPERLINK("#" &amp; ADDRESS(218, 'Additional Images-WUO_TRK'!A218),_xlfn.TEXTAFTER('Additional Images-WUO_ERR'!A218, ":"))))</f>
        <v/>
      </c>
    </row>
    <row r="219">
      <c r="A219" s="38">
        <f>IF('Additional Images'!B219 = "", "", IF('Additional Images-WUO_ERR'!A219 = "", "Validated", HYPERLINK("#" &amp; ADDRESS(219, 'Additional Images-WUO_TRK'!A219),_xlfn.TEXTAFTER('Additional Images-WUO_ERR'!A219, ":"))))</f>
        <v/>
      </c>
    </row>
    <row r="220">
      <c r="A220" s="38">
        <f>IF('Additional Images'!B220 = "", "", IF('Additional Images-WUO_ERR'!A220 = "", "Validated", HYPERLINK("#" &amp; ADDRESS(220, 'Additional Images-WUO_TRK'!A220),_xlfn.TEXTAFTER('Additional Images-WUO_ERR'!A220, ":"))))</f>
        <v/>
      </c>
    </row>
    <row r="221">
      <c r="A221" s="38">
        <f>IF('Additional Images'!B221 = "", "", IF('Additional Images-WUO_ERR'!A221 = "", "Validated", HYPERLINK("#" &amp; ADDRESS(221, 'Additional Images-WUO_TRK'!A221),_xlfn.TEXTAFTER('Additional Images-WUO_ERR'!A221, ":"))))</f>
        <v/>
      </c>
    </row>
    <row r="222">
      <c r="A222" s="38">
        <f>IF('Additional Images'!B222 = "", "", IF('Additional Images-WUO_ERR'!A222 = "", "Validated", HYPERLINK("#" &amp; ADDRESS(222, 'Additional Images-WUO_TRK'!A222),_xlfn.TEXTAFTER('Additional Images-WUO_ERR'!A222, ":"))))</f>
        <v/>
      </c>
    </row>
    <row r="223">
      <c r="A223" s="38">
        <f>IF('Additional Images'!B223 = "", "", IF('Additional Images-WUO_ERR'!A223 = "", "Validated", HYPERLINK("#" &amp; ADDRESS(223, 'Additional Images-WUO_TRK'!A223),_xlfn.TEXTAFTER('Additional Images-WUO_ERR'!A223, ":"))))</f>
        <v/>
      </c>
    </row>
    <row r="224">
      <c r="A224" s="38">
        <f>IF('Additional Images'!B224 = "", "", IF('Additional Images-WUO_ERR'!A224 = "", "Validated", HYPERLINK("#" &amp; ADDRESS(224, 'Additional Images-WUO_TRK'!A224),_xlfn.TEXTAFTER('Additional Images-WUO_ERR'!A224, ":"))))</f>
        <v/>
      </c>
    </row>
    <row r="225">
      <c r="A225" s="38">
        <f>IF('Additional Images'!B225 = "", "", IF('Additional Images-WUO_ERR'!A225 = "", "Validated", HYPERLINK("#" &amp; ADDRESS(225, 'Additional Images-WUO_TRK'!A225),_xlfn.TEXTAFTER('Additional Images-WUO_ERR'!A225, ":"))))</f>
        <v/>
      </c>
    </row>
    <row r="226">
      <c r="A226" s="38">
        <f>IF('Additional Images'!B226 = "", "", IF('Additional Images-WUO_ERR'!A226 = "", "Validated", HYPERLINK("#" &amp; ADDRESS(226, 'Additional Images-WUO_TRK'!A226),_xlfn.TEXTAFTER('Additional Images-WUO_ERR'!A226, ":"))))</f>
        <v/>
      </c>
    </row>
    <row r="227">
      <c r="A227" s="38">
        <f>IF('Additional Images'!B227 = "", "", IF('Additional Images-WUO_ERR'!A227 = "", "Validated", HYPERLINK("#" &amp; ADDRESS(227, 'Additional Images-WUO_TRK'!A227),_xlfn.TEXTAFTER('Additional Images-WUO_ERR'!A227, ":"))))</f>
        <v/>
      </c>
    </row>
    <row r="228">
      <c r="A228" s="38">
        <f>IF('Additional Images'!B228 = "", "", IF('Additional Images-WUO_ERR'!A228 = "", "Validated", HYPERLINK("#" &amp; ADDRESS(228, 'Additional Images-WUO_TRK'!A228),_xlfn.TEXTAFTER('Additional Images-WUO_ERR'!A228, ":"))))</f>
        <v/>
      </c>
    </row>
    <row r="229">
      <c r="A229" s="38">
        <f>IF('Additional Images'!B229 = "", "", IF('Additional Images-WUO_ERR'!A229 = "", "Validated", HYPERLINK("#" &amp; ADDRESS(229, 'Additional Images-WUO_TRK'!A229),_xlfn.TEXTAFTER('Additional Images-WUO_ERR'!A229, ":"))))</f>
        <v/>
      </c>
    </row>
    <row r="230">
      <c r="A230" s="38">
        <f>IF('Additional Images'!B230 = "", "", IF('Additional Images-WUO_ERR'!A230 = "", "Validated", HYPERLINK("#" &amp; ADDRESS(230, 'Additional Images-WUO_TRK'!A230),_xlfn.TEXTAFTER('Additional Images-WUO_ERR'!A230, ":"))))</f>
        <v/>
      </c>
    </row>
    <row r="231">
      <c r="A231" s="38">
        <f>IF('Additional Images'!B231 = "", "", IF('Additional Images-WUO_ERR'!A231 = "", "Validated", HYPERLINK("#" &amp; ADDRESS(231, 'Additional Images-WUO_TRK'!A231),_xlfn.TEXTAFTER('Additional Images-WUO_ERR'!A231, ":"))))</f>
        <v/>
      </c>
    </row>
    <row r="232">
      <c r="A232" s="38">
        <f>IF('Additional Images'!B232 = "", "", IF('Additional Images-WUO_ERR'!A232 = "", "Validated", HYPERLINK("#" &amp; ADDRESS(232, 'Additional Images-WUO_TRK'!A232),_xlfn.TEXTAFTER('Additional Images-WUO_ERR'!A232, ":"))))</f>
        <v/>
      </c>
    </row>
    <row r="233">
      <c r="A233" s="38">
        <f>IF('Additional Images'!B233 = "", "", IF('Additional Images-WUO_ERR'!A233 = "", "Validated", HYPERLINK("#" &amp; ADDRESS(233, 'Additional Images-WUO_TRK'!A233),_xlfn.TEXTAFTER('Additional Images-WUO_ERR'!A233, ":"))))</f>
        <v/>
      </c>
    </row>
    <row r="234">
      <c r="A234" s="38">
        <f>IF('Additional Images'!B234 = "", "", IF('Additional Images-WUO_ERR'!A234 = "", "Validated", HYPERLINK("#" &amp; ADDRESS(234, 'Additional Images-WUO_TRK'!A234),_xlfn.TEXTAFTER('Additional Images-WUO_ERR'!A234, ":"))))</f>
        <v/>
      </c>
    </row>
    <row r="235">
      <c r="A235" s="38">
        <f>IF('Additional Images'!B235 = "", "", IF('Additional Images-WUO_ERR'!A235 = "", "Validated", HYPERLINK("#" &amp; ADDRESS(235, 'Additional Images-WUO_TRK'!A235),_xlfn.TEXTAFTER('Additional Images-WUO_ERR'!A235, ":"))))</f>
        <v/>
      </c>
    </row>
    <row r="236">
      <c r="A236" s="38">
        <f>IF('Additional Images'!B236 = "", "", IF('Additional Images-WUO_ERR'!A236 = "", "Validated", HYPERLINK("#" &amp; ADDRESS(236, 'Additional Images-WUO_TRK'!A236),_xlfn.TEXTAFTER('Additional Images-WUO_ERR'!A236, ":"))))</f>
        <v/>
      </c>
    </row>
    <row r="237">
      <c r="A237" s="38">
        <f>IF('Additional Images'!B237 = "", "", IF('Additional Images-WUO_ERR'!A237 = "", "Validated", HYPERLINK("#" &amp; ADDRESS(237, 'Additional Images-WUO_TRK'!A237),_xlfn.TEXTAFTER('Additional Images-WUO_ERR'!A237, ":"))))</f>
        <v/>
      </c>
    </row>
    <row r="238">
      <c r="A238" s="38">
        <f>IF('Additional Images'!B238 = "", "", IF('Additional Images-WUO_ERR'!A238 = "", "Validated", HYPERLINK("#" &amp; ADDRESS(238, 'Additional Images-WUO_TRK'!A238),_xlfn.TEXTAFTER('Additional Images-WUO_ERR'!A238, ":"))))</f>
        <v/>
      </c>
    </row>
    <row r="239">
      <c r="A239" s="38">
        <f>IF('Additional Images'!B239 = "", "", IF('Additional Images-WUO_ERR'!A239 = "", "Validated", HYPERLINK("#" &amp; ADDRESS(239, 'Additional Images-WUO_TRK'!A239),_xlfn.TEXTAFTER('Additional Images-WUO_ERR'!A239, ":"))))</f>
        <v/>
      </c>
    </row>
    <row r="240">
      <c r="A240" s="38">
        <f>IF('Additional Images'!B240 = "", "", IF('Additional Images-WUO_ERR'!A240 = "", "Validated", HYPERLINK("#" &amp; ADDRESS(240, 'Additional Images-WUO_TRK'!A240),_xlfn.TEXTAFTER('Additional Images-WUO_ERR'!A240, ":"))))</f>
        <v/>
      </c>
    </row>
    <row r="241">
      <c r="A241" s="38">
        <f>IF('Additional Images'!B241 = "", "", IF('Additional Images-WUO_ERR'!A241 = "", "Validated", HYPERLINK("#" &amp; ADDRESS(241, 'Additional Images-WUO_TRK'!A241),_xlfn.TEXTAFTER('Additional Images-WUO_ERR'!A241, ":"))))</f>
        <v/>
      </c>
    </row>
    <row r="242">
      <c r="A242" s="38">
        <f>IF('Additional Images'!B242 = "", "", IF('Additional Images-WUO_ERR'!A242 = "", "Validated", HYPERLINK("#" &amp; ADDRESS(242, 'Additional Images-WUO_TRK'!A242),_xlfn.TEXTAFTER('Additional Images-WUO_ERR'!A242, ":"))))</f>
        <v/>
      </c>
    </row>
    <row r="243">
      <c r="A243" s="38">
        <f>IF('Additional Images'!B243 = "", "", IF('Additional Images-WUO_ERR'!A243 = "", "Validated", HYPERLINK("#" &amp; ADDRESS(243, 'Additional Images-WUO_TRK'!A243),_xlfn.TEXTAFTER('Additional Images-WUO_ERR'!A243, ":"))))</f>
        <v/>
      </c>
    </row>
    <row r="244">
      <c r="A244" s="38">
        <f>IF('Additional Images'!B244 = "", "", IF('Additional Images-WUO_ERR'!A244 = "", "Validated", HYPERLINK("#" &amp; ADDRESS(244, 'Additional Images-WUO_TRK'!A244),_xlfn.TEXTAFTER('Additional Images-WUO_ERR'!A244, ":"))))</f>
        <v/>
      </c>
    </row>
    <row r="245">
      <c r="A245" s="38">
        <f>IF('Additional Images'!B245 = "", "", IF('Additional Images-WUO_ERR'!A245 = "", "Validated", HYPERLINK("#" &amp; ADDRESS(245, 'Additional Images-WUO_TRK'!A245),_xlfn.TEXTAFTER('Additional Images-WUO_ERR'!A245, ":"))))</f>
        <v/>
      </c>
    </row>
    <row r="246">
      <c r="A246" s="38">
        <f>IF('Additional Images'!B246 = "", "", IF('Additional Images-WUO_ERR'!A246 = "", "Validated", HYPERLINK("#" &amp; ADDRESS(246, 'Additional Images-WUO_TRK'!A246),_xlfn.TEXTAFTER('Additional Images-WUO_ERR'!A246, ":"))))</f>
        <v/>
      </c>
    </row>
    <row r="247">
      <c r="A247" s="38">
        <f>IF('Additional Images'!B247 = "", "", IF('Additional Images-WUO_ERR'!A247 = "", "Validated", HYPERLINK("#" &amp; ADDRESS(247, 'Additional Images-WUO_TRK'!A247),_xlfn.TEXTAFTER('Additional Images-WUO_ERR'!A247, ":"))))</f>
        <v/>
      </c>
    </row>
    <row r="248">
      <c r="A248" s="38">
        <f>IF('Additional Images'!B248 = "", "", IF('Additional Images-WUO_ERR'!A248 = "", "Validated", HYPERLINK("#" &amp; ADDRESS(248, 'Additional Images-WUO_TRK'!A248),_xlfn.TEXTAFTER('Additional Images-WUO_ERR'!A248, ":"))))</f>
        <v/>
      </c>
    </row>
    <row r="249">
      <c r="A249" s="38">
        <f>IF('Additional Images'!B249 = "", "", IF('Additional Images-WUO_ERR'!A249 = "", "Validated", HYPERLINK("#" &amp; ADDRESS(249, 'Additional Images-WUO_TRK'!A249),_xlfn.TEXTAFTER('Additional Images-WUO_ERR'!A249, ":"))))</f>
        <v/>
      </c>
    </row>
    <row r="250">
      <c r="A250" s="38">
        <f>IF('Additional Images'!B250 = "", "", IF('Additional Images-WUO_ERR'!A250 = "", "Validated", HYPERLINK("#" &amp; ADDRESS(250, 'Additional Images-WUO_TRK'!A250),_xlfn.TEXTAFTER('Additional Images-WUO_ERR'!A250, ":"))))</f>
        <v/>
      </c>
    </row>
    <row r="251">
      <c r="A251" s="38">
        <f>IF('Additional Images'!B251 = "", "", IF('Additional Images-WUO_ERR'!A251 = "", "Validated", HYPERLINK("#" &amp; ADDRESS(251, 'Additional Images-WUO_TRK'!A251),_xlfn.TEXTAFTER('Additional Images-WUO_ERR'!A251, ":"))))</f>
        <v/>
      </c>
    </row>
    <row r="252">
      <c r="A252" s="38">
        <f>IF('Additional Images'!B252 = "", "", IF('Additional Images-WUO_ERR'!A252 = "", "Validated", HYPERLINK("#" &amp; ADDRESS(252, 'Additional Images-WUO_TRK'!A252),_xlfn.TEXTAFTER('Additional Images-WUO_ERR'!A252, ":"))))</f>
        <v/>
      </c>
    </row>
    <row r="253">
      <c r="A253" s="38">
        <f>IF('Additional Images'!B253 = "", "", IF('Additional Images-WUO_ERR'!A253 = "", "Validated", HYPERLINK("#" &amp; ADDRESS(253, 'Additional Images-WUO_TRK'!A253),_xlfn.TEXTAFTER('Additional Images-WUO_ERR'!A253, ":"))))</f>
        <v/>
      </c>
    </row>
    <row r="254">
      <c r="A254" s="38">
        <f>IF('Additional Images'!B254 = "", "", IF('Additional Images-WUO_ERR'!A254 = "", "Validated", HYPERLINK("#" &amp; ADDRESS(254, 'Additional Images-WUO_TRK'!A254),_xlfn.TEXTAFTER('Additional Images-WUO_ERR'!A254, ":"))))</f>
        <v/>
      </c>
    </row>
    <row r="255">
      <c r="A255" s="38">
        <f>IF('Additional Images'!B255 = "", "", IF('Additional Images-WUO_ERR'!A255 = "", "Validated", HYPERLINK("#" &amp; ADDRESS(255, 'Additional Images-WUO_TRK'!A255),_xlfn.TEXTAFTER('Additional Images-WUO_ERR'!A255, ":"))))</f>
        <v/>
      </c>
    </row>
    <row r="256">
      <c r="A256" s="38">
        <f>IF('Additional Images'!B256 = "", "", IF('Additional Images-WUO_ERR'!A256 = "", "Validated", HYPERLINK("#" &amp; ADDRESS(256, 'Additional Images-WUO_TRK'!A256),_xlfn.TEXTAFTER('Additional Images-WUO_ERR'!A256, ":"))))</f>
        <v/>
      </c>
    </row>
    <row r="257">
      <c r="A257" s="38">
        <f>IF('Additional Images'!B257 = "", "", IF('Additional Images-WUO_ERR'!A257 = "", "Validated", HYPERLINK("#" &amp; ADDRESS(257, 'Additional Images-WUO_TRK'!A257),_xlfn.TEXTAFTER('Additional Images-WUO_ERR'!A257, ":"))))</f>
        <v/>
      </c>
    </row>
    <row r="258">
      <c r="A258" s="38">
        <f>IF('Additional Images'!B258 = "", "", IF('Additional Images-WUO_ERR'!A258 = "", "Validated", HYPERLINK("#" &amp; ADDRESS(258, 'Additional Images-WUO_TRK'!A258),_xlfn.TEXTAFTER('Additional Images-WUO_ERR'!A258, ":"))))</f>
        <v/>
      </c>
    </row>
    <row r="259">
      <c r="A259" s="38">
        <f>IF('Additional Images'!B259 = "", "", IF('Additional Images-WUO_ERR'!A259 = "", "Validated", HYPERLINK("#" &amp; ADDRESS(259, 'Additional Images-WUO_TRK'!A259),_xlfn.TEXTAFTER('Additional Images-WUO_ERR'!A259, ":"))))</f>
        <v/>
      </c>
    </row>
    <row r="260">
      <c r="A260" s="38">
        <f>IF('Additional Images'!B260 = "", "", IF('Additional Images-WUO_ERR'!A260 = "", "Validated", HYPERLINK("#" &amp; ADDRESS(260, 'Additional Images-WUO_TRK'!A260),_xlfn.TEXTAFTER('Additional Images-WUO_ERR'!A260, ":"))))</f>
        <v/>
      </c>
    </row>
    <row r="261">
      <c r="A261" s="38">
        <f>IF('Additional Images'!B261 = "", "", IF('Additional Images-WUO_ERR'!A261 = "", "Validated", HYPERLINK("#" &amp; ADDRESS(261, 'Additional Images-WUO_TRK'!A261),_xlfn.TEXTAFTER('Additional Images-WUO_ERR'!A261, ":"))))</f>
        <v/>
      </c>
    </row>
    <row r="262">
      <c r="A262" s="38">
        <f>IF('Additional Images'!B262 = "", "", IF('Additional Images-WUO_ERR'!A262 = "", "Validated", HYPERLINK("#" &amp; ADDRESS(262, 'Additional Images-WUO_TRK'!A262),_xlfn.TEXTAFTER('Additional Images-WUO_ERR'!A262, ":"))))</f>
        <v/>
      </c>
    </row>
    <row r="263">
      <c r="A263" s="38">
        <f>IF('Additional Images'!B263 = "", "", IF('Additional Images-WUO_ERR'!A263 = "", "Validated", HYPERLINK("#" &amp; ADDRESS(263, 'Additional Images-WUO_TRK'!A263),_xlfn.TEXTAFTER('Additional Images-WUO_ERR'!A263, ":"))))</f>
        <v/>
      </c>
    </row>
    <row r="264">
      <c r="A264" s="38">
        <f>IF('Additional Images'!B264 = "", "", IF('Additional Images-WUO_ERR'!A264 = "", "Validated", HYPERLINK("#" &amp; ADDRESS(264, 'Additional Images-WUO_TRK'!A264),_xlfn.TEXTAFTER('Additional Images-WUO_ERR'!A264, ":"))))</f>
        <v/>
      </c>
    </row>
    <row r="265">
      <c r="A265" s="38">
        <f>IF('Additional Images'!B265 = "", "", IF('Additional Images-WUO_ERR'!A265 = "", "Validated", HYPERLINK("#" &amp; ADDRESS(265, 'Additional Images-WUO_TRK'!A265),_xlfn.TEXTAFTER('Additional Images-WUO_ERR'!A265, ":"))))</f>
        <v/>
      </c>
    </row>
    <row r="266">
      <c r="A266" s="38">
        <f>IF('Additional Images'!B266 = "", "", IF('Additional Images-WUO_ERR'!A266 = "", "Validated", HYPERLINK("#" &amp; ADDRESS(266, 'Additional Images-WUO_TRK'!A266),_xlfn.TEXTAFTER('Additional Images-WUO_ERR'!A266, ":"))))</f>
        <v/>
      </c>
    </row>
    <row r="267">
      <c r="A267" s="38">
        <f>IF('Additional Images'!B267 = "", "", IF('Additional Images-WUO_ERR'!A267 = "", "Validated", HYPERLINK("#" &amp; ADDRESS(267, 'Additional Images-WUO_TRK'!A267),_xlfn.TEXTAFTER('Additional Images-WUO_ERR'!A267, ":"))))</f>
        <v/>
      </c>
    </row>
    <row r="268">
      <c r="A268" s="38">
        <f>IF('Additional Images'!B268 = "", "", IF('Additional Images-WUO_ERR'!A268 = "", "Validated", HYPERLINK("#" &amp; ADDRESS(268, 'Additional Images-WUO_TRK'!A268),_xlfn.TEXTAFTER('Additional Images-WUO_ERR'!A268, ":"))))</f>
        <v/>
      </c>
    </row>
    <row r="269">
      <c r="A269" s="38">
        <f>IF('Additional Images'!B269 = "", "", IF('Additional Images-WUO_ERR'!A269 = "", "Validated", HYPERLINK("#" &amp; ADDRESS(269, 'Additional Images-WUO_TRK'!A269),_xlfn.TEXTAFTER('Additional Images-WUO_ERR'!A269, ":"))))</f>
        <v/>
      </c>
    </row>
    <row r="270">
      <c r="A270" s="38">
        <f>IF('Additional Images'!B270 = "", "", IF('Additional Images-WUO_ERR'!A270 = "", "Validated", HYPERLINK("#" &amp; ADDRESS(270, 'Additional Images-WUO_TRK'!A270),_xlfn.TEXTAFTER('Additional Images-WUO_ERR'!A270, ":"))))</f>
        <v/>
      </c>
    </row>
    <row r="271">
      <c r="A271" s="38">
        <f>IF('Additional Images'!B271 = "", "", IF('Additional Images-WUO_ERR'!A271 = "", "Validated", HYPERLINK("#" &amp; ADDRESS(271, 'Additional Images-WUO_TRK'!A271),_xlfn.TEXTAFTER('Additional Images-WUO_ERR'!A271, ":"))))</f>
        <v/>
      </c>
    </row>
    <row r="272">
      <c r="A272" s="38">
        <f>IF('Additional Images'!B272 = "", "", IF('Additional Images-WUO_ERR'!A272 = "", "Validated", HYPERLINK("#" &amp; ADDRESS(272, 'Additional Images-WUO_TRK'!A272),_xlfn.TEXTAFTER('Additional Images-WUO_ERR'!A272, ":"))))</f>
        <v/>
      </c>
    </row>
    <row r="273">
      <c r="A273" s="38">
        <f>IF('Additional Images'!B273 = "", "", IF('Additional Images-WUO_ERR'!A273 = "", "Validated", HYPERLINK("#" &amp; ADDRESS(273, 'Additional Images-WUO_TRK'!A273),_xlfn.TEXTAFTER('Additional Images-WUO_ERR'!A273, ":"))))</f>
        <v/>
      </c>
    </row>
    <row r="274">
      <c r="A274" s="38">
        <f>IF('Additional Images'!B274 = "", "", IF('Additional Images-WUO_ERR'!A274 = "", "Validated", HYPERLINK("#" &amp; ADDRESS(274, 'Additional Images-WUO_TRK'!A274),_xlfn.TEXTAFTER('Additional Images-WUO_ERR'!A274, ":"))))</f>
        <v/>
      </c>
    </row>
    <row r="275">
      <c r="A275" s="38">
        <f>IF('Additional Images'!B275 = "", "", IF('Additional Images-WUO_ERR'!A275 = "", "Validated", HYPERLINK("#" &amp; ADDRESS(275, 'Additional Images-WUO_TRK'!A275),_xlfn.TEXTAFTER('Additional Images-WUO_ERR'!A275, ":"))))</f>
        <v/>
      </c>
    </row>
    <row r="276">
      <c r="A276" s="38">
        <f>IF('Additional Images'!B276 = "", "", IF('Additional Images-WUO_ERR'!A276 = "", "Validated", HYPERLINK("#" &amp; ADDRESS(276, 'Additional Images-WUO_TRK'!A276),_xlfn.TEXTAFTER('Additional Images-WUO_ERR'!A276, ":"))))</f>
        <v/>
      </c>
    </row>
    <row r="277">
      <c r="A277" s="38">
        <f>IF('Additional Images'!B277 = "", "", IF('Additional Images-WUO_ERR'!A277 = "", "Validated", HYPERLINK("#" &amp; ADDRESS(277, 'Additional Images-WUO_TRK'!A277),_xlfn.TEXTAFTER('Additional Images-WUO_ERR'!A277, ":"))))</f>
        <v/>
      </c>
    </row>
    <row r="278">
      <c r="A278" s="38">
        <f>IF('Additional Images'!B278 = "", "", IF('Additional Images-WUO_ERR'!A278 = "", "Validated", HYPERLINK("#" &amp; ADDRESS(278, 'Additional Images-WUO_TRK'!A278),_xlfn.TEXTAFTER('Additional Images-WUO_ERR'!A278, ":"))))</f>
        <v/>
      </c>
    </row>
    <row r="279">
      <c r="A279" s="38">
        <f>IF('Additional Images'!B279 = "", "", IF('Additional Images-WUO_ERR'!A279 = "", "Validated", HYPERLINK("#" &amp; ADDRESS(279, 'Additional Images-WUO_TRK'!A279),_xlfn.TEXTAFTER('Additional Images-WUO_ERR'!A279, ":"))))</f>
        <v/>
      </c>
    </row>
    <row r="280">
      <c r="A280" s="38">
        <f>IF('Additional Images'!B280 = "", "", IF('Additional Images-WUO_ERR'!A280 = "", "Validated", HYPERLINK("#" &amp; ADDRESS(280, 'Additional Images-WUO_TRK'!A280),_xlfn.TEXTAFTER('Additional Images-WUO_ERR'!A280, ":"))))</f>
        <v/>
      </c>
    </row>
    <row r="281">
      <c r="A281" s="38">
        <f>IF('Additional Images'!B281 = "", "", IF('Additional Images-WUO_ERR'!A281 = "", "Validated", HYPERLINK("#" &amp; ADDRESS(281, 'Additional Images-WUO_TRK'!A281),_xlfn.TEXTAFTER('Additional Images-WUO_ERR'!A281, ":"))))</f>
        <v/>
      </c>
    </row>
    <row r="282">
      <c r="A282" s="38">
        <f>IF('Additional Images'!B282 = "", "", IF('Additional Images-WUO_ERR'!A282 = "", "Validated", HYPERLINK("#" &amp; ADDRESS(282, 'Additional Images-WUO_TRK'!A282),_xlfn.TEXTAFTER('Additional Images-WUO_ERR'!A282, ":"))))</f>
        <v/>
      </c>
    </row>
    <row r="283">
      <c r="A283" s="38">
        <f>IF('Additional Images'!B283 = "", "", IF('Additional Images-WUO_ERR'!A283 = "", "Validated", HYPERLINK("#" &amp; ADDRESS(283, 'Additional Images-WUO_TRK'!A283),_xlfn.TEXTAFTER('Additional Images-WUO_ERR'!A283, ":"))))</f>
        <v/>
      </c>
    </row>
    <row r="284">
      <c r="A284" s="38">
        <f>IF('Additional Images'!B284 = "", "", IF('Additional Images-WUO_ERR'!A284 = "", "Validated", HYPERLINK("#" &amp; ADDRESS(284, 'Additional Images-WUO_TRK'!A284),_xlfn.TEXTAFTER('Additional Images-WUO_ERR'!A284, ":"))))</f>
        <v/>
      </c>
    </row>
    <row r="285">
      <c r="A285" s="38">
        <f>IF('Additional Images'!B285 = "", "", IF('Additional Images-WUO_ERR'!A285 = "", "Validated", HYPERLINK("#" &amp; ADDRESS(285, 'Additional Images-WUO_TRK'!A285),_xlfn.TEXTAFTER('Additional Images-WUO_ERR'!A285, ":"))))</f>
        <v/>
      </c>
    </row>
    <row r="286">
      <c r="A286" s="38">
        <f>IF('Additional Images'!B286 = "", "", IF('Additional Images-WUO_ERR'!A286 = "", "Validated", HYPERLINK("#" &amp; ADDRESS(286, 'Additional Images-WUO_TRK'!A286),_xlfn.TEXTAFTER('Additional Images-WUO_ERR'!A286, ":"))))</f>
        <v/>
      </c>
    </row>
    <row r="287">
      <c r="A287" s="38">
        <f>IF('Additional Images'!B287 = "", "", IF('Additional Images-WUO_ERR'!A287 = "", "Validated", HYPERLINK("#" &amp; ADDRESS(287, 'Additional Images-WUO_TRK'!A287),_xlfn.TEXTAFTER('Additional Images-WUO_ERR'!A287, ":"))))</f>
        <v/>
      </c>
    </row>
    <row r="288">
      <c r="A288" s="38">
        <f>IF('Additional Images'!B288 = "", "", IF('Additional Images-WUO_ERR'!A288 = "", "Validated", HYPERLINK("#" &amp; ADDRESS(288, 'Additional Images-WUO_TRK'!A288),_xlfn.TEXTAFTER('Additional Images-WUO_ERR'!A288, ":"))))</f>
        <v/>
      </c>
    </row>
    <row r="289">
      <c r="A289" s="38">
        <f>IF('Additional Images'!B289 = "", "", IF('Additional Images-WUO_ERR'!A289 = "", "Validated", HYPERLINK("#" &amp; ADDRESS(289, 'Additional Images-WUO_TRK'!A289),_xlfn.TEXTAFTER('Additional Images-WUO_ERR'!A289, ":"))))</f>
        <v/>
      </c>
    </row>
    <row r="290">
      <c r="A290" s="38">
        <f>IF('Additional Images'!B290 = "", "", IF('Additional Images-WUO_ERR'!A290 = "", "Validated", HYPERLINK("#" &amp; ADDRESS(290, 'Additional Images-WUO_TRK'!A290),_xlfn.TEXTAFTER('Additional Images-WUO_ERR'!A290, ":"))))</f>
        <v/>
      </c>
    </row>
    <row r="291">
      <c r="A291" s="38">
        <f>IF('Additional Images'!B291 = "", "", IF('Additional Images-WUO_ERR'!A291 = "", "Validated", HYPERLINK("#" &amp; ADDRESS(291, 'Additional Images-WUO_TRK'!A291),_xlfn.TEXTAFTER('Additional Images-WUO_ERR'!A291, ":"))))</f>
        <v/>
      </c>
    </row>
    <row r="292">
      <c r="A292" s="38">
        <f>IF('Additional Images'!B292 = "", "", IF('Additional Images-WUO_ERR'!A292 = "", "Validated", HYPERLINK("#" &amp; ADDRESS(292, 'Additional Images-WUO_TRK'!A292),_xlfn.TEXTAFTER('Additional Images-WUO_ERR'!A292, ":"))))</f>
        <v/>
      </c>
    </row>
    <row r="293">
      <c r="A293" s="38">
        <f>IF('Additional Images'!B293 = "", "", IF('Additional Images-WUO_ERR'!A293 = "", "Validated", HYPERLINK("#" &amp; ADDRESS(293, 'Additional Images-WUO_TRK'!A293),_xlfn.TEXTAFTER('Additional Images-WUO_ERR'!A293, ":"))))</f>
        <v/>
      </c>
    </row>
    <row r="294">
      <c r="A294" s="38">
        <f>IF('Additional Images'!B294 = "", "", IF('Additional Images-WUO_ERR'!A294 = "", "Validated", HYPERLINK("#" &amp; ADDRESS(294, 'Additional Images-WUO_TRK'!A294),_xlfn.TEXTAFTER('Additional Images-WUO_ERR'!A294, ":"))))</f>
        <v/>
      </c>
    </row>
    <row r="295">
      <c r="A295" s="38">
        <f>IF('Additional Images'!B295 = "", "", IF('Additional Images-WUO_ERR'!A295 = "", "Validated", HYPERLINK("#" &amp; ADDRESS(295, 'Additional Images-WUO_TRK'!A295),_xlfn.TEXTAFTER('Additional Images-WUO_ERR'!A295, ":"))))</f>
        <v/>
      </c>
    </row>
    <row r="296">
      <c r="A296" s="38">
        <f>IF('Additional Images'!B296 = "", "", IF('Additional Images-WUO_ERR'!A296 = "", "Validated", HYPERLINK("#" &amp; ADDRESS(296, 'Additional Images-WUO_TRK'!A296),_xlfn.TEXTAFTER('Additional Images-WUO_ERR'!A296, ":"))))</f>
        <v/>
      </c>
    </row>
    <row r="297">
      <c r="A297" s="38">
        <f>IF('Additional Images'!B297 = "", "", IF('Additional Images-WUO_ERR'!A297 = "", "Validated", HYPERLINK("#" &amp; ADDRESS(297, 'Additional Images-WUO_TRK'!A297),_xlfn.TEXTAFTER('Additional Images-WUO_ERR'!A297, ":"))))</f>
        <v/>
      </c>
    </row>
    <row r="298">
      <c r="A298" s="38">
        <f>IF('Additional Images'!B298 = "", "", IF('Additional Images-WUO_ERR'!A298 = "", "Validated", HYPERLINK("#" &amp; ADDRESS(298, 'Additional Images-WUO_TRK'!A298),_xlfn.TEXTAFTER('Additional Images-WUO_ERR'!A298, ":"))))</f>
        <v/>
      </c>
    </row>
    <row r="299">
      <c r="A299" s="38">
        <f>IF('Additional Images'!B299 = "", "", IF('Additional Images-WUO_ERR'!A299 = "", "Validated", HYPERLINK("#" &amp; ADDRESS(299, 'Additional Images-WUO_TRK'!A299),_xlfn.TEXTAFTER('Additional Images-WUO_ERR'!A299, ":"))))</f>
        <v/>
      </c>
    </row>
    <row r="300">
      <c r="A300" s="38">
        <f>IF('Additional Images'!B300 = "", "", IF('Additional Images-WUO_ERR'!A300 = "", "Validated", HYPERLINK("#" &amp; ADDRESS(300, 'Additional Images-WUO_TRK'!A300),_xlfn.TEXTAFTER('Additional Images-WUO_ERR'!A300, ":"))))</f>
        <v/>
      </c>
    </row>
    <row r="301">
      <c r="A301" s="38">
        <f>IF('Additional Images'!B301 = "", "", IF('Additional Images-WUO_ERR'!A301 = "", "Validated", HYPERLINK("#" &amp; ADDRESS(301, 'Additional Images-WUO_TRK'!A301),_xlfn.TEXTAFTER('Additional Images-WUO_ERR'!A301, ":"))))</f>
        <v/>
      </c>
    </row>
    <row r="302">
      <c r="A302" s="38">
        <f>IF('Additional Images'!B302 = "", "", IF('Additional Images-WUO_ERR'!A302 = "", "Validated", HYPERLINK("#" &amp; ADDRESS(302, 'Additional Images-WUO_TRK'!A302),_xlfn.TEXTAFTER('Additional Images-WUO_ERR'!A302, ":"))))</f>
        <v/>
      </c>
    </row>
    <row r="303">
      <c r="A303" s="38">
        <f>IF('Additional Images'!B303 = "", "", IF('Additional Images-WUO_ERR'!A303 = "", "Validated", HYPERLINK("#" &amp; ADDRESS(303, 'Additional Images-WUO_TRK'!A303),_xlfn.TEXTAFTER('Additional Images-WUO_ERR'!A303, ":"))))</f>
        <v/>
      </c>
    </row>
    <row r="304">
      <c r="A304" s="38">
        <f>IF('Additional Images'!B304 = "", "", IF('Additional Images-WUO_ERR'!A304 = "", "Validated", HYPERLINK("#" &amp; ADDRESS(304, 'Additional Images-WUO_TRK'!A304),_xlfn.TEXTAFTER('Additional Images-WUO_ERR'!A304, ":"))))</f>
        <v/>
      </c>
    </row>
    <row r="305">
      <c r="A305" s="38">
        <f>IF('Additional Images'!B305 = "", "", IF('Additional Images-WUO_ERR'!A305 = "", "Validated", HYPERLINK("#" &amp; ADDRESS(305, 'Additional Images-WUO_TRK'!A305),_xlfn.TEXTAFTER('Additional Images-WUO_ERR'!A305, ":"))))</f>
        <v/>
      </c>
    </row>
    <row r="306">
      <c r="A306" s="38">
        <f>IF('Additional Images'!B306 = "", "", IF('Additional Images-WUO_ERR'!A306 = "", "Validated", HYPERLINK("#" &amp; ADDRESS(306, 'Additional Images-WUO_TRK'!A306),_xlfn.TEXTAFTER('Additional Images-WUO_ERR'!A306, ":"))))</f>
        <v/>
      </c>
    </row>
    <row r="307">
      <c r="A307" s="38">
        <f>IF('Additional Images'!B307 = "", "", IF('Additional Images-WUO_ERR'!A307 = "", "Validated", HYPERLINK("#" &amp; ADDRESS(307, 'Additional Images-WUO_TRK'!A307),_xlfn.TEXTAFTER('Additional Images-WUO_ERR'!A307, ":"))))</f>
        <v/>
      </c>
    </row>
    <row r="308">
      <c r="A308" s="38">
        <f>IF('Additional Images'!B308 = "", "", IF('Additional Images-WUO_ERR'!A308 = "", "Validated", HYPERLINK("#" &amp; ADDRESS(308, 'Additional Images-WUO_TRK'!A308),_xlfn.TEXTAFTER('Additional Images-WUO_ERR'!A308, ":"))))</f>
        <v/>
      </c>
    </row>
    <row r="309">
      <c r="A309" s="38">
        <f>IF('Additional Images'!B309 = "", "", IF('Additional Images-WUO_ERR'!A309 = "", "Validated", HYPERLINK("#" &amp; ADDRESS(309, 'Additional Images-WUO_TRK'!A309),_xlfn.TEXTAFTER('Additional Images-WUO_ERR'!A309, ":"))))</f>
        <v/>
      </c>
    </row>
    <row r="310">
      <c r="A310" s="38">
        <f>IF('Additional Images'!B310 = "", "", IF('Additional Images-WUO_ERR'!A310 = "", "Validated", HYPERLINK("#" &amp; ADDRESS(310, 'Additional Images-WUO_TRK'!A310),_xlfn.TEXTAFTER('Additional Images-WUO_ERR'!A310, ":"))))</f>
        <v/>
      </c>
    </row>
    <row r="311">
      <c r="A311" s="38">
        <f>IF('Additional Images'!B311 = "", "", IF('Additional Images-WUO_ERR'!A311 = "", "Validated", HYPERLINK("#" &amp; ADDRESS(311, 'Additional Images-WUO_TRK'!A311),_xlfn.TEXTAFTER('Additional Images-WUO_ERR'!A311, ":"))))</f>
        <v/>
      </c>
    </row>
    <row r="312">
      <c r="A312" s="38">
        <f>IF('Additional Images'!B312 = "", "", IF('Additional Images-WUO_ERR'!A312 = "", "Validated", HYPERLINK("#" &amp; ADDRESS(312, 'Additional Images-WUO_TRK'!A312),_xlfn.TEXTAFTER('Additional Images-WUO_ERR'!A312, ":"))))</f>
        <v/>
      </c>
    </row>
    <row r="313">
      <c r="A313" s="38">
        <f>IF('Additional Images'!B313 = "", "", IF('Additional Images-WUO_ERR'!A313 = "", "Validated", HYPERLINK("#" &amp; ADDRESS(313, 'Additional Images-WUO_TRK'!A313),_xlfn.TEXTAFTER('Additional Images-WUO_ERR'!A313, ":"))))</f>
        <v/>
      </c>
    </row>
    <row r="314">
      <c r="A314" s="38">
        <f>IF('Additional Images'!B314 = "", "", IF('Additional Images-WUO_ERR'!A314 = "", "Validated", HYPERLINK("#" &amp; ADDRESS(314, 'Additional Images-WUO_TRK'!A314),_xlfn.TEXTAFTER('Additional Images-WUO_ERR'!A314, ":"))))</f>
        <v/>
      </c>
    </row>
    <row r="315">
      <c r="A315" s="38">
        <f>IF('Additional Images'!B315 = "", "", IF('Additional Images-WUO_ERR'!A315 = "", "Validated", HYPERLINK("#" &amp; ADDRESS(315, 'Additional Images-WUO_TRK'!A315),_xlfn.TEXTAFTER('Additional Images-WUO_ERR'!A315, ":"))))</f>
        <v/>
      </c>
    </row>
    <row r="316">
      <c r="A316" s="38">
        <f>IF('Additional Images'!B316 = "", "", IF('Additional Images-WUO_ERR'!A316 = "", "Validated", HYPERLINK("#" &amp; ADDRESS(316, 'Additional Images-WUO_TRK'!A316),_xlfn.TEXTAFTER('Additional Images-WUO_ERR'!A316, ":"))))</f>
        <v/>
      </c>
    </row>
    <row r="317">
      <c r="A317" s="38">
        <f>IF('Additional Images'!B317 = "", "", IF('Additional Images-WUO_ERR'!A317 = "", "Validated", HYPERLINK("#" &amp; ADDRESS(317, 'Additional Images-WUO_TRK'!A317),_xlfn.TEXTAFTER('Additional Images-WUO_ERR'!A317, ":"))))</f>
        <v/>
      </c>
    </row>
    <row r="318">
      <c r="A318" s="38">
        <f>IF('Additional Images'!B318 = "", "", IF('Additional Images-WUO_ERR'!A318 = "", "Validated", HYPERLINK("#" &amp; ADDRESS(318, 'Additional Images-WUO_TRK'!A318),_xlfn.TEXTAFTER('Additional Images-WUO_ERR'!A318, ":"))))</f>
        <v/>
      </c>
    </row>
    <row r="319">
      <c r="A319" s="38">
        <f>IF('Additional Images'!B319 = "", "", IF('Additional Images-WUO_ERR'!A319 = "", "Validated", HYPERLINK("#" &amp; ADDRESS(319, 'Additional Images-WUO_TRK'!A319),_xlfn.TEXTAFTER('Additional Images-WUO_ERR'!A319, ":"))))</f>
        <v/>
      </c>
    </row>
    <row r="320">
      <c r="A320" s="38">
        <f>IF('Additional Images'!B320 = "", "", IF('Additional Images-WUO_ERR'!A320 = "", "Validated", HYPERLINK("#" &amp; ADDRESS(320, 'Additional Images-WUO_TRK'!A320),_xlfn.TEXTAFTER('Additional Images-WUO_ERR'!A320, ":"))))</f>
        <v/>
      </c>
    </row>
    <row r="321">
      <c r="A321" s="38">
        <f>IF('Additional Images'!B321 = "", "", IF('Additional Images-WUO_ERR'!A321 = "", "Validated", HYPERLINK("#" &amp; ADDRESS(321, 'Additional Images-WUO_TRK'!A321),_xlfn.TEXTAFTER('Additional Images-WUO_ERR'!A321, ":"))))</f>
        <v/>
      </c>
    </row>
    <row r="322">
      <c r="A322" s="38">
        <f>IF('Additional Images'!B322 = "", "", IF('Additional Images-WUO_ERR'!A322 = "", "Validated", HYPERLINK("#" &amp; ADDRESS(322, 'Additional Images-WUO_TRK'!A322),_xlfn.TEXTAFTER('Additional Images-WUO_ERR'!A322, ":"))))</f>
        <v/>
      </c>
    </row>
    <row r="323">
      <c r="A323" s="38">
        <f>IF('Additional Images'!B323 = "", "", IF('Additional Images-WUO_ERR'!A323 = "", "Validated", HYPERLINK("#" &amp; ADDRESS(323, 'Additional Images-WUO_TRK'!A323),_xlfn.TEXTAFTER('Additional Images-WUO_ERR'!A323, ":"))))</f>
        <v/>
      </c>
    </row>
    <row r="324">
      <c r="A324" s="38">
        <f>IF('Additional Images'!B324 = "", "", IF('Additional Images-WUO_ERR'!A324 = "", "Validated", HYPERLINK("#" &amp; ADDRESS(324, 'Additional Images-WUO_TRK'!A324),_xlfn.TEXTAFTER('Additional Images-WUO_ERR'!A324, ":"))))</f>
        <v/>
      </c>
    </row>
    <row r="325">
      <c r="A325" s="38">
        <f>IF('Additional Images'!B325 = "", "", IF('Additional Images-WUO_ERR'!A325 = "", "Validated", HYPERLINK("#" &amp; ADDRESS(325, 'Additional Images-WUO_TRK'!A325),_xlfn.TEXTAFTER('Additional Images-WUO_ERR'!A325, ":"))))</f>
        <v/>
      </c>
    </row>
    <row r="326">
      <c r="A326" s="38">
        <f>IF('Additional Images'!B326 = "", "", IF('Additional Images-WUO_ERR'!A326 = "", "Validated", HYPERLINK("#" &amp; ADDRESS(326, 'Additional Images-WUO_TRK'!A326),_xlfn.TEXTAFTER('Additional Images-WUO_ERR'!A326, ":"))))</f>
        <v/>
      </c>
    </row>
    <row r="327">
      <c r="A327" s="38">
        <f>IF('Additional Images'!B327 = "", "", IF('Additional Images-WUO_ERR'!A327 = "", "Validated", HYPERLINK("#" &amp; ADDRESS(327, 'Additional Images-WUO_TRK'!A327),_xlfn.TEXTAFTER('Additional Images-WUO_ERR'!A327, ":"))))</f>
        <v/>
      </c>
    </row>
    <row r="328">
      <c r="A328" s="38">
        <f>IF('Additional Images'!B328 = "", "", IF('Additional Images-WUO_ERR'!A328 = "", "Validated", HYPERLINK("#" &amp; ADDRESS(328, 'Additional Images-WUO_TRK'!A328),_xlfn.TEXTAFTER('Additional Images-WUO_ERR'!A328, ":"))))</f>
        <v/>
      </c>
    </row>
    <row r="329">
      <c r="A329" s="38">
        <f>IF('Additional Images'!B329 = "", "", IF('Additional Images-WUO_ERR'!A329 = "", "Validated", HYPERLINK("#" &amp; ADDRESS(329, 'Additional Images-WUO_TRK'!A329),_xlfn.TEXTAFTER('Additional Images-WUO_ERR'!A329, ":"))))</f>
        <v/>
      </c>
    </row>
    <row r="330">
      <c r="A330" s="38">
        <f>IF('Additional Images'!B330 = "", "", IF('Additional Images-WUO_ERR'!A330 = "", "Validated", HYPERLINK("#" &amp; ADDRESS(330, 'Additional Images-WUO_TRK'!A330),_xlfn.TEXTAFTER('Additional Images-WUO_ERR'!A330, ":"))))</f>
        <v/>
      </c>
    </row>
    <row r="331">
      <c r="A331" s="38">
        <f>IF('Additional Images'!B331 = "", "", IF('Additional Images-WUO_ERR'!A331 = "", "Validated", HYPERLINK("#" &amp; ADDRESS(331, 'Additional Images-WUO_TRK'!A331),_xlfn.TEXTAFTER('Additional Images-WUO_ERR'!A331, ":"))))</f>
        <v/>
      </c>
    </row>
    <row r="332">
      <c r="A332" s="38">
        <f>IF('Additional Images'!B332 = "", "", IF('Additional Images-WUO_ERR'!A332 = "", "Validated", HYPERLINK("#" &amp; ADDRESS(332, 'Additional Images-WUO_TRK'!A332),_xlfn.TEXTAFTER('Additional Images-WUO_ERR'!A332, ":"))))</f>
        <v/>
      </c>
    </row>
    <row r="333">
      <c r="A333" s="38">
        <f>IF('Additional Images'!B333 = "", "", IF('Additional Images-WUO_ERR'!A333 = "", "Validated", HYPERLINK("#" &amp; ADDRESS(333, 'Additional Images-WUO_TRK'!A333),_xlfn.TEXTAFTER('Additional Images-WUO_ERR'!A333, ":"))))</f>
        <v/>
      </c>
    </row>
    <row r="334">
      <c r="A334" s="38">
        <f>IF('Additional Images'!B334 = "", "", IF('Additional Images-WUO_ERR'!A334 = "", "Validated", HYPERLINK("#" &amp; ADDRESS(334, 'Additional Images-WUO_TRK'!A334),_xlfn.TEXTAFTER('Additional Images-WUO_ERR'!A334, ":"))))</f>
        <v/>
      </c>
    </row>
    <row r="335">
      <c r="A335" s="38">
        <f>IF('Additional Images'!B335 = "", "", IF('Additional Images-WUO_ERR'!A335 = "", "Validated", HYPERLINK("#" &amp; ADDRESS(335, 'Additional Images-WUO_TRK'!A335),_xlfn.TEXTAFTER('Additional Images-WUO_ERR'!A335, ":"))))</f>
        <v/>
      </c>
    </row>
    <row r="336">
      <c r="A336" s="38">
        <f>IF('Additional Images'!B336 = "", "", IF('Additional Images-WUO_ERR'!A336 = "", "Validated", HYPERLINK("#" &amp; ADDRESS(336, 'Additional Images-WUO_TRK'!A336),_xlfn.TEXTAFTER('Additional Images-WUO_ERR'!A336, ":"))))</f>
        <v/>
      </c>
    </row>
    <row r="337">
      <c r="A337" s="38">
        <f>IF('Additional Images'!B337 = "", "", IF('Additional Images-WUO_ERR'!A337 = "", "Validated", HYPERLINK("#" &amp; ADDRESS(337, 'Additional Images-WUO_TRK'!A337),_xlfn.TEXTAFTER('Additional Images-WUO_ERR'!A337, ":"))))</f>
        <v/>
      </c>
    </row>
    <row r="338">
      <c r="A338" s="38">
        <f>IF('Additional Images'!B338 = "", "", IF('Additional Images-WUO_ERR'!A338 = "", "Validated", HYPERLINK("#" &amp; ADDRESS(338, 'Additional Images-WUO_TRK'!A338),_xlfn.TEXTAFTER('Additional Images-WUO_ERR'!A338, ":"))))</f>
        <v/>
      </c>
    </row>
    <row r="339">
      <c r="A339" s="38">
        <f>IF('Additional Images'!B339 = "", "", IF('Additional Images-WUO_ERR'!A339 = "", "Validated", HYPERLINK("#" &amp; ADDRESS(339, 'Additional Images-WUO_TRK'!A339),_xlfn.TEXTAFTER('Additional Images-WUO_ERR'!A339, ":"))))</f>
        <v/>
      </c>
    </row>
    <row r="340">
      <c r="A340" s="38">
        <f>IF('Additional Images'!B340 = "", "", IF('Additional Images-WUO_ERR'!A340 = "", "Validated", HYPERLINK("#" &amp; ADDRESS(340, 'Additional Images-WUO_TRK'!A340),_xlfn.TEXTAFTER('Additional Images-WUO_ERR'!A340, ":"))))</f>
        <v/>
      </c>
    </row>
    <row r="341">
      <c r="A341" s="38">
        <f>IF('Additional Images'!B341 = "", "", IF('Additional Images-WUO_ERR'!A341 = "", "Validated", HYPERLINK("#" &amp; ADDRESS(341, 'Additional Images-WUO_TRK'!A341),_xlfn.TEXTAFTER('Additional Images-WUO_ERR'!A341, ":"))))</f>
        <v/>
      </c>
    </row>
    <row r="342">
      <c r="A342" s="38">
        <f>IF('Additional Images'!B342 = "", "", IF('Additional Images-WUO_ERR'!A342 = "", "Validated", HYPERLINK("#" &amp; ADDRESS(342, 'Additional Images-WUO_TRK'!A342),_xlfn.TEXTAFTER('Additional Images-WUO_ERR'!A342, ":"))))</f>
        <v/>
      </c>
    </row>
    <row r="343">
      <c r="A343" s="38">
        <f>IF('Additional Images'!B343 = "", "", IF('Additional Images-WUO_ERR'!A343 = "", "Validated", HYPERLINK("#" &amp; ADDRESS(343, 'Additional Images-WUO_TRK'!A343),_xlfn.TEXTAFTER('Additional Images-WUO_ERR'!A343, ":"))))</f>
        <v/>
      </c>
    </row>
    <row r="344">
      <c r="A344" s="38">
        <f>IF('Additional Images'!B344 = "", "", IF('Additional Images-WUO_ERR'!A344 = "", "Validated", HYPERLINK("#" &amp; ADDRESS(344, 'Additional Images-WUO_TRK'!A344),_xlfn.TEXTAFTER('Additional Images-WUO_ERR'!A344, ":"))))</f>
        <v/>
      </c>
    </row>
    <row r="345">
      <c r="A345" s="38">
        <f>IF('Additional Images'!B345 = "", "", IF('Additional Images-WUO_ERR'!A345 = "", "Validated", HYPERLINK("#" &amp; ADDRESS(345, 'Additional Images-WUO_TRK'!A345),_xlfn.TEXTAFTER('Additional Images-WUO_ERR'!A345, ":"))))</f>
        <v/>
      </c>
    </row>
    <row r="346">
      <c r="A346" s="38">
        <f>IF('Additional Images'!B346 = "", "", IF('Additional Images-WUO_ERR'!A346 = "", "Validated", HYPERLINK("#" &amp; ADDRESS(346, 'Additional Images-WUO_TRK'!A346),_xlfn.TEXTAFTER('Additional Images-WUO_ERR'!A346, ":"))))</f>
        <v/>
      </c>
    </row>
    <row r="347">
      <c r="A347" s="38">
        <f>IF('Additional Images'!B347 = "", "", IF('Additional Images-WUO_ERR'!A347 = "", "Validated", HYPERLINK("#" &amp; ADDRESS(347, 'Additional Images-WUO_TRK'!A347),_xlfn.TEXTAFTER('Additional Images-WUO_ERR'!A347, ":"))))</f>
        <v/>
      </c>
    </row>
    <row r="348">
      <c r="A348" s="38">
        <f>IF('Additional Images'!B348 = "", "", IF('Additional Images-WUO_ERR'!A348 = "", "Validated", HYPERLINK("#" &amp; ADDRESS(348, 'Additional Images-WUO_TRK'!A348),_xlfn.TEXTAFTER('Additional Images-WUO_ERR'!A348, ":"))))</f>
        <v/>
      </c>
    </row>
    <row r="349">
      <c r="A349" s="38">
        <f>IF('Additional Images'!B349 = "", "", IF('Additional Images-WUO_ERR'!A349 = "", "Validated", HYPERLINK("#" &amp; ADDRESS(349, 'Additional Images-WUO_TRK'!A349),_xlfn.TEXTAFTER('Additional Images-WUO_ERR'!A349, ":"))))</f>
        <v/>
      </c>
    </row>
    <row r="350">
      <c r="A350" s="38">
        <f>IF('Additional Images'!B350 = "", "", IF('Additional Images-WUO_ERR'!A350 = "", "Validated", HYPERLINK("#" &amp; ADDRESS(350, 'Additional Images-WUO_TRK'!A350),_xlfn.TEXTAFTER('Additional Images-WUO_ERR'!A350, ":"))))</f>
        <v/>
      </c>
    </row>
    <row r="351">
      <c r="A351" s="38">
        <f>IF('Additional Images'!B351 = "", "", IF('Additional Images-WUO_ERR'!A351 = "", "Validated", HYPERLINK("#" &amp; ADDRESS(351, 'Additional Images-WUO_TRK'!A351),_xlfn.TEXTAFTER('Additional Images-WUO_ERR'!A351, ":"))))</f>
        <v/>
      </c>
    </row>
    <row r="352">
      <c r="A352" s="38">
        <f>IF('Additional Images'!B352 = "", "", IF('Additional Images-WUO_ERR'!A352 = "", "Validated", HYPERLINK("#" &amp; ADDRESS(352, 'Additional Images-WUO_TRK'!A352),_xlfn.TEXTAFTER('Additional Images-WUO_ERR'!A352, ":"))))</f>
        <v/>
      </c>
    </row>
    <row r="353">
      <c r="A353" s="38">
        <f>IF('Additional Images'!B353 = "", "", IF('Additional Images-WUO_ERR'!A353 = "", "Validated", HYPERLINK("#" &amp; ADDRESS(353, 'Additional Images-WUO_TRK'!A353),_xlfn.TEXTAFTER('Additional Images-WUO_ERR'!A353, ":"))))</f>
        <v/>
      </c>
    </row>
    <row r="354">
      <c r="A354" s="38">
        <f>IF('Additional Images'!B354 = "", "", IF('Additional Images-WUO_ERR'!A354 = "", "Validated", HYPERLINK("#" &amp; ADDRESS(354, 'Additional Images-WUO_TRK'!A354),_xlfn.TEXTAFTER('Additional Images-WUO_ERR'!A354, ":"))))</f>
        <v/>
      </c>
    </row>
    <row r="355">
      <c r="A355" s="38">
        <f>IF('Additional Images'!B355 = "", "", IF('Additional Images-WUO_ERR'!A355 = "", "Validated", HYPERLINK("#" &amp; ADDRESS(355, 'Additional Images-WUO_TRK'!A355),_xlfn.TEXTAFTER('Additional Images-WUO_ERR'!A355, ":"))))</f>
        <v/>
      </c>
    </row>
    <row r="356">
      <c r="A356" s="38">
        <f>IF('Additional Images'!B356 = "", "", IF('Additional Images-WUO_ERR'!A356 = "", "Validated", HYPERLINK("#" &amp; ADDRESS(356, 'Additional Images-WUO_TRK'!A356),_xlfn.TEXTAFTER('Additional Images-WUO_ERR'!A356, ":"))))</f>
        <v/>
      </c>
    </row>
    <row r="357">
      <c r="A357" s="38">
        <f>IF('Additional Images'!B357 = "", "", IF('Additional Images-WUO_ERR'!A357 = "", "Validated", HYPERLINK("#" &amp; ADDRESS(357, 'Additional Images-WUO_TRK'!A357),_xlfn.TEXTAFTER('Additional Images-WUO_ERR'!A357, ":"))))</f>
        <v/>
      </c>
    </row>
    <row r="358">
      <c r="A358" s="38">
        <f>IF('Additional Images'!B358 = "", "", IF('Additional Images-WUO_ERR'!A358 = "", "Validated", HYPERLINK("#" &amp; ADDRESS(358, 'Additional Images-WUO_TRK'!A358),_xlfn.TEXTAFTER('Additional Images-WUO_ERR'!A358, ":"))))</f>
        <v/>
      </c>
    </row>
    <row r="359">
      <c r="A359" s="38">
        <f>IF('Additional Images'!B359 = "", "", IF('Additional Images-WUO_ERR'!A359 = "", "Validated", HYPERLINK("#" &amp; ADDRESS(359, 'Additional Images-WUO_TRK'!A359),_xlfn.TEXTAFTER('Additional Images-WUO_ERR'!A359, ":"))))</f>
        <v/>
      </c>
    </row>
    <row r="360">
      <c r="A360" s="38">
        <f>IF('Additional Images'!B360 = "", "", IF('Additional Images-WUO_ERR'!A360 = "", "Validated", HYPERLINK("#" &amp; ADDRESS(360, 'Additional Images-WUO_TRK'!A360),_xlfn.TEXTAFTER('Additional Images-WUO_ERR'!A360, ":"))))</f>
        <v/>
      </c>
    </row>
    <row r="361">
      <c r="A361" s="38">
        <f>IF('Additional Images'!B361 = "", "", IF('Additional Images-WUO_ERR'!A361 = "", "Validated", HYPERLINK("#" &amp; ADDRESS(361, 'Additional Images-WUO_TRK'!A361),_xlfn.TEXTAFTER('Additional Images-WUO_ERR'!A361, ":"))))</f>
        <v/>
      </c>
    </row>
    <row r="362">
      <c r="A362" s="38">
        <f>IF('Additional Images'!B362 = "", "", IF('Additional Images-WUO_ERR'!A362 = "", "Validated", HYPERLINK("#" &amp; ADDRESS(362, 'Additional Images-WUO_TRK'!A362),_xlfn.TEXTAFTER('Additional Images-WUO_ERR'!A362, ":"))))</f>
        <v/>
      </c>
    </row>
    <row r="363">
      <c r="A363" s="38">
        <f>IF('Additional Images'!B363 = "", "", IF('Additional Images-WUO_ERR'!A363 = "", "Validated", HYPERLINK("#" &amp; ADDRESS(363, 'Additional Images-WUO_TRK'!A363),_xlfn.TEXTAFTER('Additional Images-WUO_ERR'!A363, ":"))))</f>
        <v/>
      </c>
    </row>
    <row r="364">
      <c r="A364" s="38">
        <f>IF('Additional Images'!B364 = "", "", IF('Additional Images-WUO_ERR'!A364 = "", "Validated", HYPERLINK("#" &amp; ADDRESS(364, 'Additional Images-WUO_TRK'!A364),_xlfn.TEXTAFTER('Additional Images-WUO_ERR'!A364, ":"))))</f>
        <v/>
      </c>
    </row>
    <row r="365">
      <c r="A365" s="38">
        <f>IF('Additional Images'!B365 = "", "", IF('Additional Images-WUO_ERR'!A365 = "", "Validated", HYPERLINK("#" &amp; ADDRESS(365, 'Additional Images-WUO_TRK'!A365),_xlfn.TEXTAFTER('Additional Images-WUO_ERR'!A365, ":"))))</f>
        <v/>
      </c>
    </row>
    <row r="366">
      <c r="A366" s="38">
        <f>IF('Additional Images'!B366 = "", "", IF('Additional Images-WUO_ERR'!A366 = "", "Validated", HYPERLINK("#" &amp; ADDRESS(366, 'Additional Images-WUO_TRK'!A366),_xlfn.TEXTAFTER('Additional Images-WUO_ERR'!A366, ":"))))</f>
        <v/>
      </c>
    </row>
    <row r="367">
      <c r="A367" s="38">
        <f>IF('Additional Images'!B367 = "", "", IF('Additional Images-WUO_ERR'!A367 = "", "Validated", HYPERLINK("#" &amp; ADDRESS(367, 'Additional Images-WUO_TRK'!A367),_xlfn.TEXTAFTER('Additional Images-WUO_ERR'!A367, ":"))))</f>
        <v/>
      </c>
    </row>
    <row r="368">
      <c r="A368" s="38">
        <f>IF('Additional Images'!B368 = "", "", IF('Additional Images-WUO_ERR'!A368 = "", "Validated", HYPERLINK("#" &amp; ADDRESS(368, 'Additional Images-WUO_TRK'!A368),_xlfn.TEXTAFTER('Additional Images-WUO_ERR'!A368, ":"))))</f>
        <v/>
      </c>
    </row>
    <row r="369">
      <c r="A369" s="38">
        <f>IF('Additional Images'!B369 = "", "", IF('Additional Images-WUO_ERR'!A369 = "", "Validated", HYPERLINK("#" &amp; ADDRESS(369, 'Additional Images-WUO_TRK'!A369),_xlfn.TEXTAFTER('Additional Images-WUO_ERR'!A369, ":"))))</f>
        <v/>
      </c>
    </row>
    <row r="370">
      <c r="A370" s="38">
        <f>IF('Additional Images'!B370 = "", "", IF('Additional Images-WUO_ERR'!A370 = "", "Validated", HYPERLINK("#" &amp; ADDRESS(370, 'Additional Images-WUO_TRK'!A370),_xlfn.TEXTAFTER('Additional Images-WUO_ERR'!A370, ":"))))</f>
        <v/>
      </c>
    </row>
    <row r="371">
      <c r="A371" s="38">
        <f>IF('Additional Images'!B371 = "", "", IF('Additional Images-WUO_ERR'!A371 = "", "Validated", HYPERLINK("#" &amp; ADDRESS(371, 'Additional Images-WUO_TRK'!A371),_xlfn.TEXTAFTER('Additional Images-WUO_ERR'!A371, ":"))))</f>
        <v/>
      </c>
    </row>
    <row r="372">
      <c r="A372" s="38">
        <f>IF('Additional Images'!B372 = "", "", IF('Additional Images-WUO_ERR'!A372 = "", "Validated", HYPERLINK("#" &amp; ADDRESS(372, 'Additional Images-WUO_TRK'!A372),_xlfn.TEXTAFTER('Additional Images-WUO_ERR'!A372, ":"))))</f>
        <v/>
      </c>
    </row>
    <row r="373">
      <c r="A373" s="38">
        <f>IF('Additional Images'!B373 = "", "", IF('Additional Images-WUO_ERR'!A373 = "", "Validated", HYPERLINK("#" &amp; ADDRESS(373, 'Additional Images-WUO_TRK'!A373),_xlfn.TEXTAFTER('Additional Images-WUO_ERR'!A373, ":"))))</f>
        <v/>
      </c>
    </row>
    <row r="374">
      <c r="A374" s="38">
        <f>IF('Additional Images'!B374 = "", "", IF('Additional Images-WUO_ERR'!A374 = "", "Validated", HYPERLINK("#" &amp; ADDRESS(374, 'Additional Images-WUO_TRK'!A374),_xlfn.TEXTAFTER('Additional Images-WUO_ERR'!A374, ":"))))</f>
        <v/>
      </c>
    </row>
    <row r="375">
      <c r="A375" s="38">
        <f>IF('Additional Images'!B375 = "", "", IF('Additional Images-WUO_ERR'!A375 = "", "Validated", HYPERLINK("#" &amp; ADDRESS(375, 'Additional Images-WUO_TRK'!A375),_xlfn.TEXTAFTER('Additional Images-WUO_ERR'!A375, ":"))))</f>
        <v/>
      </c>
    </row>
    <row r="376">
      <c r="A376" s="38">
        <f>IF('Additional Images'!B376 = "", "", IF('Additional Images-WUO_ERR'!A376 = "", "Validated", HYPERLINK("#" &amp; ADDRESS(376, 'Additional Images-WUO_TRK'!A376),_xlfn.TEXTAFTER('Additional Images-WUO_ERR'!A376, ":"))))</f>
        <v/>
      </c>
    </row>
    <row r="377">
      <c r="A377" s="38">
        <f>IF('Additional Images'!B377 = "", "", IF('Additional Images-WUO_ERR'!A377 = "", "Validated", HYPERLINK("#" &amp; ADDRESS(377, 'Additional Images-WUO_TRK'!A377),_xlfn.TEXTAFTER('Additional Images-WUO_ERR'!A377, ":"))))</f>
        <v/>
      </c>
    </row>
    <row r="378">
      <c r="A378" s="38">
        <f>IF('Additional Images'!B378 = "", "", IF('Additional Images-WUO_ERR'!A378 = "", "Validated", HYPERLINK("#" &amp; ADDRESS(378, 'Additional Images-WUO_TRK'!A378),_xlfn.TEXTAFTER('Additional Images-WUO_ERR'!A378, ":"))))</f>
        <v/>
      </c>
    </row>
    <row r="379">
      <c r="A379" s="38">
        <f>IF('Additional Images'!B379 = "", "", IF('Additional Images-WUO_ERR'!A379 = "", "Validated", HYPERLINK("#" &amp; ADDRESS(379, 'Additional Images-WUO_TRK'!A379),_xlfn.TEXTAFTER('Additional Images-WUO_ERR'!A379, ":"))))</f>
        <v/>
      </c>
    </row>
    <row r="380">
      <c r="A380" s="38">
        <f>IF('Additional Images'!B380 = "", "", IF('Additional Images-WUO_ERR'!A380 = "", "Validated", HYPERLINK("#" &amp; ADDRESS(380, 'Additional Images-WUO_TRK'!A380),_xlfn.TEXTAFTER('Additional Images-WUO_ERR'!A380, ":"))))</f>
        <v/>
      </c>
    </row>
    <row r="381">
      <c r="A381" s="38">
        <f>IF('Additional Images'!B381 = "", "", IF('Additional Images-WUO_ERR'!A381 = "", "Validated", HYPERLINK("#" &amp; ADDRESS(381, 'Additional Images-WUO_TRK'!A381),_xlfn.TEXTAFTER('Additional Images-WUO_ERR'!A381, ":"))))</f>
        <v/>
      </c>
    </row>
    <row r="382">
      <c r="A382" s="38">
        <f>IF('Additional Images'!B382 = "", "", IF('Additional Images-WUO_ERR'!A382 = "", "Validated", HYPERLINK("#" &amp; ADDRESS(382, 'Additional Images-WUO_TRK'!A382),_xlfn.TEXTAFTER('Additional Images-WUO_ERR'!A382, ":"))))</f>
        <v/>
      </c>
    </row>
    <row r="383">
      <c r="A383" s="38">
        <f>IF('Additional Images'!B383 = "", "", IF('Additional Images-WUO_ERR'!A383 = "", "Validated", HYPERLINK("#" &amp; ADDRESS(383, 'Additional Images-WUO_TRK'!A383),_xlfn.TEXTAFTER('Additional Images-WUO_ERR'!A383, ":"))))</f>
        <v/>
      </c>
    </row>
    <row r="384">
      <c r="A384" s="38">
        <f>IF('Additional Images'!B384 = "", "", IF('Additional Images-WUO_ERR'!A384 = "", "Validated", HYPERLINK("#" &amp; ADDRESS(384, 'Additional Images-WUO_TRK'!A384),_xlfn.TEXTAFTER('Additional Images-WUO_ERR'!A384, ":"))))</f>
        <v/>
      </c>
    </row>
    <row r="385">
      <c r="A385" s="38">
        <f>IF('Additional Images'!B385 = "", "", IF('Additional Images-WUO_ERR'!A385 = "", "Validated", HYPERLINK("#" &amp; ADDRESS(385, 'Additional Images-WUO_TRK'!A385),_xlfn.TEXTAFTER('Additional Images-WUO_ERR'!A385, ":"))))</f>
        <v/>
      </c>
    </row>
    <row r="386">
      <c r="A386" s="38">
        <f>IF('Additional Images'!B386 = "", "", IF('Additional Images-WUO_ERR'!A386 = "", "Validated", HYPERLINK("#" &amp; ADDRESS(386, 'Additional Images-WUO_TRK'!A386),_xlfn.TEXTAFTER('Additional Images-WUO_ERR'!A386, ":"))))</f>
        <v/>
      </c>
    </row>
    <row r="387">
      <c r="A387" s="38">
        <f>IF('Additional Images'!B387 = "", "", IF('Additional Images-WUO_ERR'!A387 = "", "Validated", HYPERLINK("#" &amp; ADDRESS(387, 'Additional Images-WUO_TRK'!A387),_xlfn.TEXTAFTER('Additional Images-WUO_ERR'!A387, ":"))))</f>
        <v/>
      </c>
    </row>
    <row r="388">
      <c r="A388" s="38">
        <f>IF('Additional Images'!B388 = "", "", IF('Additional Images-WUO_ERR'!A388 = "", "Validated", HYPERLINK("#" &amp; ADDRESS(388, 'Additional Images-WUO_TRK'!A388),_xlfn.TEXTAFTER('Additional Images-WUO_ERR'!A388, ":"))))</f>
        <v/>
      </c>
    </row>
    <row r="389">
      <c r="A389" s="38">
        <f>IF('Additional Images'!B389 = "", "", IF('Additional Images-WUO_ERR'!A389 = "", "Validated", HYPERLINK("#" &amp; ADDRESS(389, 'Additional Images-WUO_TRK'!A389),_xlfn.TEXTAFTER('Additional Images-WUO_ERR'!A389, ":"))))</f>
        <v/>
      </c>
    </row>
    <row r="390">
      <c r="A390" s="38">
        <f>IF('Additional Images'!B390 = "", "", IF('Additional Images-WUO_ERR'!A390 = "", "Validated", HYPERLINK("#" &amp; ADDRESS(390, 'Additional Images-WUO_TRK'!A390),_xlfn.TEXTAFTER('Additional Images-WUO_ERR'!A390, ":"))))</f>
        <v/>
      </c>
    </row>
    <row r="391">
      <c r="A391" s="38">
        <f>IF('Additional Images'!B391 = "", "", IF('Additional Images-WUO_ERR'!A391 = "", "Validated", HYPERLINK("#" &amp; ADDRESS(391, 'Additional Images-WUO_TRK'!A391),_xlfn.TEXTAFTER('Additional Images-WUO_ERR'!A391, ":"))))</f>
        <v/>
      </c>
    </row>
    <row r="392">
      <c r="A392" s="38">
        <f>IF('Additional Images'!B392 = "", "", IF('Additional Images-WUO_ERR'!A392 = "", "Validated", HYPERLINK("#" &amp; ADDRESS(392, 'Additional Images-WUO_TRK'!A392),_xlfn.TEXTAFTER('Additional Images-WUO_ERR'!A392, ":"))))</f>
        <v/>
      </c>
    </row>
    <row r="393">
      <c r="A393" s="38">
        <f>IF('Additional Images'!B393 = "", "", IF('Additional Images-WUO_ERR'!A393 = "", "Validated", HYPERLINK("#" &amp; ADDRESS(393, 'Additional Images-WUO_TRK'!A393),_xlfn.TEXTAFTER('Additional Images-WUO_ERR'!A393, ":"))))</f>
        <v/>
      </c>
    </row>
    <row r="394">
      <c r="A394" s="38">
        <f>IF('Additional Images'!B394 = "", "", IF('Additional Images-WUO_ERR'!A394 = "", "Validated", HYPERLINK("#" &amp; ADDRESS(394, 'Additional Images-WUO_TRK'!A394),_xlfn.TEXTAFTER('Additional Images-WUO_ERR'!A394, ":"))))</f>
        <v/>
      </c>
    </row>
    <row r="395">
      <c r="A395" s="38">
        <f>IF('Additional Images'!B395 = "", "", IF('Additional Images-WUO_ERR'!A395 = "", "Validated", HYPERLINK("#" &amp; ADDRESS(395, 'Additional Images-WUO_TRK'!A395),_xlfn.TEXTAFTER('Additional Images-WUO_ERR'!A395, ":"))))</f>
        <v/>
      </c>
    </row>
    <row r="396">
      <c r="A396" s="38">
        <f>IF('Additional Images'!B396 = "", "", IF('Additional Images-WUO_ERR'!A396 = "", "Validated", HYPERLINK("#" &amp; ADDRESS(396, 'Additional Images-WUO_TRK'!A396),_xlfn.TEXTAFTER('Additional Images-WUO_ERR'!A396, ":"))))</f>
        <v/>
      </c>
    </row>
    <row r="397">
      <c r="A397" s="38">
        <f>IF('Additional Images'!B397 = "", "", IF('Additional Images-WUO_ERR'!A397 = "", "Validated", HYPERLINK("#" &amp; ADDRESS(397, 'Additional Images-WUO_TRK'!A397),_xlfn.TEXTAFTER('Additional Images-WUO_ERR'!A397, ":"))))</f>
        <v/>
      </c>
    </row>
    <row r="398">
      <c r="A398" s="38">
        <f>IF('Additional Images'!B398 = "", "", IF('Additional Images-WUO_ERR'!A398 = "", "Validated", HYPERLINK("#" &amp; ADDRESS(398, 'Additional Images-WUO_TRK'!A398),_xlfn.TEXTAFTER('Additional Images-WUO_ERR'!A398, ":"))))</f>
        <v/>
      </c>
    </row>
    <row r="399">
      <c r="A399" s="38">
        <f>IF('Additional Images'!B399 = "", "", IF('Additional Images-WUO_ERR'!A399 = "", "Validated", HYPERLINK("#" &amp; ADDRESS(399, 'Additional Images-WUO_TRK'!A399),_xlfn.TEXTAFTER('Additional Images-WUO_ERR'!A399, ":"))))</f>
        <v/>
      </c>
    </row>
    <row r="400">
      <c r="A400" s="38">
        <f>IF('Additional Images'!B400 = "", "", IF('Additional Images-WUO_ERR'!A400 = "", "Validated", HYPERLINK("#" &amp; ADDRESS(400, 'Additional Images-WUO_TRK'!A400),_xlfn.TEXTAFTER('Additional Images-WUO_ERR'!A400, ":"))))</f>
        <v/>
      </c>
    </row>
    <row r="401">
      <c r="A401" s="38">
        <f>IF('Additional Images'!B401 = "", "", IF('Additional Images-WUO_ERR'!A401 = "", "Validated", HYPERLINK("#" &amp; ADDRESS(401, 'Additional Images-WUO_TRK'!A401),_xlfn.TEXTAFTER('Additional Images-WUO_ERR'!A401, ":"))))</f>
        <v/>
      </c>
    </row>
    <row r="402">
      <c r="A402" s="38">
        <f>IF('Additional Images'!B402 = "", "", IF('Additional Images-WUO_ERR'!A402 = "", "Validated", HYPERLINK("#" &amp; ADDRESS(402, 'Additional Images-WUO_TRK'!A402),_xlfn.TEXTAFTER('Additional Images-WUO_ERR'!A402, ":"))))</f>
        <v/>
      </c>
    </row>
    <row r="403">
      <c r="A403" s="38">
        <f>IF('Additional Images'!B403 = "", "", IF('Additional Images-WUO_ERR'!A403 = "", "Validated", HYPERLINK("#" &amp; ADDRESS(403, 'Additional Images-WUO_TRK'!A403),_xlfn.TEXTAFTER('Additional Images-WUO_ERR'!A403, ":"))))</f>
        <v/>
      </c>
    </row>
    <row r="404">
      <c r="A404" s="38">
        <f>IF('Additional Images'!B404 = "", "", IF('Additional Images-WUO_ERR'!A404 = "", "Validated", HYPERLINK("#" &amp; ADDRESS(404, 'Additional Images-WUO_TRK'!A404),_xlfn.TEXTAFTER('Additional Images-WUO_ERR'!A404, ":"))))</f>
        <v/>
      </c>
    </row>
    <row r="405">
      <c r="A405" s="38">
        <f>IF('Additional Images'!B405 = "", "", IF('Additional Images-WUO_ERR'!A405 = "", "Validated", HYPERLINK("#" &amp; ADDRESS(405, 'Additional Images-WUO_TRK'!A405),_xlfn.TEXTAFTER('Additional Images-WUO_ERR'!A405, ":"))))</f>
        <v/>
      </c>
    </row>
    <row r="406">
      <c r="A406" s="38">
        <f>IF('Additional Images'!B406 = "", "", IF('Additional Images-WUO_ERR'!A406 = "", "Validated", HYPERLINK("#" &amp; ADDRESS(406, 'Additional Images-WUO_TRK'!A406),_xlfn.TEXTAFTER('Additional Images-WUO_ERR'!A406, ":"))))</f>
        <v/>
      </c>
    </row>
    <row r="407">
      <c r="A407" s="38">
        <f>IF('Additional Images'!B407 = "", "", IF('Additional Images-WUO_ERR'!A407 = "", "Validated", HYPERLINK("#" &amp; ADDRESS(407, 'Additional Images-WUO_TRK'!A407),_xlfn.TEXTAFTER('Additional Images-WUO_ERR'!A407, ":"))))</f>
        <v/>
      </c>
    </row>
    <row r="408">
      <c r="A408" s="38">
        <f>IF('Additional Images'!B408 = "", "", IF('Additional Images-WUO_ERR'!A408 = "", "Validated", HYPERLINK("#" &amp; ADDRESS(408, 'Additional Images-WUO_TRK'!A408),_xlfn.TEXTAFTER('Additional Images-WUO_ERR'!A408, ":"))))</f>
        <v/>
      </c>
    </row>
    <row r="409">
      <c r="A409" s="38">
        <f>IF('Additional Images'!B409 = "", "", IF('Additional Images-WUO_ERR'!A409 = "", "Validated", HYPERLINK("#" &amp; ADDRESS(409, 'Additional Images-WUO_TRK'!A409),_xlfn.TEXTAFTER('Additional Images-WUO_ERR'!A409, ":"))))</f>
        <v/>
      </c>
    </row>
    <row r="410">
      <c r="A410" s="38">
        <f>IF('Additional Images'!B410 = "", "", IF('Additional Images-WUO_ERR'!A410 = "", "Validated", HYPERLINK("#" &amp; ADDRESS(410, 'Additional Images-WUO_TRK'!A410),_xlfn.TEXTAFTER('Additional Images-WUO_ERR'!A410, ":"))))</f>
        <v/>
      </c>
    </row>
    <row r="411">
      <c r="A411" s="38">
        <f>IF('Additional Images'!B411 = "", "", IF('Additional Images-WUO_ERR'!A411 = "", "Validated", HYPERLINK("#" &amp; ADDRESS(411, 'Additional Images-WUO_TRK'!A411),_xlfn.TEXTAFTER('Additional Images-WUO_ERR'!A411, ":"))))</f>
        <v/>
      </c>
    </row>
    <row r="412">
      <c r="A412" s="38">
        <f>IF('Additional Images'!B412 = "", "", IF('Additional Images-WUO_ERR'!A412 = "", "Validated", HYPERLINK("#" &amp; ADDRESS(412, 'Additional Images-WUO_TRK'!A412),_xlfn.TEXTAFTER('Additional Images-WUO_ERR'!A412, ":"))))</f>
        <v/>
      </c>
    </row>
    <row r="413">
      <c r="A413" s="38">
        <f>IF('Additional Images'!B413 = "", "", IF('Additional Images-WUO_ERR'!A413 = "", "Validated", HYPERLINK("#" &amp; ADDRESS(413, 'Additional Images-WUO_TRK'!A413),_xlfn.TEXTAFTER('Additional Images-WUO_ERR'!A413, ":"))))</f>
        <v/>
      </c>
    </row>
    <row r="414">
      <c r="A414" s="38">
        <f>IF('Additional Images'!B414 = "", "", IF('Additional Images-WUO_ERR'!A414 = "", "Validated", HYPERLINK("#" &amp; ADDRESS(414, 'Additional Images-WUO_TRK'!A414),_xlfn.TEXTAFTER('Additional Images-WUO_ERR'!A414, ":"))))</f>
        <v/>
      </c>
    </row>
    <row r="415">
      <c r="A415" s="38">
        <f>IF('Additional Images'!B415 = "", "", IF('Additional Images-WUO_ERR'!A415 = "", "Validated", HYPERLINK("#" &amp; ADDRESS(415, 'Additional Images-WUO_TRK'!A415),_xlfn.TEXTAFTER('Additional Images-WUO_ERR'!A415, ":"))))</f>
        <v/>
      </c>
    </row>
    <row r="416">
      <c r="A416" s="38">
        <f>IF('Additional Images'!B416 = "", "", IF('Additional Images-WUO_ERR'!A416 = "", "Validated", HYPERLINK("#" &amp; ADDRESS(416, 'Additional Images-WUO_TRK'!A416),_xlfn.TEXTAFTER('Additional Images-WUO_ERR'!A416, ":"))))</f>
        <v/>
      </c>
    </row>
    <row r="417">
      <c r="A417" s="38">
        <f>IF('Additional Images'!B417 = "", "", IF('Additional Images-WUO_ERR'!A417 = "", "Validated", HYPERLINK("#" &amp; ADDRESS(417, 'Additional Images-WUO_TRK'!A417),_xlfn.TEXTAFTER('Additional Images-WUO_ERR'!A417, ":"))))</f>
        <v/>
      </c>
    </row>
    <row r="418">
      <c r="A418" s="38">
        <f>IF('Additional Images'!B418 = "", "", IF('Additional Images-WUO_ERR'!A418 = "", "Validated", HYPERLINK("#" &amp; ADDRESS(418, 'Additional Images-WUO_TRK'!A418),_xlfn.TEXTAFTER('Additional Images-WUO_ERR'!A418, ":"))))</f>
        <v/>
      </c>
    </row>
    <row r="419">
      <c r="A419" s="38">
        <f>IF('Additional Images'!B419 = "", "", IF('Additional Images-WUO_ERR'!A419 = "", "Validated", HYPERLINK("#" &amp; ADDRESS(419, 'Additional Images-WUO_TRK'!A419),_xlfn.TEXTAFTER('Additional Images-WUO_ERR'!A419, ":"))))</f>
        <v/>
      </c>
    </row>
    <row r="420">
      <c r="A420" s="38">
        <f>IF('Additional Images'!B420 = "", "", IF('Additional Images-WUO_ERR'!A420 = "", "Validated", HYPERLINK("#" &amp; ADDRESS(420, 'Additional Images-WUO_TRK'!A420),_xlfn.TEXTAFTER('Additional Images-WUO_ERR'!A420, ":"))))</f>
        <v/>
      </c>
    </row>
    <row r="421">
      <c r="A421" s="38">
        <f>IF('Additional Images'!B421 = "", "", IF('Additional Images-WUO_ERR'!A421 = "", "Validated", HYPERLINK("#" &amp; ADDRESS(421, 'Additional Images-WUO_TRK'!A421),_xlfn.TEXTAFTER('Additional Images-WUO_ERR'!A421, ":"))))</f>
        <v/>
      </c>
    </row>
    <row r="422">
      <c r="A422" s="38">
        <f>IF('Additional Images'!B422 = "", "", IF('Additional Images-WUO_ERR'!A422 = "", "Validated", HYPERLINK("#" &amp; ADDRESS(422, 'Additional Images-WUO_TRK'!A422),_xlfn.TEXTAFTER('Additional Images-WUO_ERR'!A422, ":"))))</f>
        <v/>
      </c>
    </row>
    <row r="423">
      <c r="A423" s="38">
        <f>IF('Additional Images'!B423 = "", "", IF('Additional Images-WUO_ERR'!A423 = "", "Validated", HYPERLINK("#" &amp; ADDRESS(423, 'Additional Images-WUO_TRK'!A423),_xlfn.TEXTAFTER('Additional Images-WUO_ERR'!A423, ":"))))</f>
        <v/>
      </c>
    </row>
    <row r="424">
      <c r="A424" s="38">
        <f>IF('Additional Images'!B424 = "", "", IF('Additional Images-WUO_ERR'!A424 = "", "Validated", HYPERLINK("#" &amp; ADDRESS(424, 'Additional Images-WUO_TRK'!A424),_xlfn.TEXTAFTER('Additional Images-WUO_ERR'!A424, ":"))))</f>
        <v/>
      </c>
    </row>
    <row r="425">
      <c r="A425" s="38">
        <f>IF('Additional Images'!B425 = "", "", IF('Additional Images-WUO_ERR'!A425 = "", "Validated", HYPERLINK("#" &amp; ADDRESS(425, 'Additional Images-WUO_TRK'!A425),_xlfn.TEXTAFTER('Additional Images-WUO_ERR'!A425, ":"))))</f>
        <v/>
      </c>
    </row>
    <row r="426">
      <c r="A426" s="38">
        <f>IF('Additional Images'!B426 = "", "", IF('Additional Images-WUO_ERR'!A426 = "", "Validated", HYPERLINK("#" &amp; ADDRESS(426, 'Additional Images-WUO_TRK'!A426),_xlfn.TEXTAFTER('Additional Images-WUO_ERR'!A426, ":"))))</f>
        <v/>
      </c>
    </row>
    <row r="427">
      <c r="A427" s="38">
        <f>IF('Additional Images'!B427 = "", "", IF('Additional Images-WUO_ERR'!A427 = "", "Validated", HYPERLINK("#" &amp; ADDRESS(427, 'Additional Images-WUO_TRK'!A427),_xlfn.TEXTAFTER('Additional Images-WUO_ERR'!A427, ":"))))</f>
        <v/>
      </c>
    </row>
    <row r="428">
      <c r="A428" s="38">
        <f>IF('Additional Images'!B428 = "", "", IF('Additional Images-WUO_ERR'!A428 = "", "Validated", HYPERLINK("#" &amp; ADDRESS(428, 'Additional Images-WUO_TRK'!A428),_xlfn.TEXTAFTER('Additional Images-WUO_ERR'!A428, ":"))))</f>
        <v/>
      </c>
    </row>
    <row r="429">
      <c r="A429" s="38">
        <f>IF('Additional Images'!B429 = "", "", IF('Additional Images-WUO_ERR'!A429 = "", "Validated", HYPERLINK("#" &amp; ADDRESS(429, 'Additional Images-WUO_TRK'!A429),_xlfn.TEXTAFTER('Additional Images-WUO_ERR'!A429, ":"))))</f>
        <v/>
      </c>
    </row>
    <row r="430">
      <c r="A430" s="38">
        <f>IF('Additional Images'!B430 = "", "", IF('Additional Images-WUO_ERR'!A430 = "", "Validated", HYPERLINK("#" &amp; ADDRESS(430, 'Additional Images-WUO_TRK'!A430),_xlfn.TEXTAFTER('Additional Images-WUO_ERR'!A430, ":"))))</f>
        <v/>
      </c>
    </row>
    <row r="431">
      <c r="A431" s="38">
        <f>IF('Additional Images'!B431 = "", "", IF('Additional Images-WUO_ERR'!A431 = "", "Validated", HYPERLINK("#" &amp; ADDRESS(431, 'Additional Images-WUO_TRK'!A431),_xlfn.TEXTAFTER('Additional Images-WUO_ERR'!A431, ":"))))</f>
        <v/>
      </c>
    </row>
    <row r="432">
      <c r="A432" s="38">
        <f>IF('Additional Images'!B432 = "", "", IF('Additional Images-WUO_ERR'!A432 = "", "Validated", HYPERLINK("#" &amp; ADDRESS(432, 'Additional Images-WUO_TRK'!A432),_xlfn.TEXTAFTER('Additional Images-WUO_ERR'!A432, ":"))))</f>
        <v/>
      </c>
    </row>
    <row r="433">
      <c r="A433" s="38">
        <f>IF('Additional Images'!B433 = "", "", IF('Additional Images-WUO_ERR'!A433 = "", "Validated", HYPERLINK("#" &amp; ADDRESS(433, 'Additional Images-WUO_TRK'!A433),_xlfn.TEXTAFTER('Additional Images-WUO_ERR'!A433, ":"))))</f>
        <v/>
      </c>
    </row>
    <row r="434">
      <c r="A434" s="38">
        <f>IF('Additional Images'!B434 = "", "", IF('Additional Images-WUO_ERR'!A434 = "", "Validated", HYPERLINK("#" &amp; ADDRESS(434, 'Additional Images-WUO_TRK'!A434),_xlfn.TEXTAFTER('Additional Images-WUO_ERR'!A434, ":"))))</f>
        <v/>
      </c>
    </row>
    <row r="435">
      <c r="A435" s="38">
        <f>IF('Additional Images'!B435 = "", "", IF('Additional Images-WUO_ERR'!A435 = "", "Validated", HYPERLINK("#" &amp; ADDRESS(435, 'Additional Images-WUO_TRK'!A435),_xlfn.TEXTAFTER('Additional Images-WUO_ERR'!A435, ":"))))</f>
        <v/>
      </c>
    </row>
    <row r="436">
      <c r="A436" s="38">
        <f>IF('Additional Images'!B436 = "", "", IF('Additional Images-WUO_ERR'!A436 = "", "Validated", HYPERLINK("#" &amp; ADDRESS(436, 'Additional Images-WUO_TRK'!A436),_xlfn.TEXTAFTER('Additional Images-WUO_ERR'!A436, ":"))))</f>
        <v/>
      </c>
    </row>
    <row r="437">
      <c r="A437" s="38">
        <f>IF('Additional Images'!B437 = "", "", IF('Additional Images-WUO_ERR'!A437 = "", "Validated", HYPERLINK("#" &amp; ADDRESS(437, 'Additional Images-WUO_TRK'!A437),_xlfn.TEXTAFTER('Additional Images-WUO_ERR'!A437, ":"))))</f>
        <v/>
      </c>
    </row>
    <row r="438">
      <c r="A438" s="38">
        <f>IF('Additional Images'!B438 = "", "", IF('Additional Images-WUO_ERR'!A438 = "", "Validated", HYPERLINK("#" &amp; ADDRESS(438, 'Additional Images-WUO_TRK'!A438),_xlfn.TEXTAFTER('Additional Images-WUO_ERR'!A438, ":"))))</f>
        <v/>
      </c>
    </row>
    <row r="439">
      <c r="A439" s="38">
        <f>IF('Additional Images'!B439 = "", "", IF('Additional Images-WUO_ERR'!A439 = "", "Validated", HYPERLINK("#" &amp; ADDRESS(439, 'Additional Images-WUO_TRK'!A439),_xlfn.TEXTAFTER('Additional Images-WUO_ERR'!A439, ":"))))</f>
        <v/>
      </c>
    </row>
    <row r="440">
      <c r="A440" s="38">
        <f>IF('Additional Images'!B440 = "", "", IF('Additional Images-WUO_ERR'!A440 = "", "Validated", HYPERLINK("#" &amp; ADDRESS(440, 'Additional Images-WUO_TRK'!A440),_xlfn.TEXTAFTER('Additional Images-WUO_ERR'!A440, ":"))))</f>
        <v/>
      </c>
    </row>
    <row r="441">
      <c r="A441" s="38">
        <f>IF('Additional Images'!B441 = "", "", IF('Additional Images-WUO_ERR'!A441 = "", "Validated", HYPERLINK("#" &amp; ADDRESS(441, 'Additional Images-WUO_TRK'!A441),_xlfn.TEXTAFTER('Additional Images-WUO_ERR'!A441, ":"))))</f>
        <v/>
      </c>
    </row>
    <row r="442">
      <c r="A442" s="38">
        <f>IF('Additional Images'!B442 = "", "", IF('Additional Images-WUO_ERR'!A442 = "", "Validated", HYPERLINK("#" &amp; ADDRESS(442, 'Additional Images-WUO_TRK'!A442),_xlfn.TEXTAFTER('Additional Images-WUO_ERR'!A442, ":"))))</f>
        <v/>
      </c>
    </row>
    <row r="443">
      <c r="A443" s="38">
        <f>IF('Additional Images'!B443 = "", "", IF('Additional Images-WUO_ERR'!A443 = "", "Validated", HYPERLINK("#" &amp; ADDRESS(443, 'Additional Images-WUO_TRK'!A443),_xlfn.TEXTAFTER('Additional Images-WUO_ERR'!A443, ":"))))</f>
        <v/>
      </c>
    </row>
    <row r="444">
      <c r="A444" s="38">
        <f>IF('Additional Images'!B444 = "", "", IF('Additional Images-WUO_ERR'!A444 = "", "Validated", HYPERLINK("#" &amp; ADDRESS(444, 'Additional Images-WUO_TRK'!A444),_xlfn.TEXTAFTER('Additional Images-WUO_ERR'!A444, ":"))))</f>
        <v/>
      </c>
    </row>
    <row r="445">
      <c r="A445" s="38">
        <f>IF('Additional Images'!B445 = "", "", IF('Additional Images-WUO_ERR'!A445 = "", "Validated", HYPERLINK("#" &amp; ADDRESS(445, 'Additional Images-WUO_TRK'!A445),_xlfn.TEXTAFTER('Additional Images-WUO_ERR'!A445, ":"))))</f>
        <v/>
      </c>
    </row>
    <row r="446">
      <c r="A446" s="38">
        <f>IF('Additional Images'!B446 = "", "", IF('Additional Images-WUO_ERR'!A446 = "", "Validated", HYPERLINK("#" &amp; ADDRESS(446, 'Additional Images-WUO_TRK'!A446),_xlfn.TEXTAFTER('Additional Images-WUO_ERR'!A446, ":"))))</f>
        <v/>
      </c>
    </row>
    <row r="447">
      <c r="A447" s="38">
        <f>IF('Additional Images'!B447 = "", "", IF('Additional Images-WUO_ERR'!A447 = "", "Validated", HYPERLINK("#" &amp; ADDRESS(447, 'Additional Images-WUO_TRK'!A447),_xlfn.TEXTAFTER('Additional Images-WUO_ERR'!A447, ":"))))</f>
        <v/>
      </c>
    </row>
    <row r="448">
      <c r="A448" s="38">
        <f>IF('Additional Images'!B448 = "", "", IF('Additional Images-WUO_ERR'!A448 = "", "Validated", HYPERLINK("#" &amp; ADDRESS(448, 'Additional Images-WUO_TRK'!A448),_xlfn.TEXTAFTER('Additional Images-WUO_ERR'!A448, ":"))))</f>
        <v/>
      </c>
    </row>
    <row r="449">
      <c r="A449" s="38">
        <f>IF('Additional Images'!B449 = "", "", IF('Additional Images-WUO_ERR'!A449 = "", "Validated", HYPERLINK("#" &amp; ADDRESS(449, 'Additional Images-WUO_TRK'!A449),_xlfn.TEXTAFTER('Additional Images-WUO_ERR'!A449, ":"))))</f>
        <v/>
      </c>
    </row>
    <row r="450">
      <c r="A450" s="38">
        <f>IF('Additional Images'!B450 = "", "", IF('Additional Images-WUO_ERR'!A450 = "", "Validated", HYPERLINK("#" &amp; ADDRESS(450, 'Additional Images-WUO_TRK'!A450),_xlfn.TEXTAFTER('Additional Images-WUO_ERR'!A450, ":"))))</f>
        <v/>
      </c>
    </row>
    <row r="451">
      <c r="A451" s="38">
        <f>IF('Additional Images'!B451 = "", "", IF('Additional Images-WUO_ERR'!A451 = "", "Validated", HYPERLINK("#" &amp; ADDRESS(451, 'Additional Images-WUO_TRK'!A451),_xlfn.TEXTAFTER('Additional Images-WUO_ERR'!A451, ":"))))</f>
        <v/>
      </c>
    </row>
    <row r="452">
      <c r="A452" s="38">
        <f>IF('Additional Images'!B452 = "", "", IF('Additional Images-WUO_ERR'!A452 = "", "Validated", HYPERLINK("#" &amp; ADDRESS(452, 'Additional Images-WUO_TRK'!A452),_xlfn.TEXTAFTER('Additional Images-WUO_ERR'!A452, ":"))))</f>
        <v/>
      </c>
    </row>
    <row r="453">
      <c r="A453" s="38">
        <f>IF('Additional Images'!B453 = "", "", IF('Additional Images-WUO_ERR'!A453 = "", "Validated", HYPERLINK("#" &amp; ADDRESS(453, 'Additional Images-WUO_TRK'!A453),_xlfn.TEXTAFTER('Additional Images-WUO_ERR'!A453, ":"))))</f>
        <v/>
      </c>
    </row>
    <row r="454">
      <c r="A454" s="38">
        <f>IF('Additional Images'!B454 = "", "", IF('Additional Images-WUO_ERR'!A454 = "", "Validated", HYPERLINK("#" &amp; ADDRESS(454, 'Additional Images-WUO_TRK'!A454),_xlfn.TEXTAFTER('Additional Images-WUO_ERR'!A454, ":"))))</f>
        <v/>
      </c>
    </row>
    <row r="455">
      <c r="A455" s="38">
        <f>IF('Additional Images'!B455 = "", "", IF('Additional Images-WUO_ERR'!A455 = "", "Validated", HYPERLINK("#" &amp; ADDRESS(455, 'Additional Images-WUO_TRK'!A455),_xlfn.TEXTAFTER('Additional Images-WUO_ERR'!A455, ":"))))</f>
        <v/>
      </c>
    </row>
    <row r="456">
      <c r="A456" s="38">
        <f>IF('Additional Images'!B456 = "", "", IF('Additional Images-WUO_ERR'!A456 = "", "Validated", HYPERLINK("#" &amp; ADDRESS(456, 'Additional Images-WUO_TRK'!A456),_xlfn.TEXTAFTER('Additional Images-WUO_ERR'!A456, ":"))))</f>
        <v/>
      </c>
    </row>
    <row r="457">
      <c r="A457" s="38">
        <f>IF('Additional Images'!B457 = "", "", IF('Additional Images-WUO_ERR'!A457 = "", "Validated", HYPERLINK("#" &amp; ADDRESS(457, 'Additional Images-WUO_TRK'!A457),_xlfn.TEXTAFTER('Additional Images-WUO_ERR'!A457, ":"))))</f>
        <v/>
      </c>
    </row>
    <row r="458">
      <c r="A458" s="38">
        <f>IF('Additional Images'!B458 = "", "", IF('Additional Images-WUO_ERR'!A458 = "", "Validated", HYPERLINK("#" &amp; ADDRESS(458, 'Additional Images-WUO_TRK'!A458),_xlfn.TEXTAFTER('Additional Images-WUO_ERR'!A458, ":"))))</f>
        <v/>
      </c>
    </row>
    <row r="459">
      <c r="A459" s="38">
        <f>IF('Additional Images'!B459 = "", "", IF('Additional Images-WUO_ERR'!A459 = "", "Validated", HYPERLINK("#" &amp; ADDRESS(459, 'Additional Images-WUO_TRK'!A459),_xlfn.TEXTAFTER('Additional Images-WUO_ERR'!A459, ":"))))</f>
        <v/>
      </c>
    </row>
    <row r="460">
      <c r="A460" s="38">
        <f>IF('Additional Images'!B460 = "", "", IF('Additional Images-WUO_ERR'!A460 = "", "Validated", HYPERLINK("#" &amp; ADDRESS(460, 'Additional Images-WUO_TRK'!A460),_xlfn.TEXTAFTER('Additional Images-WUO_ERR'!A460, ":"))))</f>
        <v/>
      </c>
    </row>
    <row r="461">
      <c r="A461" s="38">
        <f>IF('Additional Images'!B461 = "", "", IF('Additional Images-WUO_ERR'!A461 = "", "Validated", HYPERLINK("#" &amp; ADDRESS(461, 'Additional Images-WUO_TRK'!A461),_xlfn.TEXTAFTER('Additional Images-WUO_ERR'!A461, ":"))))</f>
        <v/>
      </c>
    </row>
    <row r="462">
      <c r="A462" s="38">
        <f>IF('Additional Images'!B462 = "", "", IF('Additional Images-WUO_ERR'!A462 = "", "Validated", HYPERLINK("#" &amp; ADDRESS(462, 'Additional Images-WUO_TRK'!A462),_xlfn.TEXTAFTER('Additional Images-WUO_ERR'!A462, ":"))))</f>
        <v/>
      </c>
    </row>
    <row r="463">
      <c r="A463" s="38">
        <f>IF('Additional Images'!B463 = "", "", IF('Additional Images-WUO_ERR'!A463 = "", "Validated", HYPERLINK("#" &amp; ADDRESS(463, 'Additional Images-WUO_TRK'!A463),_xlfn.TEXTAFTER('Additional Images-WUO_ERR'!A463, ":"))))</f>
        <v/>
      </c>
    </row>
    <row r="464">
      <c r="A464" s="38">
        <f>IF('Additional Images'!B464 = "", "", IF('Additional Images-WUO_ERR'!A464 = "", "Validated", HYPERLINK("#" &amp; ADDRESS(464, 'Additional Images-WUO_TRK'!A464),_xlfn.TEXTAFTER('Additional Images-WUO_ERR'!A464, ":"))))</f>
        <v/>
      </c>
    </row>
    <row r="465">
      <c r="A465" s="38">
        <f>IF('Additional Images'!B465 = "", "", IF('Additional Images-WUO_ERR'!A465 = "", "Validated", HYPERLINK("#" &amp; ADDRESS(465, 'Additional Images-WUO_TRK'!A465),_xlfn.TEXTAFTER('Additional Images-WUO_ERR'!A465, ":"))))</f>
        <v/>
      </c>
    </row>
    <row r="466">
      <c r="A466" s="38">
        <f>IF('Additional Images'!B466 = "", "", IF('Additional Images-WUO_ERR'!A466 = "", "Validated", HYPERLINK("#" &amp; ADDRESS(466, 'Additional Images-WUO_TRK'!A466),_xlfn.TEXTAFTER('Additional Images-WUO_ERR'!A466, ":"))))</f>
        <v/>
      </c>
    </row>
    <row r="467">
      <c r="A467" s="38">
        <f>IF('Additional Images'!B467 = "", "", IF('Additional Images-WUO_ERR'!A467 = "", "Validated", HYPERLINK("#" &amp; ADDRESS(467, 'Additional Images-WUO_TRK'!A467),_xlfn.TEXTAFTER('Additional Images-WUO_ERR'!A467, ":"))))</f>
        <v/>
      </c>
    </row>
    <row r="468">
      <c r="A468" s="38">
        <f>IF('Additional Images'!B468 = "", "", IF('Additional Images-WUO_ERR'!A468 = "", "Validated", HYPERLINK("#" &amp; ADDRESS(468, 'Additional Images-WUO_TRK'!A468),_xlfn.TEXTAFTER('Additional Images-WUO_ERR'!A468, ":"))))</f>
        <v/>
      </c>
    </row>
    <row r="469">
      <c r="A469" s="38">
        <f>IF('Additional Images'!B469 = "", "", IF('Additional Images-WUO_ERR'!A469 = "", "Validated", HYPERLINK("#" &amp; ADDRESS(469, 'Additional Images-WUO_TRK'!A469),_xlfn.TEXTAFTER('Additional Images-WUO_ERR'!A469, ":"))))</f>
        <v/>
      </c>
    </row>
    <row r="470">
      <c r="A470" s="38">
        <f>IF('Additional Images'!B470 = "", "", IF('Additional Images-WUO_ERR'!A470 = "", "Validated", HYPERLINK("#" &amp; ADDRESS(470, 'Additional Images-WUO_TRK'!A470),_xlfn.TEXTAFTER('Additional Images-WUO_ERR'!A470, ":"))))</f>
        <v/>
      </c>
    </row>
    <row r="471">
      <c r="A471" s="38">
        <f>IF('Additional Images'!B471 = "", "", IF('Additional Images-WUO_ERR'!A471 = "", "Validated", HYPERLINK("#" &amp; ADDRESS(471, 'Additional Images-WUO_TRK'!A471),_xlfn.TEXTAFTER('Additional Images-WUO_ERR'!A471, ":"))))</f>
        <v/>
      </c>
    </row>
    <row r="472">
      <c r="A472" s="38">
        <f>IF('Additional Images'!B472 = "", "", IF('Additional Images-WUO_ERR'!A472 = "", "Validated", HYPERLINK("#" &amp; ADDRESS(472, 'Additional Images-WUO_TRK'!A472),_xlfn.TEXTAFTER('Additional Images-WUO_ERR'!A472, ":"))))</f>
        <v/>
      </c>
    </row>
    <row r="473">
      <c r="A473" s="38">
        <f>IF('Additional Images'!B473 = "", "", IF('Additional Images-WUO_ERR'!A473 = "", "Validated", HYPERLINK("#" &amp; ADDRESS(473, 'Additional Images-WUO_TRK'!A473),_xlfn.TEXTAFTER('Additional Images-WUO_ERR'!A473, ":"))))</f>
        <v/>
      </c>
    </row>
    <row r="474">
      <c r="A474" s="38">
        <f>IF('Additional Images'!B474 = "", "", IF('Additional Images-WUO_ERR'!A474 = "", "Validated", HYPERLINK("#" &amp; ADDRESS(474, 'Additional Images-WUO_TRK'!A474),_xlfn.TEXTAFTER('Additional Images-WUO_ERR'!A474, ":"))))</f>
        <v/>
      </c>
    </row>
    <row r="475">
      <c r="A475" s="38">
        <f>IF('Additional Images'!B475 = "", "", IF('Additional Images-WUO_ERR'!A475 = "", "Validated", HYPERLINK("#" &amp; ADDRESS(475, 'Additional Images-WUO_TRK'!A475),_xlfn.TEXTAFTER('Additional Images-WUO_ERR'!A475, ":"))))</f>
        <v/>
      </c>
    </row>
    <row r="476">
      <c r="A476" s="38">
        <f>IF('Additional Images'!B476 = "", "", IF('Additional Images-WUO_ERR'!A476 = "", "Validated", HYPERLINK("#" &amp; ADDRESS(476, 'Additional Images-WUO_TRK'!A476),_xlfn.TEXTAFTER('Additional Images-WUO_ERR'!A476, ":"))))</f>
        <v/>
      </c>
    </row>
    <row r="477">
      <c r="A477" s="38">
        <f>IF('Additional Images'!B477 = "", "", IF('Additional Images-WUO_ERR'!A477 = "", "Validated", HYPERLINK("#" &amp; ADDRESS(477, 'Additional Images-WUO_TRK'!A477),_xlfn.TEXTAFTER('Additional Images-WUO_ERR'!A477, ":"))))</f>
        <v/>
      </c>
    </row>
    <row r="478">
      <c r="A478" s="38">
        <f>IF('Additional Images'!B478 = "", "", IF('Additional Images-WUO_ERR'!A478 = "", "Validated", HYPERLINK("#" &amp; ADDRESS(478, 'Additional Images-WUO_TRK'!A478),_xlfn.TEXTAFTER('Additional Images-WUO_ERR'!A478, ":"))))</f>
        <v/>
      </c>
    </row>
    <row r="479">
      <c r="A479" s="38">
        <f>IF('Additional Images'!B479 = "", "", IF('Additional Images-WUO_ERR'!A479 = "", "Validated", HYPERLINK("#" &amp; ADDRESS(479, 'Additional Images-WUO_TRK'!A479),_xlfn.TEXTAFTER('Additional Images-WUO_ERR'!A479, ":"))))</f>
        <v/>
      </c>
    </row>
    <row r="480">
      <c r="A480" s="38">
        <f>IF('Additional Images'!B480 = "", "", IF('Additional Images-WUO_ERR'!A480 = "", "Validated", HYPERLINK("#" &amp; ADDRESS(480, 'Additional Images-WUO_TRK'!A480),_xlfn.TEXTAFTER('Additional Images-WUO_ERR'!A480, ":"))))</f>
        <v/>
      </c>
    </row>
    <row r="481">
      <c r="A481" s="38">
        <f>IF('Additional Images'!B481 = "", "", IF('Additional Images-WUO_ERR'!A481 = "", "Validated", HYPERLINK("#" &amp; ADDRESS(481, 'Additional Images-WUO_TRK'!A481),_xlfn.TEXTAFTER('Additional Images-WUO_ERR'!A481, ":"))))</f>
        <v/>
      </c>
    </row>
    <row r="482">
      <c r="A482" s="38">
        <f>IF('Additional Images'!B482 = "", "", IF('Additional Images-WUO_ERR'!A482 = "", "Validated", HYPERLINK("#" &amp; ADDRESS(482, 'Additional Images-WUO_TRK'!A482),_xlfn.TEXTAFTER('Additional Images-WUO_ERR'!A482, ":"))))</f>
        <v/>
      </c>
    </row>
    <row r="483">
      <c r="A483" s="38">
        <f>IF('Additional Images'!B483 = "", "", IF('Additional Images-WUO_ERR'!A483 = "", "Validated", HYPERLINK("#" &amp; ADDRESS(483, 'Additional Images-WUO_TRK'!A483),_xlfn.TEXTAFTER('Additional Images-WUO_ERR'!A483, ":"))))</f>
        <v/>
      </c>
    </row>
    <row r="484">
      <c r="A484" s="38">
        <f>IF('Additional Images'!B484 = "", "", IF('Additional Images-WUO_ERR'!A484 = "", "Validated", HYPERLINK("#" &amp; ADDRESS(484, 'Additional Images-WUO_TRK'!A484),_xlfn.TEXTAFTER('Additional Images-WUO_ERR'!A484, ":"))))</f>
        <v/>
      </c>
    </row>
    <row r="485">
      <c r="A485" s="38">
        <f>IF('Additional Images'!B485 = "", "", IF('Additional Images-WUO_ERR'!A485 = "", "Validated", HYPERLINK("#" &amp; ADDRESS(485, 'Additional Images-WUO_TRK'!A485),_xlfn.TEXTAFTER('Additional Images-WUO_ERR'!A485, ":"))))</f>
        <v/>
      </c>
    </row>
    <row r="486">
      <c r="A486" s="38">
        <f>IF('Additional Images'!B486 = "", "", IF('Additional Images-WUO_ERR'!A486 = "", "Validated", HYPERLINK("#" &amp; ADDRESS(486, 'Additional Images-WUO_TRK'!A486),_xlfn.TEXTAFTER('Additional Images-WUO_ERR'!A486, ":"))))</f>
        <v/>
      </c>
    </row>
    <row r="487">
      <c r="A487" s="38">
        <f>IF('Additional Images'!B487 = "", "", IF('Additional Images-WUO_ERR'!A487 = "", "Validated", HYPERLINK("#" &amp; ADDRESS(487, 'Additional Images-WUO_TRK'!A487),_xlfn.TEXTAFTER('Additional Images-WUO_ERR'!A487, ":"))))</f>
        <v/>
      </c>
    </row>
    <row r="488">
      <c r="A488" s="38">
        <f>IF('Additional Images'!B488 = "", "", IF('Additional Images-WUO_ERR'!A488 = "", "Validated", HYPERLINK("#" &amp; ADDRESS(488, 'Additional Images-WUO_TRK'!A488),_xlfn.TEXTAFTER('Additional Images-WUO_ERR'!A488, ":"))))</f>
        <v/>
      </c>
    </row>
    <row r="489">
      <c r="A489" s="38">
        <f>IF('Additional Images'!B489 = "", "", IF('Additional Images-WUO_ERR'!A489 = "", "Validated", HYPERLINK("#" &amp; ADDRESS(489, 'Additional Images-WUO_TRK'!A489),_xlfn.TEXTAFTER('Additional Images-WUO_ERR'!A489, ":"))))</f>
        <v/>
      </c>
    </row>
    <row r="490">
      <c r="A490" s="38">
        <f>IF('Additional Images'!B490 = "", "", IF('Additional Images-WUO_ERR'!A490 = "", "Validated", HYPERLINK("#" &amp; ADDRESS(490, 'Additional Images-WUO_TRK'!A490),_xlfn.TEXTAFTER('Additional Images-WUO_ERR'!A490, ":"))))</f>
        <v/>
      </c>
    </row>
    <row r="491">
      <c r="A491" s="38">
        <f>IF('Additional Images'!B491 = "", "", IF('Additional Images-WUO_ERR'!A491 = "", "Validated", HYPERLINK("#" &amp; ADDRESS(491, 'Additional Images-WUO_TRK'!A491),_xlfn.TEXTAFTER('Additional Images-WUO_ERR'!A491, ":"))))</f>
        <v/>
      </c>
    </row>
    <row r="492">
      <c r="A492" s="38">
        <f>IF('Additional Images'!B492 = "", "", IF('Additional Images-WUO_ERR'!A492 = "", "Validated", HYPERLINK("#" &amp; ADDRESS(492, 'Additional Images-WUO_TRK'!A492),_xlfn.TEXTAFTER('Additional Images-WUO_ERR'!A492, ":"))))</f>
        <v/>
      </c>
    </row>
    <row r="493">
      <c r="A493" s="38">
        <f>IF('Additional Images'!B493 = "", "", IF('Additional Images-WUO_ERR'!A493 = "", "Validated", HYPERLINK("#" &amp; ADDRESS(493, 'Additional Images-WUO_TRK'!A493),_xlfn.TEXTAFTER('Additional Images-WUO_ERR'!A493, ":"))))</f>
        <v/>
      </c>
    </row>
    <row r="494">
      <c r="A494" s="38">
        <f>IF('Additional Images'!B494 = "", "", IF('Additional Images-WUO_ERR'!A494 = "", "Validated", HYPERLINK("#" &amp; ADDRESS(494, 'Additional Images-WUO_TRK'!A494),_xlfn.TEXTAFTER('Additional Images-WUO_ERR'!A494, ":"))))</f>
        <v/>
      </c>
    </row>
    <row r="495">
      <c r="A495" s="38">
        <f>IF('Additional Images'!B495 = "", "", IF('Additional Images-WUO_ERR'!A495 = "", "Validated", HYPERLINK("#" &amp; ADDRESS(495, 'Additional Images-WUO_TRK'!A495),_xlfn.TEXTAFTER('Additional Images-WUO_ERR'!A495, ":"))))</f>
        <v/>
      </c>
    </row>
    <row r="496">
      <c r="A496" s="38">
        <f>IF('Additional Images'!B496 = "", "", IF('Additional Images-WUO_ERR'!A496 = "", "Validated", HYPERLINK("#" &amp; ADDRESS(496, 'Additional Images-WUO_TRK'!A496),_xlfn.TEXTAFTER('Additional Images-WUO_ERR'!A496, ":"))))</f>
        <v/>
      </c>
    </row>
    <row r="497">
      <c r="A497" s="38">
        <f>IF('Additional Images'!B497 = "", "", IF('Additional Images-WUO_ERR'!A497 = "", "Validated", HYPERLINK("#" &amp; ADDRESS(497, 'Additional Images-WUO_TRK'!A497),_xlfn.TEXTAFTER('Additional Images-WUO_ERR'!A497, ":"))))</f>
        <v/>
      </c>
    </row>
    <row r="498">
      <c r="A498" s="38">
        <f>IF('Additional Images'!B498 = "", "", IF('Additional Images-WUO_ERR'!A498 = "", "Validated", HYPERLINK("#" &amp; ADDRESS(498, 'Additional Images-WUO_TRK'!A498),_xlfn.TEXTAFTER('Additional Images-WUO_ERR'!A498, ":"))))</f>
        <v/>
      </c>
    </row>
    <row r="499">
      <c r="A499" s="38">
        <f>IF('Additional Images'!B499 = "", "", IF('Additional Images-WUO_ERR'!A499 = "", "Validated", HYPERLINK("#" &amp; ADDRESS(499, 'Additional Images-WUO_TRK'!A499),_xlfn.TEXTAFTER('Additional Images-WUO_ERR'!A499, ":"))))</f>
        <v/>
      </c>
    </row>
    <row r="500">
      <c r="A500" s="38">
        <f>IF('Additional Images'!B500 = "", "", IF('Additional Images-WUO_ERR'!A500 = "", "Validated", HYPERLINK("#" &amp; ADDRESS(500, 'Additional Images-WUO_TRK'!A500),_xlfn.TEXTAFTER('Additional Images-WUO_ERR'!A500, ":"))))</f>
        <v/>
      </c>
    </row>
    <row r="501">
      <c r="A501" s="38">
        <f>IF('Additional Images'!B501 = "", "", IF('Additional Images-WUO_ERR'!A501 = "", "Validated", HYPERLINK("#" &amp; ADDRESS(501, 'Additional Images-WUO_TRK'!A501),_xlfn.TEXTAFTER('Additional Images-WUO_ERR'!A501, ":"))))</f>
        <v/>
      </c>
    </row>
    <row r="502">
      <c r="A502" s="38">
        <f>IF('Additional Images'!B502 = "", "", IF('Additional Images-WUO_ERR'!A502 = "", "Validated", HYPERLINK("#" &amp; ADDRESS(502, 'Additional Images-WUO_TRK'!A502),_xlfn.TEXTAFTER('Additional Images-WUO_ERR'!A502, ":"))))</f>
        <v/>
      </c>
    </row>
    <row r="503">
      <c r="A503" s="38">
        <f>IF('Additional Images'!B503 = "", "", IF('Additional Images-WUO_ERR'!A503 = "", "Validated", HYPERLINK("#" &amp; ADDRESS(503, 'Additional Images-WUO_TRK'!A503),_xlfn.TEXTAFTER('Additional Images-WUO_ERR'!A503, ":"))))</f>
        <v/>
      </c>
    </row>
    <row r="504">
      <c r="A504" s="38">
        <f>IF('Additional Images'!B504 = "", "", IF('Additional Images-WUO_ERR'!A504 = "", "Validated", HYPERLINK("#" &amp; ADDRESS(504, 'Additional Images-WUO_TRK'!A504),_xlfn.TEXTAFTER('Additional Images-WUO_ERR'!A504, ":"))))</f>
        <v/>
      </c>
    </row>
    <row r="505">
      <c r="A505" s="38">
        <f>IF('Additional Images'!B505 = "", "", IF('Additional Images-WUO_ERR'!A505 = "", "Validated", HYPERLINK("#" &amp; ADDRESS(505, 'Additional Images-WUO_TRK'!A505),_xlfn.TEXTAFTER('Additional Images-WUO_ERR'!A505, ":"))))</f>
        <v/>
      </c>
    </row>
    <row r="506">
      <c r="A506" s="38">
        <f>IF('Additional Images'!B506 = "", "", IF('Additional Images-WUO_ERR'!A506 = "", "Validated", HYPERLINK("#" &amp; ADDRESS(506, 'Additional Images-WUO_TRK'!A506),_xlfn.TEXTAFTER('Additional Images-WUO_ERR'!A506, ":"))))</f>
        <v/>
      </c>
    </row>
    <row r="507">
      <c r="A507" s="38">
        <f>IF('Additional Images'!B507 = "", "", IF('Additional Images-WUO_ERR'!A507 = "", "Validated", HYPERLINK("#" &amp; ADDRESS(507, 'Additional Images-WUO_TRK'!A507),_xlfn.TEXTAFTER('Additional Images-WUO_ERR'!A507, ":"))))</f>
        <v/>
      </c>
    </row>
  </sheetData>
  <sheetProtection selectLockedCells="0" selectUnlockedCells="0" sheet="1" objects="1" insertRows="1" insertHyperlinks="1" autoFilter="1" scenarios="1" formatColumns="0" deleteColumns="1" insertColumns="1" pivotTables="1" deleteRows="1" formatCells="1" formatRows="0" sort="1" password="84FB"/>
  <conditionalFormatting sqref="A7:A50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50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dataValidations count="1">
    <dataValidation sqref="C7:C250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media::imageValue</t>
        </is>
      </c>
    </row>
    <row r="3">
      <c r="B3" s="31" t="inlineStr">
        <is>
          <t>Required</t>
        </is>
      </c>
      <c r="C3" s="31" t="inlineStr">
        <is>
          <t>Additional</t>
        </is>
      </c>
    </row>
    <row r="4" ht="50" customHeight="1">
      <c r="B4" s="19" t="inlineStr">
        <is>
          <t>Supplier Part Number</t>
        </is>
      </c>
      <c r="C4" s="19" t="inlineStr">
        <is>
          <t>Image File Name or URL</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4" t="inlineStr">
        <is>
          <t>Text</t>
        </is>
      </c>
      <c r="C6" s="34" t="inlineStr">
        <is>
          <t>Text</t>
        </is>
      </c>
    </row>
    <row r="7">
      <c r="A7">
        <f t="array" ref="A7">_xlfn.BYROW(B7:D507,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Images'!B7:B507, 'Additional Images'!B7:B507,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Images'!B7:B507, 'Additional Images'!C7:C507,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media::imageValue</t>
        </is>
      </c>
    </row>
    <row r="3">
      <c r="B3" s="31" t="inlineStr">
        <is>
          <t>Required</t>
        </is>
      </c>
      <c r="C3" s="31" t="inlineStr">
        <is>
          <t>Additional</t>
        </is>
      </c>
    </row>
    <row r="4" ht="50" customHeight="1">
      <c r="B4" s="19" t="inlineStr">
        <is>
          <t>Supplier Part Number</t>
        </is>
      </c>
      <c r="C4" s="19" t="inlineStr">
        <is>
          <t>Image File Name or URL</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4" t="inlineStr">
        <is>
          <t>Text</t>
        </is>
      </c>
      <c r="C6" s="34" t="inlineStr">
        <is>
          <t>Text</t>
        </is>
      </c>
    </row>
    <row r="7">
      <c r="A7">
        <f t="array" ref="A7">_xlfn.BYROW(B7:D507, _xlfn.LAMBDA(_xlpm.r, _xlfn.LET(_xlpm.high_priority_idx, IFERROR(MATCH(TRUE, (_xlpm.r = "Error") + (_xlpm.r = "Required") &gt; 0, 0), 0), IF(_xlpm.high_priority_idx &gt; 0, _xlpm.high_priority_idx + 1, IFERROR(MATCH(1, (_xlpm.r = "Warning") * 1, 0) + 1, "")))))</f>
        <v/>
      </c>
      <c r="B7" s="22">
        <f t="array" ref="B7">_xlfn.MAP('Additional Images'!B7:B507, 'Additional Images'!B7:B507, 'Additional Images-WUO_ERR'!B7:B507, _xlfn.LAMBDA(_xlpm.part, _xlpm.val, _xlpm.error, IF(_xlpm.part = "", "", IF(LEN(_xlpm.error), _xlfn.SWITCH(IFERROR(_xlfn.TEXTBEFORE(_xlpm.error,":"), ""), "1", "Error", "2", "Disabled", "3", "Required", "4", "Warning", "Valid"), "Valid"))))</f>
        <v/>
      </c>
      <c r="C7" s="22">
        <f t="array" ref="C7">_xlfn.MAP('Additional Images'!B7:B507, 'Additional Images'!C7:C507, 'Additional Images-WUO_ERR'!C7:C507,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27.7109375" customWidth="1" style="22" min="3" max="3"/>
    <col hidden="1" min="26" max="26"/>
  </cols>
  <sheetData>
    <row r="1" hidden="1">
      <c r="B1" s="22" t="inlineStr">
        <is>
          <t>core::supplierPartNumber</t>
        </is>
      </c>
      <c r="C1" s="22" t="inlineStr">
        <is>
          <t>media::videoValue</t>
        </is>
      </c>
    </row>
    <row r="2">
      <c r="B2" s="23" t="inlineStr">
        <is>
          <t>Basic Information</t>
        </is>
      </c>
      <c r="C2" s="29" t="inlineStr">
        <is>
          <t>Media</t>
        </is>
      </c>
    </row>
    <row r="3">
      <c r="B3" s="31" t="inlineStr">
        <is>
          <t>Required</t>
        </is>
      </c>
      <c r="C3" s="31" t="inlineStr">
        <is>
          <t>Additional</t>
        </is>
      </c>
    </row>
    <row r="4" ht="50" customHeight="1">
      <c r="A4" s="19" t="inlineStr">
        <is>
          <t>Errors</t>
        </is>
      </c>
      <c r="B4" s="19" t="inlineStr">
        <is>
          <t>Supplier Part Number</t>
        </is>
      </c>
      <c r="C4" s="19" t="inlineStr">
        <is>
          <t>Video File Name or URL</t>
        </is>
      </c>
    </row>
    <row r="5" ht="50" customHeight="1">
      <c r="A5" s="34" t="inlineStr">
        <is>
          <t>Displays the error status and message for the first error in the row, with a link to the corresponding cell.</t>
        </is>
      </c>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Provide the video’s file name with extension for separate uploads or a direct public URL. Do not exceed 10 videos per product.</t>
        </is>
      </c>
    </row>
    <row r="6" ht="50" customHeight="1">
      <c r="A6" s="34" t="inlineStr">
        <is>
          <t>Read-Only</t>
        </is>
      </c>
      <c r="B6" s="34" t="inlineStr">
        <is>
          <t>Text</t>
        </is>
      </c>
      <c r="C6" s="34" t="inlineStr">
        <is>
          <t>Text</t>
        </is>
      </c>
    </row>
    <row r="7">
      <c r="A7" s="38">
        <f>IF('Additional Videos'!B7 = "", "", IF('Additional Videos-WUO_ERR'!A7 = "", "Validated", HYPERLINK("#" &amp; ADDRESS(7, 'Additional Videos-WUO_TRK'!A7),_xlfn.TEXTAFTER('Additional Videos-WUO_ERR'!A7, ":"))))</f>
        <v/>
      </c>
      <c r="Z7">
        <f t="array" ref="Z7">IF(B7:B507="", "", IFERROR(_xlfn.XLOOKUP(B7:B507, _xlfn.VSTACK('6 - TV Stands &amp; Enterta'!B7:B507), _xlfn.VSTACK('6 - TV Stands &amp; Enterta'!G7:G507)), ""))</f>
        <v/>
      </c>
    </row>
    <row r="8">
      <c r="A8" s="38">
        <f>IF('Additional Videos'!B8 = "", "", IF('Additional Videos-WUO_ERR'!A8 = "", "Validated", HYPERLINK("#" &amp; ADDRESS(8, 'Additional Videos-WUO_TRK'!A8),_xlfn.TEXTAFTER('Additional Videos-WUO_ERR'!A8, ":"))))</f>
        <v/>
      </c>
    </row>
    <row r="9">
      <c r="A9" s="38">
        <f>IF('Additional Videos'!B9 = "", "", IF('Additional Videos-WUO_ERR'!A9 = "", "Validated", HYPERLINK("#" &amp; ADDRESS(9, 'Additional Videos-WUO_TRK'!A9),_xlfn.TEXTAFTER('Additional Videos-WUO_ERR'!A9, ":"))))</f>
        <v/>
      </c>
    </row>
    <row r="10">
      <c r="A10" s="38">
        <f>IF('Additional Videos'!B10 = "", "", IF('Additional Videos-WUO_ERR'!A10 = "", "Validated", HYPERLINK("#" &amp; ADDRESS(10, 'Additional Videos-WUO_TRK'!A10),_xlfn.TEXTAFTER('Additional Videos-WUO_ERR'!A10, ":"))))</f>
        <v/>
      </c>
    </row>
    <row r="11">
      <c r="A11" s="38">
        <f>IF('Additional Videos'!B11 = "", "", IF('Additional Videos-WUO_ERR'!A11 = "", "Validated", HYPERLINK("#" &amp; ADDRESS(11, 'Additional Videos-WUO_TRK'!A11),_xlfn.TEXTAFTER('Additional Videos-WUO_ERR'!A11, ":"))))</f>
        <v/>
      </c>
    </row>
    <row r="12">
      <c r="A12" s="38">
        <f>IF('Additional Videos'!B12 = "", "", IF('Additional Videos-WUO_ERR'!A12 = "", "Validated", HYPERLINK("#" &amp; ADDRESS(12, 'Additional Videos-WUO_TRK'!A12),_xlfn.TEXTAFTER('Additional Videos-WUO_ERR'!A12, ":"))))</f>
        <v/>
      </c>
    </row>
    <row r="13">
      <c r="A13" s="38">
        <f>IF('Additional Videos'!B13 = "", "", IF('Additional Videos-WUO_ERR'!A13 = "", "Validated", HYPERLINK("#" &amp; ADDRESS(13, 'Additional Videos-WUO_TRK'!A13),_xlfn.TEXTAFTER('Additional Videos-WUO_ERR'!A13, ":"))))</f>
        <v/>
      </c>
    </row>
    <row r="14">
      <c r="A14" s="38">
        <f>IF('Additional Videos'!B14 = "", "", IF('Additional Videos-WUO_ERR'!A14 = "", "Validated", HYPERLINK("#" &amp; ADDRESS(14, 'Additional Videos-WUO_TRK'!A14),_xlfn.TEXTAFTER('Additional Videos-WUO_ERR'!A14, ":"))))</f>
        <v/>
      </c>
    </row>
    <row r="15">
      <c r="A15" s="38">
        <f>IF('Additional Videos'!B15 = "", "", IF('Additional Videos-WUO_ERR'!A15 = "", "Validated", HYPERLINK("#" &amp; ADDRESS(15, 'Additional Videos-WUO_TRK'!A15),_xlfn.TEXTAFTER('Additional Videos-WUO_ERR'!A15, ":"))))</f>
        <v/>
      </c>
    </row>
    <row r="16">
      <c r="A16" s="38">
        <f>IF('Additional Videos'!B16 = "", "", IF('Additional Videos-WUO_ERR'!A16 = "", "Validated", HYPERLINK("#" &amp; ADDRESS(16, 'Additional Videos-WUO_TRK'!A16),_xlfn.TEXTAFTER('Additional Videos-WUO_ERR'!A16, ":"))))</f>
        <v/>
      </c>
    </row>
    <row r="17">
      <c r="A17" s="38">
        <f>IF('Additional Videos'!B17 = "", "", IF('Additional Videos-WUO_ERR'!A17 = "", "Validated", HYPERLINK("#" &amp; ADDRESS(17, 'Additional Videos-WUO_TRK'!A17),_xlfn.TEXTAFTER('Additional Videos-WUO_ERR'!A17, ":"))))</f>
        <v/>
      </c>
    </row>
    <row r="18">
      <c r="A18" s="38">
        <f>IF('Additional Videos'!B18 = "", "", IF('Additional Videos-WUO_ERR'!A18 = "", "Validated", HYPERLINK("#" &amp; ADDRESS(18, 'Additional Videos-WUO_TRK'!A18),_xlfn.TEXTAFTER('Additional Videos-WUO_ERR'!A18, ":"))))</f>
        <v/>
      </c>
    </row>
    <row r="19">
      <c r="A19" s="38">
        <f>IF('Additional Videos'!B19 = "", "", IF('Additional Videos-WUO_ERR'!A19 = "", "Validated", HYPERLINK("#" &amp; ADDRESS(19, 'Additional Videos-WUO_TRK'!A19),_xlfn.TEXTAFTER('Additional Videos-WUO_ERR'!A19, ":"))))</f>
        <v/>
      </c>
    </row>
    <row r="20">
      <c r="A20" s="38">
        <f>IF('Additional Videos'!B20 = "", "", IF('Additional Videos-WUO_ERR'!A20 = "", "Validated", HYPERLINK("#" &amp; ADDRESS(20, 'Additional Videos-WUO_TRK'!A20),_xlfn.TEXTAFTER('Additional Videos-WUO_ERR'!A20, ":"))))</f>
        <v/>
      </c>
    </row>
    <row r="21">
      <c r="A21" s="38">
        <f>IF('Additional Videos'!B21 = "", "", IF('Additional Videos-WUO_ERR'!A21 = "", "Validated", HYPERLINK("#" &amp; ADDRESS(21, 'Additional Videos-WUO_TRK'!A21),_xlfn.TEXTAFTER('Additional Videos-WUO_ERR'!A21, ":"))))</f>
        <v/>
      </c>
    </row>
    <row r="22">
      <c r="A22" s="38">
        <f>IF('Additional Videos'!B22 = "", "", IF('Additional Videos-WUO_ERR'!A22 = "", "Validated", HYPERLINK("#" &amp; ADDRESS(22, 'Additional Videos-WUO_TRK'!A22),_xlfn.TEXTAFTER('Additional Videos-WUO_ERR'!A22, ":"))))</f>
        <v/>
      </c>
    </row>
    <row r="23">
      <c r="A23" s="38">
        <f>IF('Additional Videos'!B23 = "", "", IF('Additional Videos-WUO_ERR'!A23 = "", "Validated", HYPERLINK("#" &amp; ADDRESS(23, 'Additional Videos-WUO_TRK'!A23),_xlfn.TEXTAFTER('Additional Videos-WUO_ERR'!A23, ":"))))</f>
        <v/>
      </c>
    </row>
    <row r="24">
      <c r="A24" s="38">
        <f>IF('Additional Videos'!B24 = "", "", IF('Additional Videos-WUO_ERR'!A24 = "", "Validated", HYPERLINK("#" &amp; ADDRESS(24, 'Additional Videos-WUO_TRK'!A24),_xlfn.TEXTAFTER('Additional Videos-WUO_ERR'!A24, ":"))))</f>
        <v/>
      </c>
    </row>
    <row r="25">
      <c r="A25" s="38">
        <f>IF('Additional Videos'!B25 = "", "", IF('Additional Videos-WUO_ERR'!A25 = "", "Validated", HYPERLINK("#" &amp; ADDRESS(25, 'Additional Videos-WUO_TRK'!A25),_xlfn.TEXTAFTER('Additional Videos-WUO_ERR'!A25, ":"))))</f>
        <v/>
      </c>
    </row>
    <row r="26">
      <c r="A26" s="38">
        <f>IF('Additional Videos'!B26 = "", "", IF('Additional Videos-WUO_ERR'!A26 = "", "Validated", HYPERLINK("#" &amp; ADDRESS(26, 'Additional Videos-WUO_TRK'!A26),_xlfn.TEXTAFTER('Additional Videos-WUO_ERR'!A26, ":"))))</f>
        <v/>
      </c>
    </row>
    <row r="27">
      <c r="A27" s="38">
        <f>IF('Additional Videos'!B27 = "", "", IF('Additional Videos-WUO_ERR'!A27 = "", "Validated", HYPERLINK("#" &amp; ADDRESS(27, 'Additional Videos-WUO_TRK'!A27),_xlfn.TEXTAFTER('Additional Videos-WUO_ERR'!A27, ":"))))</f>
        <v/>
      </c>
    </row>
    <row r="28">
      <c r="A28" s="38">
        <f>IF('Additional Videos'!B28 = "", "", IF('Additional Videos-WUO_ERR'!A28 = "", "Validated", HYPERLINK("#" &amp; ADDRESS(28, 'Additional Videos-WUO_TRK'!A28),_xlfn.TEXTAFTER('Additional Videos-WUO_ERR'!A28, ":"))))</f>
        <v/>
      </c>
    </row>
    <row r="29">
      <c r="A29" s="38">
        <f>IF('Additional Videos'!B29 = "", "", IF('Additional Videos-WUO_ERR'!A29 = "", "Validated", HYPERLINK("#" &amp; ADDRESS(29, 'Additional Videos-WUO_TRK'!A29),_xlfn.TEXTAFTER('Additional Videos-WUO_ERR'!A29, ":"))))</f>
        <v/>
      </c>
    </row>
    <row r="30">
      <c r="A30" s="38">
        <f>IF('Additional Videos'!B30 = "", "", IF('Additional Videos-WUO_ERR'!A30 = "", "Validated", HYPERLINK("#" &amp; ADDRESS(30, 'Additional Videos-WUO_TRK'!A30),_xlfn.TEXTAFTER('Additional Videos-WUO_ERR'!A30, ":"))))</f>
        <v/>
      </c>
    </row>
    <row r="31">
      <c r="A31" s="38">
        <f>IF('Additional Videos'!B31 = "", "", IF('Additional Videos-WUO_ERR'!A31 = "", "Validated", HYPERLINK("#" &amp; ADDRESS(31, 'Additional Videos-WUO_TRK'!A31),_xlfn.TEXTAFTER('Additional Videos-WUO_ERR'!A31, ":"))))</f>
        <v/>
      </c>
    </row>
    <row r="32">
      <c r="A32" s="38">
        <f>IF('Additional Videos'!B32 = "", "", IF('Additional Videos-WUO_ERR'!A32 = "", "Validated", HYPERLINK("#" &amp; ADDRESS(32, 'Additional Videos-WUO_TRK'!A32),_xlfn.TEXTAFTER('Additional Videos-WUO_ERR'!A32, ":"))))</f>
        <v/>
      </c>
    </row>
    <row r="33">
      <c r="A33" s="38">
        <f>IF('Additional Videos'!B33 = "", "", IF('Additional Videos-WUO_ERR'!A33 = "", "Validated", HYPERLINK("#" &amp; ADDRESS(33, 'Additional Videos-WUO_TRK'!A33),_xlfn.TEXTAFTER('Additional Videos-WUO_ERR'!A33, ":"))))</f>
        <v/>
      </c>
    </row>
    <row r="34">
      <c r="A34" s="38">
        <f>IF('Additional Videos'!B34 = "", "", IF('Additional Videos-WUO_ERR'!A34 = "", "Validated", HYPERLINK("#" &amp; ADDRESS(34, 'Additional Videos-WUO_TRK'!A34),_xlfn.TEXTAFTER('Additional Videos-WUO_ERR'!A34, ":"))))</f>
        <v/>
      </c>
    </row>
    <row r="35">
      <c r="A35" s="38">
        <f>IF('Additional Videos'!B35 = "", "", IF('Additional Videos-WUO_ERR'!A35 = "", "Validated", HYPERLINK("#" &amp; ADDRESS(35, 'Additional Videos-WUO_TRK'!A35),_xlfn.TEXTAFTER('Additional Videos-WUO_ERR'!A35, ":"))))</f>
        <v/>
      </c>
    </row>
    <row r="36">
      <c r="A36" s="38">
        <f>IF('Additional Videos'!B36 = "", "", IF('Additional Videos-WUO_ERR'!A36 = "", "Validated", HYPERLINK("#" &amp; ADDRESS(36, 'Additional Videos-WUO_TRK'!A36),_xlfn.TEXTAFTER('Additional Videos-WUO_ERR'!A36, ":"))))</f>
        <v/>
      </c>
    </row>
    <row r="37">
      <c r="A37" s="38">
        <f>IF('Additional Videos'!B37 = "", "", IF('Additional Videos-WUO_ERR'!A37 = "", "Validated", HYPERLINK("#" &amp; ADDRESS(37, 'Additional Videos-WUO_TRK'!A37),_xlfn.TEXTAFTER('Additional Videos-WUO_ERR'!A37, ":"))))</f>
        <v/>
      </c>
    </row>
    <row r="38">
      <c r="A38" s="38">
        <f>IF('Additional Videos'!B38 = "", "", IF('Additional Videos-WUO_ERR'!A38 = "", "Validated", HYPERLINK("#" &amp; ADDRESS(38, 'Additional Videos-WUO_TRK'!A38),_xlfn.TEXTAFTER('Additional Videos-WUO_ERR'!A38, ":"))))</f>
        <v/>
      </c>
    </row>
    <row r="39">
      <c r="A39" s="38">
        <f>IF('Additional Videos'!B39 = "", "", IF('Additional Videos-WUO_ERR'!A39 = "", "Validated", HYPERLINK("#" &amp; ADDRESS(39, 'Additional Videos-WUO_TRK'!A39),_xlfn.TEXTAFTER('Additional Videos-WUO_ERR'!A39, ":"))))</f>
        <v/>
      </c>
    </row>
    <row r="40">
      <c r="A40" s="38">
        <f>IF('Additional Videos'!B40 = "", "", IF('Additional Videos-WUO_ERR'!A40 = "", "Validated", HYPERLINK("#" &amp; ADDRESS(40, 'Additional Videos-WUO_TRK'!A40),_xlfn.TEXTAFTER('Additional Videos-WUO_ERR'!A40, ":"))))</f>
        <v/>
      </c>
    </row>
    <row r="41">
      <c r="A41" s="38">
        <f>IF('Additional Videos'!B41 = "", "", IF('Additional Videos-WUO_ERR'!A41 = "", "Validated", HYPERLINK("#" &amp; ADDRESS(41, 'Additional Videos-WUO_TRK'!A41),_xlfn.TEXTAFTER('Additional Videos-WUO_ERR'!A41, ":"))))</f>
        <v/>
      </c>
    </row>
    <row r="42">
      <c r="A42" s="38">
        <f>IF('Additional Videos'!B42 = "", "", IF('Additional Videos-WUO_ERR'!A42 = "", "Validated", HYPERLINK("#" &amp; ADDRESS(42, 'Additional Videos-WUO_TRK'!A42),_xlfn.TEXTAFTER('Additional Videos-WUO_ERR'!A42, ":"))))</f>
        <v/>
      </c>
    </row>
    <row r="43">
      <c r="A43" s="38">
        <f>IF('Additional Videos'!B43 = "", "", IF('Additional Videos-WUO_ERR'!A43 = "", "Validated", HYPERLINK("#" &amp; ADDRESS(43, 'Additional Videos-WUO_TRK'!A43),_xlfn.TEXTAFTER('Additional Videos-WUO_ERR'!A43, ":"))))</f>
        <v/>
      </c>
    </row>
    <row r="44">
      <c r="A44" s="38">
        <f>IF('Additional Videos'!B44 = "", "", IF('Additional Videos-WUO_ERR'!A44 = "", "Validated", HYPERLINK("#" &amp; ADDRESS(44, 'Additional Videos-WUO_TRK'!A44),_xlfn.TEXTAFTER('Additional Videos-WUO_ERR'!A44, ":"))))</f>
        <v/>
      </c>
    </row>
    <row r="45">
      <c r="A45" s="38">
        <f>IF('Additional Videos'!B45 = "", "", IF('Additional Videos-WUO_ERR'!A45 = "", "Validated", HYPERLINK("#" &amp; ADDRESS(45, 'Additional Videos-WUO_TRK'!A45),_xlfn.TEXTAFTER('Additional Videos-WUO_ERR'!A45, ":"))))</f>
        <v/>
      </c>
    </row>
    <row r="46">
      <c r="A46" s="38">
        <f>IF('Additional Videos'!B46 = "", "", IF('Additional Videos-WUO_ERR'!A46 = "", "Validated", HYPERLINK("#" &amp; ADDRESS(46, 'Additional Videos-WUO_TRK'!A46),_xlfn.TEXTAFTER('Additional Videos-WUO_ERR'!A46, ":"))))</f>
        <v/>
      </c>
    </row>
    <row r="47">
      <c r="A47" s="38">
        <f>IF('Additional Videos'!B47 = "", "", IF('Additional Videos-WUO_ERR'!A47 = "", "Validated", HYPERLINK("#" &amp; ADDRESS(47, 'Additional Videos-WUO_TRK'!A47),_xlfn.TEXTAFTER('Additional Videos-WUO_ERR'!A47, ":"))))</f>
        <v/>
      </c>
    </row>
    <row r="48">
      <c r="A48" s="38">
        <f>IF('Additional Videos'!B48 = "", "", IF('Additional Videos-WUO_ERR'!A48 = "", "Validated", HYPERLINK("#" &amp; ADDRESS(48, 'Additional Videos-WUO_TRK'!A48),_xlfn.TEXTAFTER('Additional Videos-WUO_ERR'!A48, ":"))))</f>
        <v/>
      </c>
    </row>
    <row r="49">
      <c r="A49" s="38">
        <f>IF('Additional Videos'!B49 = "", "", IF('Additional Videos-WUO_ERR'!A49 = "", "Validated", HYPERLINK("#" &amp; ADDRESS(49, 'Additional Videos-WUO_TRK'!A49),_xlfn.TEXTAFTER('Additional Videos-WUO_ERR'!A49, ":"))))</f>
        <v/>
      </c>
    </row>
    <row r="50">
      <c r="A50" s="38">
        <f>IF('Additional Videos'!B50 = "", "", IF('Additional Videos-WUO_ERR'!A50 = "", "Validated", HYPERLINK("#" &amp; ADDRESS(50, 'Additional Videos-WUO_TRK'!A50),_xlfn.TEXTAFTER('Additional Videos-WUO_ERR'!A50, ":"))))</f>
        <v/>
      </c>
    </row>
    <row r="51">
      <c r="A51" s="38">
        <f>IF('Additional Videos'!B51 = "", "", IF('Additional Videos-WUO_ERR'!A51 = "", "Validated", HYPERLINK("#" &amp; ADDRESS(51, 'Additional Videos-WUO_TRK'!A51),_xlfn.TEXTAFTER('Additional Videos-WUO_ERR'!A51, ":"))))</f>
        <v/>
      </c>
    </row>
    <row r="52">
      <c r="A52" s="38">
        <f>IF('Additional Videos'!B52 = "", "", IF('Additional Videos-WUO_ERR'!A52 = "", "Validated", HYPERLINK("#" &amp; ADDRESS(52, 'Additional Videos-WUO_TRK'!A52),_xlfn.TEXTAFTER('Additional Videos-WUO_ERR'!A52, ":"))))</f>
        <v/>
      </c>
    </row>
    <row r="53">
      <c r="A53" s="38">
        <f>IF('Additional Videos'!B53 = "", "", IF('Additional Videos-WUO_ERR'!A53 = "", "Validated", HYPERLINK("#" &amp; ADDRESS(53, 'Additional Videos-WUO_TRK'!A53),_xlfn.TEXTAFTER('Additional Videos-WUO_ERR'!A53, ":"))))</f>
        <v/>
      </c>
    </row>
    <row r="54">
      <c r="A54" s="38">
        <f>IF('Additional Videos'!B54 = "", "", IF('Additional Videos-WUO_ERR'!A54 = "", "Validated", HYPERLINK("#" &amp; ADDRESS(54, 'Additional Videos-WUO_TRK'!A54),_xlfn.TEXTAFTER('Additional Videos-WUO_ERR'!A54, ":"))))</f>
        <v/>
      </c>
    </row>
    <row r="55">
      <c r="A55" s="38">
        <f>IF('Additional Videos'!B55 = "", "", IF('Additional Videos-WUO_ERR'!A55 = "", "Validated", HYPERLINK("#" &amp; ADDRESS(55, 'Additional Videos-WUO_TRK'!A55),_xlfn.TEXTAFTER('Additional Videos-WUO_ERR'!A55, ":"))))</f>
        <v/>
      </c>
    </row>
    <row r="56">
      <c r="A56" s="38">
        <f>IF('Additional Videos'!B56 = "", "", IF('Additional Videos-WUO_ERR'!A56 = "", "Validated", HYPERLINK("#" &amp; ADDRESS(56, 'Additional Videos-WUO_TRK'!A56),_xlfn.TEXTAFTER('Additional Videos-WUO_ERR'!A56, ":"))))</f>
        <v/>
      </c>
    </row>
    <row r="57">
      <c r="A57" s="38">
        <f>IF('Additional Videos'!B57 = "", "", IF('Additional Videos-WUO_ERR'!A57 = "", "Validated", HYPERLINK("#" &amp; ADDRESS(57, 'Additional Videos-WUO_TRK'!A57),_xlfn.TEXTAFTER('Additional Videos-WUO_ERR'!A57, ":"))))</f>
        <v/>
      </c>
    </row>
    <row r="58">
      <c r="A58" s="38">
        <f>IF('Additional Videos'!B58 = "", "", IF('Additional Videos-WUO_ERR'!A58 = "", "Validated", HYPERLINK("#" &amp; ADDRESS(58, 'Additional Videos-WUO_TRK'!A58),_xlfn.TEXTAFTER('Additional Videos-WUO_ERR'!A58, ":"))))</f>
        <v/>
      </c>
    </row>
    <row r="59">
      <c r="A59" s="38">
        <f>IF('Additional Videos'!B59 = "", "", IF('Additional Videos-WUO_ERR'!A59 = "", "Validated", HYPERLINK("#" &amp; ADDRESS(59, 'Additional Videos-WUO_TRK'!A59),_xlfn.TEXTAFTER('Additional Videos-WUO_ERR'!A59, ":"))))</f>
        <v/>
      </c>
    </row>
    <row r="60">
      <c r="A60" s="38">
        <f>IF('Additional Videos'!B60 = "", "", IF('Additional Videos-WUO_ERR'!A60 = "", "Validated", HYPERLINK("#" &amp; ADDRESS(60, 'Additional Videos-WUO_TRK'!A60),_xlfn.TEXTAFTER('Additional Videos-WUO_ERR'!A60, ":"))))</f>
        <v/>
      </c>
    </row>
    <row r="61">
      <c r="A61" s="38">
        <f>IF('Additional Videos'!B61 = "", "", IF('Additional Videos-WUO_ERR'!A61 = "", "Validated", HYPERLINK("#" &amp; ADDRESS(61, 'Additional Videos-WUO_TRK'!A61),_xlfn.TEXTAFTER('Additional Videos-WUO_ERR'!A61, ":"))))</f>
        <v/>
      </c>
    </row>
    <row r="62">
      <c r="A62" s="38">
        <f>IF('Additional Videos'!B62 = "", "", IF('Additional Videos-WUO_ERR'!A62 = "", "Validated", HYPERLINK("#" &amp; ADDRESS(62, 'Additional Videos-WUO_TRK'!A62),_xlfn.TEXTAFTER('Additional Videos-WUO_ERR'!A62, ":"))))</f>
        <v/>
      </c>
    </row>
    <row r="63">
      <c r="A63" s="38">
        <f>IF('Additional Videos'!B63 = "", "", IF('Additional Videos-WUO_ERR'!A63 = "", "Validated", HYPERLINK("#" &amp; ADDRESS(63, 'Additional Videos-WUO_TRK'!A63),_xlfn.TEXTAFTER('Additional Videos-WUO_ERR'!A63, ":"))))</f>
        <v/>
      </c>
    </row>
    <row r="64">
      <c r="A64" s="38">
        <f>IF('Additional Videos'!B64 = "", "", IF('Additional Videos-WUO_ERR'!A64 = "", "Validated", HYPERLINK("#" &amp; ADDRESS(64, 'Additional Videos-WUO_TRK'!A64),_xlfn.TEXTAFTER('Additional Videos-WUO_ERR'!A64, ":"))))</f>
        <v/>
      </c>
    </row>
    <row r="65">
      <c r="A65" s="38">
        <f>IF('Additional Videos'!B65 = "", "", IF('Additional Videos-WUO_ERR'!A65 = "", "Validated", HYPERLINK("#" &amp; ADDRESS(65, 'Additional Videos-WUO_TRK'!A65),_xlfn.TEXTAFTER('Additional Videos-WUO_ERR'!A65, ":"))))</f>
        <v/>
      </c>
    </row>
    <row r="66">
      <c r="A66" s="38">
        <f>IF('Additional Videos'!B66 = "", "", IF('Additional Videos-WUO_ERR'!A66 = "", "Validated", HYPERLINK("#" &amp; ADDRESS(66, 'Additional Videos-WUO_TRK'!A66),_xlfn.TEXTAFTER('Additional Videos-WUO_ERR'!A66, ":"))))</f>
        <v/>
      </c>
    </row>
    <row r="67">
      <c r="A67" s="38">
        <f>IF('Additional Videos'!B67 = "", "", IF('Additional Videos-WUO_ERR'!A67 = "", "Validated", HYPERLINK("#" &amp; ADDRESS(67, 'Additional Videos-WUO_TRK'!A67),_xlfn.TEXTAFTER('Additional Videos-WUO_ERR'!A67, ":"))))</f>
        <v/>
      </c>
    </row>
    <row r="68">
      <c r="A68" s="38">
        <f>IF('Additional Videos'!B68 = "", "", IF('Additional Videos-WUO_ERR'!A68 = "", "Validated", HYPERLINK("#" &amp; ADDRESS(68, 'Additional Videos-WUO_TRK'!A68),_xlfn.TEXTAFTER('Additional Videos-WUO_ERR'!A68, ":"))))</f>
        <v/>
      </c>
    </row>
    <row r="69">
      <c r="A69" s="38">
        <f>IF('Additional Videos'!B69 = "", "", IF('Additional Videos-WUO_ERR'!A69 = "", "Validated", HYPERLINK("#" &amp; ADDRESS(69, 'Additional Videos-WUO_TRK'!A69),_xlfn.TEXTAFTER('Additional Videos-WUO_ERR'!A69, ":"))))</f>
        <v/>
      </c>
    </row>
    <row r="70">
      <c r="A70" s="38">
        <f>IF('Additional Videos'!B70 = "", "", IF('Additional Videos-WUO_ERR'!A70 = "", "Validated", HYPERLINK("#" &amp; ADDRESS(70, 'Additional Videos-WUO_TRK'!A70),_xlfn.TEXTAFTER('Additional Videos-WUO_ERR'!A70, ":"))))</f>
        <v/>
      </c>
    </row>
    <row r="71">
      <c r="A71" s="38">
        <f>IF('Additional Videos'!B71 = "", "", IF('Additional Videos-WUO_ERR'!A71 = "", "Validated", HYPERLINK("#" &amp; ADDRESS(71, 'Additional Videos-WUO_TRK'!A71),_xlfn.TEXTAFTER('Additional Videos-WUO_ERR'!A71, ":"))))</f>
        <v/>
      </c>
    </row>
    <row r="72">
      <c r="A72" s="38">
        <f>IF('Additional Videos'!B72 = "", "", IF('Additional Videos-WUO_ERR'!A72 = "", "Validated", HYPERLINK("#" &amp; ADDRESS(72, 'Additional Videos-WUO_TRK'!A72),_xlfn.TEXTAFTER('Additional Videos-WUO_ERR'!A72, ":"))))</f>
        <v/>
      </c>
    </row>
    <row r="73">
      <c r="A73" s="38">
        <f>IF('Additional Videos'!B73 = "", "", IF('Additional Videos-WUO_ERR'!A73 = "", "Validated", HYPERLINK("#" &amp; ADDRESS(73, 'Additional Videos-WUO_TRK'!A73),_xlfn.TEXTAFTER('Additional Videos-WUO_ERR'!A73, ":"))))</f>
        <v/>
      </c>
    </row>
    <row r="74">
      <c r="A74" s="38">
        <f>IF('Additional Videos'!B74 = "", "", IF('Additional Videos-WUO_ERR'!A74 = "", "Validated", HYPERLINK("#" &amp; ADDRESS(74, 'Additional Videos-WUO_TRK'!A74),_xlfn.TEXTAFTER('Additional Videos-WUO_ERR'!A74, ":"))))</f>
        <v/>
      </c>
    </row>
    <row r="75">
      <c r="A75" s="38">
        <f>IF('Additional Videos'!B75 = "", "", IF('Additional Videos-WUO_ERR'!A75 = "", "Validated", HYPERLINK("#" &amp; ADDRESS(75, 'Additional Videos-WUO_TRK'!A75),_xlfn.TEXTAFTER('Additional Videos-WUO_ERR'!A75, ":"))))</f>
        <v/>
      </c>
    </row>
    <row r="76">
      <c r="A76" s="38">
        <f>IF('Additional Videos'!B76 = "", "", IF('Additional Videos-WUO_ERR'!A76 = "", "Validated", HYPERLINK("#" &amp; ADDRESS(76, 'Additional Videos-WUO_TRK'!A76),_xlfn.TEXTAFTER('Additional Videos-WUO_ERR'!A76, ":"))))</f>
        <v/>
      </c>
    </row>
    <row r="77">
      <c r="A77" s="38">
        <f>IF('Additional Videos'!B77 = "", "", IF('Additional Videos-WUO_ERR'!A77 = "", "Validated", HYPERLINK("#" &amp; ADDRESS(77, 'Additional Videos-WUO_TRK'!A77),_xlfn.TEXTAFTER('Additional Videos-WUO_ERR'!A77, ":"))))</f>
        <v/>
      </c>
    </row>
    <row r="78">
      <c r="A78" s="38">
        <f>IF('Additional Videos'!B78 = "", "", IF('Additional Videos-WUO_ERR'!A78 = "", "Validated", HYPERLINK("#" &amp; ADDRESS(78, 'Additional Videos-WUO_TRK'!A78),_xlfn.TEXTAFTER('Additional Videos-WUO_ERR'!A78, ":"))))</f>
        <v/>
      </c>
    </row>
    <row r="79">
      <c r="A79" s="38">
        <f>IF('Additional Videos'!B79 = "", "", IF('Additional Videos-WUO_ERR'!A79 = "", "Validated", HYPERLINK("#" &amp; ADDRESS(79, 'Additional Videos-WUO_TRK'!A79),_xlfn.TEXTAFTER('Additional Videos-WUO_ERR'!A79, ":"))))</f>
        <v/>
      </c>
    </row>
    <row r="80">
      <c r="A80" s="38">
        <f>IF('Additional Videos'!B80 = "", "", IF('Additional Videos-WUO_ERR'!A80 = "", "Validated", HYPERLINK("#" &amp; ADDRESS(80, 'Additional Videos-WUO_TRK'!A80),_xlfn.TEXTAFTER('Additional Videos-WUO_ERR'!A80, ":"))))</f>
        <v/>
      </c>
    </row>
    <row r="81">
      <c r="A81" s="38">
        <f>IF('Additional Videos'!B81 = "", "", IF('Additional Videos-WUO_ERR'!A81 = "", "Validated", HYPERLINK("#" &amp; ADDRESS(81, 'Additional Videos-WUO_TRK'!A81),_xlfn.TEXTAFTER('Additional Videos-WUO_ERR'!A81, ":"))))</f>
        <v/>
      </c>
    </row>
    <row r="82">
      <c r="A82" s="38">
        <f>IF('Additional Videos'!B82 = "", "", IF('Additional Videos-WUO_ERR'!A82 = "", "Validated", HYPERLINK("#" &amp; ADDRESS(82, 'Additional Videos-WUO_TRK'!A82),_xlfn.TEXTAFTER('Additional Videos-WUO_ERR'!A82, ":"))))</f>
        <v/>
      </c>
    </row>
    <row r="83">
      <c r="A83" s="38">
        <f>IF('Additional Videos'!B83 = "", "", IF('Additional Videos-WUO_ERR'!A83 = "", "Validated", HYPERLINK("#" &amp; ADDRESS(83, 'Additional Videos-WUO_TRK'!A83),_xlfn.TEXTAFTER('Additional Videos-WUO_ERR'!A83, ":"))))</f>
        <v/>
      </c>
    </row>
    <row r="84">
      <c r="A84" s="38">
        <f>IF('Additional Videos'!B84 = "", "", IF('Additional Videos-WUO_ERR'!A84 = "", "Validated", HYPERLINK("#" &amp; ADDRESS(84, 'Additional Videos-WUO_TRK'!A84),_xlfn.TEXTAFTER('Additional Videos-WUO_ERR'!A84, ":"))))</f>
        <v/>
      </c>
    </row>
    <row r="85">
      <c r="A85" s="38">
        <f>IF('Additional Videos'!B85 = "", "", IF('Additional Videos-WUO_ERR'!A85 = "", "Validated", HYPERLINK("#" &amp; ADDRESS(85, 'Additional Videos-WUO_TRK'!A85),_xlfn.TEXTAFTER('Additional Videos-WUO_ERR'!A85, ":"))))</f>
        <v/>
      </c>
    </row>
    <row r="86">
      <c r="A86" s="38">
        <f>IF('Additional Videos'!B86 = "", "", IF('Additional Videos-WUO_ERR'!A86 = "", "Validated", HYPERLINK("#" &amp; ADDRESS(86, 'Additional Videos-WUO_TRK'!A86),_xlfn.TEXTAFTER('Additional Videos-WUO_ERR'!A86, ":"))))</f>
        <v/>
      </c>
    </row>
    <row r="87">
      <c r="A87" s="38">
        <f>IF('Additional Videos'!B87 = "", "", IF('Additional Videos-WUO_ERR'!A87 = "", "Validated", HYPERLINK("#" &amp; ADDRESS(87, 'Additional Videos-WUO_TRK'!A87),_xlfn.TEXTAFTER('Additional Videos-WUO_ERR'!A87, ":"))))</f>
        <v/>
      </c>
    </row>
    <row r="88">
      <c r="A88" s="38">
        <f>IF('Additional Videos'!B88 = "", "", IF('Additional Videos-WUO_ERR'!A88 = "", "Validated", HYPERLINK("#" &amp; ADDRESS(88, 'Additional Videos-WUO_TRK'!A88),_xlfn.TEXTAFTER('Additional Videos-WUO_ERR'!A88, ":"))))</f>
        <v/>
      </c>
    </row>
    <row r="89">
      <c r="A89" s="38">
        <f>IF('Additional Videos'!B89 = "", "", IF('Additional Videos-WUO_ERR'!A89 = "", "Validated", HYPERLINK("#" &amp; ADDRESS(89, 'Additional Videos-WUO_TRK'!A89),_xlfn.TEXTAFTER('Additional Videos-WUO_ERR'!A89, ":"))))</f>
        <v/>
      </c>
    </row>
    <row r="90">
      <c r="A90" s="38">
        <f>IF('Additional Videos'!B90 = "", "", IF('Additional Videos-WUO_ERR'!A90 = "", "Validated", HYPERLINK("#" &amp; ADDRESS(90, 'Additional Videos-WUO_TRK'!A90),_xlfn.TEXTAFTER('Additional Videos-WUO_ERR'!A90, ":"))))</f>
        <v/>
      </c>
    </row>
    <row r="91">
      <c r="A91" s="38">
        <f>IF('Additional Videos'!B91 = "", "", IF('Additional Videos-WUO_ERR'!A91 = "", "Validated", HYPERLINK("#" &amp; ADDRESS(91, 'Additional Videos-WUO_TRK'!A91),_xlfn.TEXTAFTER('Additional Videos-WUO_ERR'!A91, ":"))))</f>
        <v/>
      </c>
    </row>
    <row r="92">
      <c r="A92" s="38">
        <f>IF('Additional Videos'!B92 = "", "", IF('Additional Videos-WUO_ERR'!A92 = "", "Validated", HYPERLINK("#" &amp; ADDRESS(92, 'Additional Videos-WUO_TRK'!A92),_xlfn.TEXTAFTER('Additional Videos-WUO_ERR'!A92, ":"))))</f>
        <v/>
      </c>
    </row>
    <row r="93">
      <c r="A93" s="38">
        <f>IF('Additional Videos'!B93 = "", "", IF('Additional Videos-WUO_ERR'!A93 = "", "Validated", HYPERLINK("#" &amp; ADDRESS(93, 'Additional Videos-WUO_TRK'!A93),_xlfn.TEXTAFTER('Additional Videos-WUO_ERR'!A93, ":"))))</f>
        <v/>
      </c>
    </row>
    <row r="94">
      <c r="A94" s="38">
        <f>IF('Additional Videos'!B94 = "", "", IF('Additional Videos-WUO_ERR'!A94 = "", "Validated", HYPERLINK("#" &amp; ADDRESS(94, 'Additional Videos-WUO_TRK'!A94),_xlfn.TEXTAFTER('Additional Videos-WUO_ERR'!A94, ":"))))</f>
        <v/>
      </c>
    </row>
    <row r="95">
      <c r="A95" s="38">
        <f>IF('Additional Videos'!B95 = "", "", IF('Additional Videos-WUO_ERR'!A95 = "", "Validated", HYPERLINK("#" &amp; ADDRESS(95, 'Additional Videos-WUO_TRK'!A95),_xlfn.TEXTAFTER('Additional Videos-WUO_ERR'!A95, ":"))))</f>
        <v/>
      </c>
    </row>
    <row r="96">
      <c r="A96" s="38">
        <f>IF('Additional Videos'!B96 = "", "", IF('Additional Videos-WUO_ERR'!A96 = "", "Validated", HYPERLINK("#" &amp; ADDRESS(96, 'Additional Videos-WUO_TRK'!A96),_xlfn.TEXTAFTER('Additional Videos-WUO_ERR'!A96, ":"))))</f>
        <v/>
      </c>
    </row>
    <row r="97">
      <c r="A97" s="38">
        <f>IF('Additional Videos'!B97 = "", "", IF('Additional Videos-WUO_ERR'!A97 = "", "Validated", HYPERLINK("#" &amp; ADDRESS(97, 'Additional Videos-WUO_TRK'!A97),_xlfn.TEXTAFTER('Additional Videos-WUO_ERR'!A97, ":"))))</f>
        <v/>
      </c>
    </row>
    <row r="98">
      <c r="A98" s="38">
        <f>IF('Additional Videos'!B98 = "", "", IF('Additional Videos-WUO_ERR'!A98 = "", "Validated", HYPERLINK("#" &amp; ADDRESS(98, 'Additional Videos-WUO_TRK'!A98),_xlfn.TEXTAFTER('Additional Videos-WUO_ERR'!A98, ":"))))</f>
        <v/>
      </c>
    </row>
    <row r="99">
      <c r="A99" s="38">
        <f>IF('Additional Videos'!B99 = "", "", IF('Additional Videos-WUO_ERR'!A99 = "", "Validated", HYPERLINK("#" &amp; ADDRESS(99, 'Additional Videos-WUO_TRK'!A99),_xlfn.TEXTAFTER('Additional Videos-WUO_ERR'!A99, ":"))))</f>
        <v/>
      </c>
    </row>
    <row r="100">
      <c r="A100" s="38">
        <f>IF('Additional Videos'!B100 = "", "", IF('Additional Videos-WUO_ERR'!A100 = "", "Validated", HYPERLINK("#" &amp; ADDRESS(100, 'Additional Videos-WUO_TRK'!A100),_xlfn.TEXTAFTER('Additional Videos-WUO_ERR'!A100, ":"))))</f>
        <v/>
      </c>
    </row>
    <row r="101">
      <c r="A101" s="38">
        <f>IF('Additional Videos'!B101 = "", "", IF('Additional Videos-WUO_ERR'!A101 = "", "Validated", HYPERLINK("#" &amp; ADDRESS(101, 'Additional Videos-WUO_TRK'!A101),_xlfn.TEXTAFTER('Additional Videos-WUO_ERR'!A101, ":"))))</f>
        <v/>
      </c>
    </row>
    <row r="102">
      <c r="A102" s="38">
        <f>IF('Additional Videos'!B102 = "", "", IF('Additional Videos-WUO_ERR'!A102 = "", "Validated", HYPERLINK("#" &amp; ADDRESS(102, 'Additional Videos-WUO_TRK'!A102),_xlfn.TEXTAFTER('Additional Videos-WUO_ERR'!A102, ":"))))</f>
        <v/>
      </c>
    </row>
    <row r="103">
      <c r="A103" s="38">
        <f>IF('Additional Videos'!B103 = "", "", IF('Additional Videos-WUO_ERR'!A103 = "", "Validated", HYPERLINK("#" &amp; ADDRESS(103, 'Additional Videos-WUO_TRK'!A103),_xlfn.TEXTAFTER('Additional Videos-WUO_ERR'!A103, ":"))))</f>
        <v/>
      </c>
    </row>
    <row r="104">
      <c r="A104" s="38">
        <f>IF('Additional Videos'!B104 = "", "", IF('Additional Videos-WUO_ERR'!A104 = "", "Validated", HYPERLINK("#" &amp; ADDRESS(104, 'Additional Videos-WUO_TRK'!A104),_xlfn.TEXTAFTER('Additional Videos-WUO_ERR'!A104, ":"))))</f>
        <v/>
      </c>
    </row>
    <row r="105">
      <c r="A105" s="38">
        <f>IF('Additional Videos'!B105 = "", "", IF('Additional Videos-WUO_ERR'!A105 = "", "Validated", HYPERLINK("#" &amp; ADDRESS(105, 'Additional Videos-WUO_TRK'!A105),_xlfn.TEXTAFTER('Additional Videos-WUO_ERR'!A105, ":"))))</f>
        <v/>
      </c>
    </row>
    <row r="106">
      <c r="A106" s="38">
        <f>IF('Additional Videos'!B106 = "", "", IF('Additional Videos-WUO_ERR'!A106 = "", "Validated", HYPERLINK("#" &amp; ADDRESS(106, 'Additional Videos-WUO_TRK'!A106),_xlfn.TEXTAFTER('Additional Videos-WUO_ERR'!A106, ":"))))</f>
        <v/>
      </c>
    </row>
    <row r="107">
      <c r="A107" s="38">
        <f>IF('Additional Videos'!B107 = "", "", IF('Additional Videos-WUO_ERR'!A107 = "", "Validated", HYPERLINK("#" &amp; ADDRESS(107, 'Additional Videos-WUO_TRK'!A107),_xlfn.TEXTAFTER('Additional Videos-WUO_ERR'!A107, ":"))))</f>
        <v/>
      </c>
    </row>
    <row r="108">
      <c r="A108" s="38">
        <f>IF('Additional Videos'!B108 = "", "", IF('Additional Videos-WUO_ERR'!A108 = "", "Validated", HYPERLINK("#" &amp; ADDRESS(108, 'Additional Videos-WUO_TRK'!A108),_xlfn.TEXTAFTER('Additional Videos-WUO_ERR'!A108, ":"))))</f>
        <v/>
      </c>
    </row>
    <row r="109">
      <c r="A109" s="38">
        <f>IF('Additional Videos'!B109 = "", "", IF('Additional Videos-WUO_ERR'!A109 = "", "Validated", HYPERLINK("#" &amp; ADDRESS(109, 'Additional Videos-WUO_TRK'!A109),_xlfn.TEXTAFTER('Additional Videos-WUO_ERR'!A109, ":"))))</f>
        <v/>
      </c>
    </row>
    <row r="110">
      <c r="A110" s="38">
        <f>IF('Additional Videos'!B110 = "", "", IF('Additional Videos-WUO_ERR'!A110 = "", "Validated", HYPERLINK("#" &amp; ADDRESS(110, 'Additional Videos-WUO_TRK'!A110),_xlfn.TEXTAFTER('Additional Videos-WUO_ERR'!A110, ":"))))</f>
        <v/>
      </c>
    </row>
    <row r="111">
      <c r="A111" s="38">
        <f>IF('Additional Videos'!B111 = "", "", IF('Additional Videos-WUO_ERR'!A111 = "", "Validated", HYPERLINK("#" &amp; ADDRESS(111, 'Additional Videos-WUO_TRK'!A111),_xlfn.TEXTAFTER('Additional Videos-WUO_ERR'!A111, ":"))))</f>
        <v/>
      </c>
    </row>
    <row r="112">
      <c r="A112" s="38">
        <f>IF('Additional Videos'!B112 = "", "", IF('Additional Videos-WUO_ERR'!A112 = "", "Validated", HYPERLINK("#" &amp; ADDRESS(112, 'Additional Videos-WUO_TRK'!A112),_xlfn.TEXTAFTER('Additional Videos-WUO_ERR'!A112, ":"))))</f>
        <v/>
      </c>
    </row>
    <row r="113">
      <c r="A113" s="38">
        <f>IF('Additional Videos'!B113 = "", "", IF('Additional Videos-WUO_ERR'!A113 = "", "Validated", HYPERLINK("#" &amp; ADDRESS(113, 'Additional Videos-WUO_TRK'!A113),_xlfn.TEXTAFTER('Additional Videos-WUO_ERR'!A113, ":"))))</f>
        <v/>
      </c>
    </row>
    <row r="114">
      <c r="A114" s="38">
        <f>IF('Additional Videos'!B114 = "", "", IF('Additional Videos-WUO_ERR'!A114 = "", "Validated", HYPERLINK("#" &amp; ADDRESS(114, 'Additional Videos-WUO_TRK'!A114),_xlfn.TEXTAFTER('Additional Videos-WUO_ERR'!A114, ":"))))</f>
        <v/>
      </c>
    </row>
    <row r="115">
      <c r="A115" s="38">
        <f>IF('Additional Videos'!B115 = "", "", IF('Additional Videos-WUO_ERR'!A115 = "", "Validated", HYPERLINK("#" &amp; ADDRESS(115, 'Additional Videos-WUO_TRK'!A115),_xlfn.TEXTAFTER('Additional Videos-WUO_ERR'!A115, ":"))))</f>
        <v/>
      </c>
    </row>
    <row r="116">
      <c r="A116" s="38">
        <f>IF('Additional Videos'!B116 = "", "", IF('Additional Videos-WUO_ERR'!A116 = "", "Validated", HYPERLINK("#" &amp; ADDRESS(116, 'Additional Videos-WUO_TRK'!A116),_xlfn.TEXTAFTER('Additional Videos-WUO_ERR'!A116, ":"))))</f>
        <v/>
      </c>
    </row>
    <row r="117">
      <c r="A117" s="38">
        <f>IF('Additional Videos'!B117 = "", "", IF('Additional Videos-WUO_ERR'!A117 = "", "Validated", HYPERLINK("#" &amp; ADDRESS(117, 'Additional Videos-WUO_TRK'!A117),_xlfn.TEXTAFTER('Additional Videos-WUO_ERR'!A117, ":"))))</f>
        <v/>
      </c>
    </row>
    <row r="118">
      <c r="A118" s="38">
        <f>IF('Additional Videos'!B118 = "", "", IF('Additional Videos-WUO_ERR'!A118 = "", "Validated", HYPERLINK("#" &amp; ADDRESS(118, 'Additional Videos-WUO_TRK'!A118),_xlfn.TEXTAFTER('Additional Videos-WUO_ERR'!A118, ":"))))</f>
        <v/>
      </c>
    </row>
    <row r="119">
      <c r="A119" s="38">
        <f>IF('Additional Videos'!B119 = "", "", IF('Additional Videos-WUO_ERR'!A119 = "", "Validated", HYPERLINK("#" &amp; ADDRESS(119, 'Additional Videos-WUO_TRK'!A119),_xlfn.TEXTAFTER('Additional Videos-WUO_ERR'!A119, ":"))))</f>
        <v/>
      </c>
    </row>
    <row r="120">
      <c r="A120" s="38">
        <f>IF('Additional Videos'!B120 = "", "", IF('Additional Videos-WUO_ERR'!A120 = "", "Validated", HYPERLINK("#" &amp; ADDRESS(120, 'Additional Videos-WUO_TRK'!A120),_xlfn.TEXTAFTER('Additional Videos-WUO_ERR'!A120, ":"))))</f>
        <v/>
      </c>
    </row>
    <row r="121">
      <c r="A121" s="38">
        <f>IF('Additional Videos'!B121 = "", "", IF('Additional Videos-WUO_ERR'!A121 = "", "Validated", HYPERLINK("#" &amp; ADDRESS(121, 'Additional Videos-WUO_TRK'!A121),_xlfn.TEXTAFTER('Additional Videos-WUO_ERR'!A121, ":"))))</f>
        <v/>
      </c>
    </row>
    <row r="122">
      <c r="A122" s="38">
        <f>IF('Additional Videos'!B122 = "", "", IF('Additional Videos-WUO_ERR'!A122 = "", "Validated", HYPERLINK("#" &amp; ADDRESS(122, 'Additional Videos-WUO_TRK'!A122),_xlfn.TEXTAFTER('Additional Videos-WUO_ERR'!A122, ":"))))</f>
        <v/>
      </c>
    </row>
    <row r="123">
      <c r="A123" s="38">
        <f>IF('Additional Videos'!B123 = "", "", IF('Additional Videos-WUO_ERR'!A123 = "", "Validated", HYPERLINK("#" &amp; ADDRESS(123, 'Additional Videos-WUO_TRK'!A123),_xlfn.TEXTAFTER('Additional Videos-WUO_ERR'!A123, ":"))))</f>
        <v/>
      </c>
    </row>
    <row r="124">
      <c r="A124" s="38">
        <f>IF('Additional Videos'!B124 = "", "", IF('Additional Videos-WUO_ERR'!A124 = "", "Validated", HYPERLINK("#" &amp; ADDRESS(124, 'Additional Videos-WUO_TRK'!A124),_xlfn.TEXTAFTER('Additional Videos-WUO_ERR'!A124, ":"))))</f>
        <v/>
      </c>
    </row>
    <row r="125">
      <c r="A125" s="38">
        <f>IF('Additional Videos'!B125 = "", "", IF('Additional Videos-WUO_ERR'!A125 = "", "Validated", HYPERLINK("#" &amp; ADDRESS(125, 'Additional Videos-WUO_TRK'!A125),_xlfn.TEXTAFTER('Additional Videos-WUO_ERR'!A125, ":"))))</f>
        <v/>
      </c>
    </row>
    <row r="126">
      <c r="A126" s="38">
        <f>IF('Additional Videos'!B126 = "", "", IF('Additional Videos-WUO_ERR'!A126 = "", "Validated", HYPERLINK("#" &amp; ADDRESS(126, 'Additional Videos-WUO_TRK'!A126),_xlfn.TEXTAFTER('Additional Videos-WUO_ERR'!A126, ":"))))</f>
        <v/>
      </c>
    </row>
    <row r="127">
      <c r="A127" s="38">
        <f>IF('Additional Videos'!B127 = "", "", IF('Additional Videos-WUO_ERR'!A127 = "", "Validated", HYPERLINK("#" &amp; ADDRESS(127, 'Additional Videos-WUO_TRK'!A127),_xlfn.TEXTAFTER('Additional Videos-WUO_ERR'!A127, ":"))))</f>
        <v/>
      </c>
    </row>
    <row r="128">
      <c r="A128" s="38">
        <f>IF('Additional Videos'!B128 = "", "", IF('Additional Videos-WUO_ERR'!A128 = "", "Validated", HYPERLINK("#" &amp; ADDRESS(128, 'Additional Videos-WUO_TRK'!A128),_xlfn.TEXTAFTER('Additional Videos-WUO_ERR'!A128, ":"))))</f>
        <v/>
      </c>
    </row>
    <row r="129">
      <c r="A129" s="38">
        <f>IF('Additional Videos'!B129 = "", "", IF('Additional Videos-WUO_ERR'!A129 = "", "Validated", HYPERLINK("#" &amp; ADDRESS(129, 'Additional Videos-WUO_TRK'!A129),_xlfn.TEXTAFTER('Additional Videos-WUO_ERR'!A129, ":"))))</f>
        <v/>
      </c>
    </row>
    <row r="130">
      <c r="A130" s="38">
        <f>IF('Additional Videos'!B130 = "", "", IF('Additional Videos-WUO_ERR'!A130 = "", "Validated", HYPERLINK("#" &amp; ADDRESS(130, 'Additional Videos-WUO_TRK'!A130),_xlfn.TEXTAFTER('Additional Videos-WUO_ERR'!A130, ":"))))</f>
        <v/>
      </c>
    </row>
    <row r="131">
      <c r="A131" s="38">
        <f>IF('Additional Videos'!B131 = "", "", IF('Additional Videos-WUO_ERR'!A131 = "", "Validated", HYPERLINK("#" &amp; ADDRESS(131, 'Additional Videos-WUO_TRK'!A131),_xlfn.TEXTAFTER('Additional Videos-WUO_ERR'!A131, ":"))))</f>
        <v/>
      </c>
    </row>
    <row r="132">
      <c r="A132" s="38">
        <f>IF('Additional Videos'!B132 = "", "", IF('Additional Videos-WUO_ERR'!A132 = "", "Validated", HYPERLINK("#" &amp; ADDRESS(132, 'Additional Videos-WUO_TRK'!A132),_xlfn.TEXTAFTER('Additional Videos-WUO_ERR'!A132, ":"))))</f>
        <v/>
      </c>
    </row>
    <row r="133">
      <c r="A133" s="38">
        <f>IF('Additional Videos'!B133 = "", "", IF('Additional Videos-WUO_ERR'!A133 = "", "Validated", HYPERLINK("#" &amp; ADDRESS(133, 'Additional Videos-WUO_TRK'!A133),_xlfn.TEXTAFTER('Additional Videos-WUO_ERR'!A133, ":"))))</f>
        <v/>
      </c>
    </row>
    <row r="134">
      <c r="A134" s="38">
        <f>IF('Additional Videos'!B134 = "", "", IF('Additional Videos-WUO_ERR'!A134 = "", "Validated", HYPERLINK("#" &amp; ADDRESS(134, 'Additional Videos-WUO_TRK'!A134),_xlfn.TEXTAFTER('Additional Videos-WUO_ERR'!A134, ":"))))</f>
        <v/>
      </c>
    </row>
    <row r="135">
      <c r="A135" s="38">
        <f>IF('Additional Videos'!B135 = "", "", IF('Additional Videos-WUO_ERR'!A135 = "", "Validated", HYPERLINK("#" &amp; ADDRESS(135, 'Additional Videos-WUO_TRK'!A135),_xlfn.TEXTAFTER('Additional Videos-WUO_ERR'!A135, ":"))))</f>
        <v/>
      </c>
    </row>
    <row r="136">
      <c r="A136" s="38">
        <f>IF('Additional Videos'!B136 = "", "", IF('Additional Videos-WUO_ERR'!A136 = "", "Validated", HYPERLINK("#" &amp; ADDRESS(136, 'Additional Videos-WUO_TRK'!A136),_xlfn.TEXTAFTER('Additional Videos-WUO_ERR'!A136, ":"))))</f>
        <v/>
      </c>
    </row>
    <row r="137">
      <c r="A137" s="38">
        <f>IF('Additional Videos'!B137 = "", "", IF('Additional Videos-WUO_ERR'!A137 = "", "Validated", HYPERLINK("#" &amp; ADDRESS(137, 'Additional Videos-WUO_TRK'!A137),_xlfn.TEXTAFTER('Additional Videos-WUO_ERR'!A137, ":"))))</f>
        <v/>
      </c>
    </row>
    <row r="138">
      <c r="A138" s="38">
        <f>IF('Additional Videos'!B138 = "", "", IF('Additional Videos-WUO_ERR'!A138 = "", "Validated", HYPERLINK("#" &amp; ADDRESS(138, 'Additional Videos-WUO_TRK'!A138),_xlfn.TEXTAFTER('Additional Videos-WUO_ERR'!A138, ":"))))</f>
        <v/>
      </c>
    </row>
    <row r="139">
      <c r="A139" s="38">
        <f>IF('Additional Videos'!B139 = "", "", IF('Additional Videos-WUO_ERR'!A139 = "", "Validated", HYPERLINK("#" &amp; ADDRESS(139, 'Additional Videos-WUO_TRK'!A139),_xlfn.TEXTAFTER('Additional Videos-WUO_ERR'!A139, ":"))))</f>
        <v/>
      </c>
    </row>
    <row r="140">
      <c r="A140" s="38">
        <f>IF('Additional Videos'!B140 = "", "", IF('Additional Videos-WUO_ERR'!A140 = "", "Validated", HYPERLINK("#" &amp; ADDRESS(140, 'Additional Videos-WUO_TRK'!A140),_xlfn.TEXTAFTER('Additional Videos-WUO_ERR'!A140, ":"))))</f>
        <v/>
      </c>
    </row>
    <row r="141">
      <c r="A141" s="38">
        <f>IF('Additional Videos'!B141 = "", "", IF('Additional Videos-WUO_ERR'!A141 = "", "Validated", HYPERLINK("#" &amp; ADDRESS(141, 'Additional Videos-WUO_TRK'!A141),_xlfn.TEXTAFTER('Additional Videos-WUO_ERR'!A141, ":"))))</f>
        <v/>
      </c>
    </row>
    <row r="142">
      <c r="A142" s="38">
        <f>IF('Additional Videos'!B142 = "", "", IF('Additional Videos-WUO_ERR'!A142 = "", "Validated", HYPERLINK("#" &amp; ADDRESS(142, 'Additional Videos-WUO_TRK'!A142),_xlfn.TEXTAFTER('Additional Videos-WUO_ERR'!A142, ":"))))</f>
        <v/>
      </c>
    </row>
    <row r="143">
      <c r="A143" s="38">
        <f>IF('Additional Videos'!B143 = "", "", IF('Additional Videos-WUO_ERR'!A143 = "", "Validated", HYPERLINK("#" &amp; ADDRESS(143, 'Additional Videos-WUO_TRK'!A143),_xlfn.TEXTAFTER('Additional Videos-WUO_ERR'!A143, ":"))))</f>
        <v/>
      </c>
    </row>
    <row r="144">
      <c r="A144" s="38">
        <f>IF('Additional Videos'!B144 = "", "", IF('Additional Videos-WUO_ERR'!A144 = "", "Validated", HYPERLINK("#" &amp; ADDRESS(144, 'Additional Videos-WUO_TRK'!A144),_xlfn.TEXTAFTER('Additional Videos-WUO_ERR'!A144, ":"))))</f>
        <v/>
      </c>
    </row>
    <row r="145">
      <c r="A145" s="38">
        <f>IF('Additional Videos'!B145 = "", "", IF('Additional Videos-WUO_ERR'!A145 = "", "Validated", HYPERLINK("#" &amp; ADDRESS(145, 'Additional Videos-WUO_TRK'!A145),_xlfn.TEXTAFTER('Additional Videos-WUO_ERR'!A145, ":"))))</f>
        <v/>
      </c>
    </row>
    <row r="146">
      <c r="A146" s="38">
        <f>IF('Additional Videos'!B146 = "", "", IF('Additional Videos-WUO_ERR'!A146 = "", "Validated", HYPERLINK("#" &amp; ADDRESS(146, 'Additional Videos-WUO_TRK'!A146),_xlfn.TEXTAFTER('Additional Videos-WUO_ERR'!A146, ":"))))</f>
        <v/>
      </c>
    </row>
    <row r="147">
      <c r="A147" s="38">
        <f>IF('Additional Videos'!B147 = "", "", IF('Additional Videos-WUO_ERR'!A147 = "", "Validated", HYPERLINK("#" &amp; ADDRESS(147, 'Additional Videos-WUO_TRK'!A147),_xlfn.TEXTAFTER('Additional Videos-WUO_ERR'!A147, ":"))))</f>
        <v/>
      </c>
    </row>
    <row r="148">
      <c r="A148" s="38">
        <f>IF('Additional Videos'!B148 = "", "", IF('Additional Videos-WUO_ERR'!A148 = "", "Validated", HYPERLINK("#" &amp; ADDRESS(148, 'Additional Videos-WUO_TRK'!A148),_xlfn.TEXTAFTER('Additional Videos-WUO_ERR'!A148, ":"))))</f>
        <v/>
      </c>
    </row>
    <row r="149">
      <c r="A149" s="38">
        <f>IF('Additional Videos'!B149 = "", "", IF('Additional Videos-WUO_ERR'!A149 = "", "Validated", HYPERLINK("#" &amp; ADDRESS(149, 'Additional Videos-WUO_TRK'!A149),_xlfn.TEXTAFTER('Additional Videos-WUO_ERR'!A149, ":"))))</f>
        <v/>
      </c>
    </row>
    <row r="150">
      <c r="A150" s="38">
        <f>IF('Additional Videos'!B150 = "", "", IF('Additional Videos-WUO_ERR'!A150 = "", "Validated", HYPERLINK("#" &amp; ADDRESS(150, 'Additional Videos-WUO_TRK'!A150),_xlfn.TEXTAFTER('Additional Videos-WUO_ERR'!A150, ":"))))</f>
        <v/>
      </c>
    </row>
    <row r="151">
      <c r="A151" s="38">
        <f>IF('Additional Videos'!B151 = "", "", IF('Additional Videos-WUO_ERR'!A151 = "", "Validated", HYPERLINK("#" &amp; ADDRESS(151, 'Additional Videos-WUO_TRK'!A151),_xlfn.TEXTAFTER('Additional Videos-WUO_ERR'!A151, ":"))))</f>
        <v/>
      </c>
    </row>
    <row r="152">
      <c r="A152" s="38">
        <f>IF('Additional Videos'!B152 = "", "", IF('Additional Videos-WUO_ERR'!A152 = "", "Validated", HYPERLINK("#" &amp; ADDRESS(152, 'Additional Videos-WUO_TRK'!A152),_xlfn.TEXTAFTER('Additional Videos-WUO_ERR'!A152, ":"))))</f>
        <v/>
      </c>
    </row>
    <row r="153">
      <c r="A153" s="38">
        <f>IF('Additional Videos'!B153 = "", "", IF('Additional Videos-WUO_ERR'!A153 = "", "Validated", HYPERLINK("#" &amp; ADDRESS(153, 'Additional Videos-WUO_TRK'!A153),_xlfn.TEXTAFTER('Additional Videos-WUO_ERR'!A153, ":"))))</f>
        <v/>
      </c>
    </row>
    <row r="154">
      <c r="A154" s="38">
        <f>IF('Additional Videos'!B154 = "", "", IF('Additional Videos-WUO_ERR'!A154 = "", "Validated", HYPERLINK("#" &amp; ADDRESS(154, 'Additional Videos-WUO_TRK'!A154),_xlfn.TEXTAFTER('Additional Videos-WUO_ERR'!A154, ":"))))</f>
        <v/>
      </c>
    </row>
    <row r="155">
      <c r="A155" s="38">
        <f>IF('Additional Videos'!B155 = "", "", IF('Additional Videos-WUO_ERR'!A155 = "", "Validated", HYPERLINK("#" &amp; ADDRESS(155, 'Additional Videos-WUO_TRK'!A155),_xlfn.TEXTAFTER('Additional Videos-WUO_ERR'!A155, ":"))))</f>
        <v/>
      </c>
    </row>
    <row r="156">
      <c r="A156" s="38">
        <f>IF('Additional Videos'!B156 = "", "", IF('Additional Videos-WUO_ERR'!A156 = "", "Validated", HYPERLINK("#" &amp; ADDRESS(156, 'Additional Videos-WUO_TRK'!A156),_xlfn.TEXTAFTER('Additional Videos-WUO_ERR'!A156, ":"))))</f>
        <v/>
      </c>
    </row>
    <row r="157">
      <c r="A157" s="38">
        <f>IF('Additional Videos'!B157 = "", "", IF('Additional Videos-WUO_ERR'!A157 = "", "Validated", HYPERLINK("#" &amp; ADDRESS(157, 'Additional Videos-WUO_TRK'!A157),_xlfn.TEXTAFTER('Additional Videos-WUO_ERR'!A157, ":"))))</f>
        <v/>
      </c>
    </row>
    <row r="158">
      <c r="A158" s="38">
        <f>IF('Additional Videos'!B158 = "", "", IF('Additional Videos-WUO_ERR'!A158 = "", "Validated", HYPERLINK("#" &amp; ADDRESS(158, 'Additional Videos-WUO_TRK'!A158),_xlfn.TEXTAFTER('Additional Videos-WUO_ERR'!A158, ":"))))</f>
        <v/>
      </c>
    </row>
    <row r="159">
      <c r="A159" s="38">
        <f>IF('Additional Videos'!B159 = "", "", IF('Additional Videos-WUO_ERR'!A159 = "", "Validated", HYPERLINK("#" &amp; ADDRESS(159, 'Additional Videos-WUO_TRK'!A159),_xlfn.TEXTAFTER('Additional Videos-WUO_ERR'!A159, ":"))))</f>
        <v/>
      </c>
    </row>
    <row r="160">
      <c r="A160" s="38">
        <f>IF('Additional Videos'!B160 = "", "", IF('Additional Videos-WUO_ERR'!A160 = "", "Validated", HYPERLINK("#" &amp; ADDRESS(160, 'Additional Videos-WUO_TRK'!A160),_xlfn.TEXTAFTER('Additional Videos-WUO_ERR'!A160, ":"))))</f>
        <v/>
      </c>
    </row>
    <row r="161">
      <c r="A161" s="38">
        <f>IF('Additional Videos'!B161 = "", "", IF('Additional Videos-WUO_ERR'!A161 = "", "Validated", HYPERLINK("#" &amp; ADDRESS(161, 'Additional Videos-WUO_TRK'!A161),_xlfn.TEXTAFTER('Additional Videos-WUO_ERR'!A161, ":"))))</f>
        <v/>
      </c>
    </row>
    <row r="162">
      <c r="A162" s="38">
        <f>IF('Additional Videos'!B162 = "", "", IF('Additional Videos-WUO_ERR'!A162 = "", "Validated", HYPERLINK("#" &amp; ADDRESS(162, 'Additional Videos-WUO_TRK'!A162),_xlfn.TEXTAFTER('Additional Videos-WUO_ERR'!A162, ":"))))</f>
        <v/>
      </c>
    </row>
    <row r="163">
      <c r="A163" s="38">
        <f>IF('Additional Videos'!B163 = "", "", IF('Additional Videos-WUO_ERR'!A163 = "", "Validated", HYPERLINK("#" &amp; ADDRESS(163, 'Additional Videos-WUO_TRK'!A163),_xlfn.TEXTAFTER('Additional Videos-WUO_ERR'!A163, ":"))))</f>
        <v/>
      </c>
    </row>
    <row r="164">
      <c r="A164" s="38">
        <f>IF('Additional Videos'!B164 = "", "", IF('Additional Videos-WUO_ERR'!A164 = "", "Validated", HYPERLINK("#" &amp; ADDRESS(164, 'Additional Videos-WUO_TRK'!A164),_xlfn.TEXTAFTER('Additional Videos-WUO_ERR'!A164, ":"))))</f>
        <v/>
      </c>
    </row>
    <row r="165">
      <c r="A165" s="38">
        <f>IF('Additional Videos'!B165 = "", "", IF('Additional Videos-WUO_ERR'!A165 = "", "Validated", HYPERLINK("#" &amp; ADDRESS(165, 'Additional Videos-WUO_TRK'!A165),_xlfn.TEXTAFTER('Additional Videos-WUO_ERR'!A165, ":"))))</f>
        <v/>
      </c>
    </row>
    <row r="166">
      <c r="A166" s="38">
        <f>IF('Additional Videos'!B166 = "", "", IF('Additional Videos-WUO_ERR'!A166 = "", "Validated", HYPERLINK("#" &amp; ADDRESS(166, 'Additional Videos-WUO_TRK'!A166),_xlfn.TEXTAFTER('Additional Videos-WUO_ERR'!A166, ":"))))</f>
        <v/>
      </c>
    </row>
    <row r="167">
      <c r="A167" s="38">
        <f>IF('Additional Videos'!B167 = "", "", IF('Additional Videos-WUO_ERR'!A167 = "", "Validated", HYPERLINK("#" &amp; ADDRESS(167, 'Additional Videos-WUO_TRK'!A167),_xlfn.TEXTAFTER('Additional Videos-WUO_ERR'!A167, ":"))))</f>
        <v/>
      </c>
    </row>
    <row r="168">
      <c r="A168" s="38">
        <f>IF('Additional Videos'!B168 = "", "", IF('Additional Videos-WUO_ERR'!A168 = "", "Validated", HYPERLINK("#" &amp; ADDRESS(168, 'Additional Videos-WUO_TRK'!A168),_xlfn.TEXTAFTER('Additional Videos-WUO_ERR'!A168, ":"))))</f>
        <v/>
      </c>
    </row>
    <row r="169">
      <c r="A169" s="38">
        <f>IF('Additional Videos'!B169 = "", "", IF('Additional Videos-WUO_ERR'!A169 = "", "Validated", HYPERLINK("#" &amp; ADDRESS(169, 'Additional Videos-WUO_TRK'!A169),_xlfn.TEXTAFTER('Additional Videos-WUO_ERR'!A169, ":"))))</f>
        <v/>
      </c>
    </row>
    <row r="170">
      <c r="A170" s="38">
        <f>IF('Additional Videos'!B170 = "", "", IF('Additional Videos-WUO_ERR'!A170 = "", "Validated", HYPERLINK("#" &amp; ADDRESS(170, 'Additional Videos-WUO_TRK'!A170),_xlfn.TEXTAFTER('Additional Videos-WUO_ERR'!A170, ":"))))</f>
        <v/>
      </c>
    </row>
    <row r="171">
      <c r="A171" s="38">
        <f>IF('Additional Videos'!B171 = "", "", IF('Additional Videos-WUO_ERR'!A171 = "", "Validated", HYPERLINK("#" &amp; ADDRESS(171, 'Additional Videos-WUO_TRK'!A171),_xlfn.TEXTAFTER('Additional Videos-WUO_ERR'!A171, ":"))))</f>
        <v/>
      </c>
    </row>
    <row r="172">
      <c r="A172" s="38">
        <f>IF('Additional Videos'!B172 = "", "", IF('Additional Videos-WUO_ERR'!A172 = "", "Validated", HYPERLINK("#" &amp; ADDRESS(172, 'Additional Videos-WUO_TRK'!A172),_xlfn.TEXTAFTER('Additional Videos-WUO_ERR'!A172, ":"))))</f>
        <v/>
      </c>
    </row>
    <row r="173">
      <c r="A173" s="38">
        <f>IF('Additional Videos'!B173 = "", "", IF('Additional Videos-WUO_ERR'!A173 = "", "Validated", HYPERLINK("#" &amp; ADDRESS(173, 'Additional Videos-WUO_TRK'!A173),_xlfn.TEXTAFTER('Additional Videos-WUO_ERR'!A173, ":"))))</f>
        <v/>
      </c>
    </row>
    <row r="174">
      <c r="A174" s="38">
        <f>IF('Additional Videos'!B174 = "", "", IF('Additional Videos-WUO_ERR'!A174 = "", "Validated", HYPERLINK("#" &amp; ADDRESS(174, 'Additional Videos-WUO_TRK'!A174),_xlfn.TEXTAFTER('Additional Videos-WUO_ERR'!A174, ":"))))</f>
        <v/>
      </c>
    </row>
    <row r="175">
      <c r="A175" s="38">
        <f>IF('Additional Videos'!B175 = "", "", IF('Additional Videos-WUO_ERR'!A175 = "", "Validated", HYPERLINK("#" &amp; ADDRESS(175, 'Additional Videos-WUO_TRK'!A175),_xlfn.TEXTAFTER('Additional Videos-WUO_ERR'!A175, ":"))))</f>
        <v/>
      </c>
    </row>
    <row r="176">
      <c r="A176" s="38">
        <f>IF('Additional Videos'!B176 = "", "", IF('Additional Videos-WUO_ERR'!A176 = "", "Validated", HYPERLINK("#" &amp; ADDRESS(176, 'Additional Videos-WUO_TRK'!A176),_xlfn.TEXTAFTER('Additional Videos-WUO_ERR'!A176, ":"))))</f>
        <v/>
      </c>
    </row>
    <row r="177">
      <c r="A177" s="38">
        <f>IF('Additional Videos'!B177 = "", "", IF('Additional Videos-WUO_ERR'!A177 = "", "Validated", HYPERLINK("#" &amp; ADDRESS(177, 'Additional Videos-WUO_TRK'!A177),_xlfn.TEXTAFTER('Additional Videos-WUO_ERR'!A177, ":"))))</f>
        <v/>
      </c>
    </row>
    <row r="178">
      <c r="A178" s="38">
        <f>IF('Additional Videos'!B178 = "", "", IF('Additional Videos-WUO_ERR'!A178 = "", "Validated", HYPERLINK("#" &amp; ADDRESS(178, 'Additional Videos-WUO_TRK'!A178),_xlfn.TEXTAFTER('Additional Videos-WUO_ERR'!A178, ":"))))</f>
        <v/>
      </c>
    </row>
    <row r="179">
      <c r="A179" s="38">
        <f>IF('Additional Videos'!B179 = "", "", IF('Additional Videos-WUO_ERR'!A179 = "", "Validated", HYPERLINK("#" &amp; ADDRESS(179, 'Additional Videos-WUO_TRK'!A179),_xlfn.TEXTAFTER('Additional Videos-WUO_ERR'!A179, ":"))))</f>
        <v/>
      </c>
    </row>
    <row r="180">
      <c r="A180" s="38">
        <f>IF('Additional Videos'!B180 = "", "", IF('Additional Videos-WUO_ERR'!A180 = "", "Validated", HYPERLINK("#" &amp; ADDRESS(180, 'Additional Videos-WUO_TRK'!A180),_xlfn.TEXTAFTER('Additional Videos-WUO_ERR'!A180, ":"))))</f>
        <v/>
      </c>
    </row>
    <row r="181">
      <c r="A181" s="38">
        <f>IF('Additional Videos'!B181 = "", "", IF('Additional Videos-WUO_ERR'!A181 = "", "Validated", HYPERLINK("#" &amp; ADDRESS(181, 'Additional Videos-WUO_TRK'!A181),_xlfn.TEXTAFTER('Additional Videos-WUO_ERR'!A181, ":"))))</f>
        <v/>
      </c>
    </row>
    <row r="182">
      <c r="A182" s="38">
        <f>IF('Additional Videos'!B182 = "", "", IF('Additional Videos-WUO_ERR'!A182 = "", "Validated", HYPERLINK("#" &amp; ADDRESS(182, 'Additional Videos-WUO_TRK'!A182),_xlfn.TEXTAFTER('Additional Videos-WUO_ERR'!A182, ":"))))</f>
        <v/>
      </c>
    </row>
    <row r="183">
      <c r="A183" s="38">
        <f>IF('Additional Videos'!B183 = "", "", IF('Additional Videos-WUO_ERR'!A183 = "", "Validated", HYPERLINK("#" &amp; ADDRESS(183, 'Additional Videos-WUO_TRK'!A183),_xlfn.TEXTAFTER('Additional Videos-WUO_ERR'!A183, ":"))))</f>
        <v/>
      </c>
    </row>
    <row r="184">
      <c r="A184" s="38">
        <f>IF('Additional Videos'!B184 = "", "", IF('Additional Videos-WUO_ERR'!A184 = "", "Validated", HYPERLINK("#" &amp; ADDRESS(184, 'Additional Videos-WUO_TRK'!A184),_xlfn.TEXTAFTER('Additional Videos-WUO_ERR'!A184, ":"))))</f>
        <v/>
      </c>
    </row>
    <row r="185">
      <c r="A185" s="38">
        <f>IF('Additional Videos'!B185 = "", "", IF('Additional Videos-WUO_ERR'!A185 = "", "Validated", HYPERLINK("#" &amp; ADDRESS(185, 'Additional Videos-WUO_TRK'!A185),_xlfn.TEXTAFTER('Additional Videos-WUO_ERR'!A185, ":"))))</f>
        <v/>
      </c>
    </row>
    <row r="186">
      <c r="A186" s="38">
        <f>IF('Additional Videos'!B186 = "", "", IF('Additional Videos-WUO_ERR'!A186 = "", "Validated", HYPERLINK("#" &amp; ADDRESS(186, 'Additional Videos-WUO_TRK'!A186),_xlfn.TEXTAFTER('Additional Videos-WUO_ERR'!A186, ":"))))</f>
        <v/>
      </c>
    </row>
    <row r="187">
      <c r="A187" s="38">
        <f>IF('Additional Videos'!B187 = "", "", IF('Additional Videos-WUO_ERR'!A187 = "", "Validated", HYPERLINK("#" &amp; ADDRESS(187, 'Additional Videos-WUO_TRK'!A187),_xlfn.TEXTAFTER('Additional Videos-WUO_ERR'!A187, ":"))))</f>
        <v/>
      </c>
    </row>
    <row r="188">
      <c r="A188" s="38">
        <f>IF('Additional Videos'!B188 = "", "", IF('Additional Videos-WUO_ERR'!A188 = "", "Validated", HYPERLINK("#" &amp; ADDRESS(188, 'Additional Videos-WUO_TRK'!A188),_xlfn.TEXTAFTER('Additional Videos-WUO_ERR'!A188, ":"))))</f>
        <v/>
      </c>
    </row>
    <row r="189">
      <c r="A189" s="38">
        <f>IF('Additional Videos'!B189 = "", "", IF('Additional Videos-WUO_ERR'!A189 = "", "Validated", HYPERLINK("#" &amp; ADDRESS(189, 'Additional Videos-WUO_TRK'!A189),_xlfn.TEXTAFTER('Additional Videos-WUO_ERR'!A189, ":"))))</f>
        <v/>
      </c>
    </row>
    <row r="190">
      <c r="A190" s="38">
        <f>IF('Additional Videos'!B190 = "", "", IF('Additional Videos-WUO_ERR'!A190 = "", "Validated", HYPERLINK("#" &amp; ADDRESS(190, 'Additional Videos-WUO_TRK'!A190),_xlfn.TEXTAFTER('Additional Videos-WUO_ERR'!A190, ":"))))</f>
        <v/>
      </c>
    </row>
    <row r="191">
      <c r="A191" s="38">
        <f>IF('Additional Videos'!B191 = "", "", IF('Additional Videos-WUO_ERR'!A191 = "", "Validated", HYPERLINK("#" &amp; ADDRESS(191, 'Additional Videos-WUO_TRK'!A191),_xlfn.TEXTAFTER('Additional Videos-WUO_ERR'!A191, ":"))))</f>
        <v/>
      </c>
    </row>
    <row r="192">
      <c r="A192" s="38">
        <f>IF('Additional Videos'!B192 = "", "", IF('Additional Videos-WUO_ERR'!A192 = "", "Validated", HYPERLINK("#" &amp; ADDRESS(192, 'Additional Videos-WUO_TRK'!A192),_xlfn.TEXTAFTER('Additional Videos-WUO_ERR'!A192, ":"))))</f>
        <v/>
      </c>
    </row>
    <row r="193">
      <c r="A193" s="38">
        <f>IF('Additional Videos'!B193 = "", "", IF('Additional Videos-WUO_ERR'!A193 = "", "Validated", HYPERLINK("#" &amp; ADDRESS(193, 'Additional Videos-WUO_TRK'!A193),_xlfn.TEXTAFTER('Additional Videos-WUO_ERR'!A193, ":"))))</f>
        <v/>
      </c>
    </row>
    <row r="194">
      <c r="A194" s="38">
        <f>IF('Additional Videos'!B194 = "", "", IF('Additional Videos-WUO_ERR'!A194 = "", "Validated", HYPERLINK("#" &amp; ADDRESS(194, 'Additional Videos-WUO_TRK'!A194),_xlfn.TEXTAFTER('Additional Videos-WUO_ERR'!A194, ":"))))</f>
        <v/>
      </c>
    </row>
    <row r="195">
      <c r="A195" s="38">
        <f>IF('Additional Videos'!B195 = "", "", IF('Additional Videos-WUO_ERR'!A195 = "", "Validated", HYPERLINK("#" &amp; ADDRESS(195, 'Additional Videos-WUO_TRK'!A195),_xlfn.TEXTAFTER('Additional Videos-WUO_ERR'!A195, ":"))))</f>
        <v/>
      </c>
    </row>
    <row r="196">
      <c r="A196" s="38">
        <f>IF('Additional Videos'!B196 = "", "", IF('Additional Videos-WUO_ERR'!A196 = "", "Validated", HYPERLINK("#" &amp; ADDRESS(196, 'Additional Videos-WUO_TRK'!A196),_xlfn.TEXTAFTER('Additional Videos-WUO_ERR'!A196, ":"))))</f>
        <v/>
      </c>
    </row>
    <row r="197">
      <c r="A197" s="38">
        <f>IF('Additional Videos'!B197 = "", "", IF('Additional Videos-WUO_ERR'!A197 = "", "Validated", HYPERLINK("#" &amp; ADDRESS(197, 'Additional Videos-WUO_TRK'!A197),_xlfn.TEXTAFTER('Additional Videos-WUO_ERR'!A197, ":"))))</f>
        <v/>
      </c>
    </row>
    <row r="198">
      <c r="A198" s="38">
        <f>IF('Additional Videos'!B198 = "", "", IF('Additional Videos-WUO_ERR'!A198 = "", "Validated", HYPERLINK("#" &amp; ADDRESS(198, 'Additional Videos-WUO_TRK'!A198),_xlfn.TEXTAFTER('Additional Videos-WUO_ERR'!A198, ":"))))</f>
        <v/>
      </c>
    </row>
    <row r="199">
      <c r="A199" s="38">
        <f>IF('Additional Videos'!B199 = "", "", IF('Additional Videos-WUO_ERR'!A199 = "", "Validated", HYPERLINK("#" &amp; ADDRESS(199, 'Additional Videos-WUO_TRK'!A199),_xlfn.TEXTAFTER('Additional Videos-WUO_ERR'!A199, ":"))))</f>
        <v/>
      </c>
    </row>
    <row r="200">
      <c r="A200" s="38">
        <f>IF('Additional Videos'!B200 = "", "", IF('Additional Videos-WUO_ERR'!A200 = "", "Validated", HYPERLINK("#" &amp; ADDRESS(200, 'Additional Videos-WUO_TRK'!A200),_xlfn.TEXTAFTER('Additional Videos-WUO_ERR'!A200, ":"))))</f>
        <v/>
      </c>
    </row>
    <row r="201">
      <c r="A201" s="38">
        <f>IF('Additional Videos'!B201 = "", "", IF('Additional Videos-WUO_ERR'!A201 = "", "Validated", HYPERLINK("#" &amp; ADDRESS(201, 'Additional Videos-WUO_TRK'!A201),_xlfn.TEXTAFTER('Additional Videos-WUO_ERR'!A201, ":"))))</f>
        <v/>
      </c>
    </row>
    <row r="202">
      <c r="A202" s="38">
        <f>IF('Additional Videos'!B202 = "", "", IF('Additional Videos-WUO_ERR'!A202 = "", "Validated", HYPERLINK("#" &amp; ADDRESS(202, 'Additional Videos-WUO_TRK'!A202),_xlfn.TEXTAFTER('Additional Videos-WUO_ERR'!A202, ":"))))</f>
        <v/>
      </c>
    </row>
    <row r="203">
      <c r="A203" s="38">
        <f>IF('Additional Videos'!B203 = "", "", IF('Additional Videos-WUO_ERR'!A203 = "", "Validated", HYPERLINK("#" &amp; ADDRESS(203, 'Additional Videos-WUO_TRK'!A203),_xlfn.TEXTAFTER('Additional Videos-WUO_ERR'!A203, ":"))))</f>
        <v/>
      </c>
    </row>
    <row r="204">
      <c r="A204" s="38">
        <f>IF('Additional Videos'!B204 = "", "", IF('Additional Videos-WUO_ERR'!A204 = "", "Validated", HYPERLINK("#" &amp; ADDRESS(204, 'Additional Videos-WUO_TRK'!A204),_xlfn.TEXTAFTER('Additional Videos-WUO_ERR'!A204, ":"))))</f>
        <v/>
      </c>
    </row>
    <row r="205">
      <c r="A205" s="38">
        <f>IF('Additional Videos'!B205 = "", "", IF('Additional Videos-WUO_ERR'!A205 = "", "Validated", HYPERLINK("#" &amp; ADDRESS(205, 'Additional Videos-WUO_TRK'!A205),_xlfn.TEXTAFTER('Additional Videos-WUO_ERR'!A205, ":"))))</f>
        <v/>
      </c>
    </row>
    <row r="206">
      <c r="A206" s="38">
        <f>IF('Additional Videos'!B206 = "", "", IF('Additional Videos-WUO_ERR'!A206 = "", "Validated", HYPERLINK("#" &amp; ADDRESS(206, 'Additional Videos-WUO_TRK'!A206),_xlfn.TEXTAFTER('Additional Videos-WUO_ERR'!A206, ":"))))</f>
        <v/>
      </c>
    </row>
    <row r="207">
      <c r="A207" s="38">
        <f>IF('Additional Videos'!B207 = "", "", IF('Additional Videos-WUO_ERR'!A207 = "", "Validated", HYPERLINK("#" &amp; ADDRESS(207, 'Additional Videos-WUO_TRK'!A207),_xlfn.TEXTAFTER('Additional Videos-WUO_ERR'!A207, ":"))))</f>
        <v/>
      </c>
    </row>
    <row r="208">
      <c r="A208" s="38">
        <f>IF('Additional Videos'!B208 = "", "", IF('Additional Videos-WUO_ERR'!A208 = "", "Validated", HYPERLINK("#" &amp; ADDRESS(208, 'Additional Videos-WUO_TRK'!A208),_xlfn.TEXTAFTER('Additional Videos-WUO_ERR'!A208, ":"))))</f>
        <v/>
      </c>
    </row>
    <row r="209">
      <c r="A209" s="38">
        <f>IF('Additional Videos'!B209 = "", "", IF('Additional Videos-WUO_ERR'!A209 = "", "Validated", HYPERLINK("#" &amp; ADDRESS(209, 'Additional Videos-WUO_TRK'!A209),_xlfn.TEXTAFTER('Additional Videos-WUO_ERR'!A209, ":"))))</f>
        <v/>
      </c>
    </row>
    <row r="210">
      <c r="A210" s="38">
        <f>IF('Additional Videos'!B210 = "", "", IF('Additional Videos-WUO_ERR'!A210 = "", "Validated", HYPERLINK("#" &amp; ADDRESS(210, 'Additional Videos-WUO_TRK'!A210),_xlfn.TEXTAFTER('Additional Videos-WUO_ERR'!A210, ":"))))</f>
        <v/>
      </c>
    </row>
    <row r="211">
      <c r="A211" s="38">
        <f>IF('Additional Videos'!B211 = "", "", IF('Additional Videos-WUO_ERR'!A211 = "", "Validated", HYPERLINK("#" &amp; ADDRESS(211, 'Additional Videos-WUO_TRK'!A211),_xlfn.TEXTAFTER('Additional Videos-WUO_ERR'!A211, ":"))))</f>
        <v/>
      </c>
    </row>
    <row r="212">
      <c r="A212" s="38">
        <f>IF('Additional Videos'!B212 = "", "", IF('Additional Videos-WUO_ERR'!A212 = "", "Validated", HYPERLINK("#" &amp; ADDRESS(212, 'Additional Videos-WUO_TRK'!A212),_xlfn.TEXTAFTER('Additional Videos-WUO_ERR'!A212, ":"))))</f>
        <v/>
      </c>
    </row>
    <row r="213">
      <c r="A213" s="38">
        <f>IF('Additional Videos'!B213 = "", "", IF('Additional Videos-WUO_ERR'!A213 = "", "Validated", HYPERLINK("#" &amp; ADDRESS(213, 'Additional Videos-WUO_TRK'!A213),_xlfn.TEXTAFTER('Additional Videos-WUO_ERR'!A213, ":"))))</f>
        <v/>
      </c>
    </row>
    <row r="214">
      <c r="A214" s="38">
        <f>IF('Additional Videos'!B214 = "", "", IF('Additional Videos-WUO_ERR'!A214 = "", "Validated", HYPERLINK("#" &amp; ADDRESS(214, 'Additional Videos-WUO_TRK'!A214),_xlfn.TEXTAFTER('Additional Videos-WUO_ERR'!A214, ":"))))</f>
        <v/>
      </c>
    </row>
    <row r="215">
      <c r="A215" s="38">
        <f>IF('Additional Videos'!B215 = "", "", IF('Additional Videos-WUO_ERR'!A215 = "", "Validated", HYPERLINK("#" &amp; ADDRESS(215, 'Additional Videos-WUO_TRK'!A215),_xlfn.TEXTAFTER('Additional Videos-WUO_ERR'!A215, ":"))))</f>
        <v/>
      </c>
    </row>
    <row r="216">
      <c r="A216" s="38">
        <f>IF('Additional Videos'!B216 = "", "", IF('Additional Videos-WUO_ERR'!A216 = "", "Validated", HYPERLINK("#" &amp; ADDRESS(216, 'Additional Videos-WUO_TRK'!A216),_xlfn.TEXTAFTER('Additional Videos-WUO_ERR'!A216, ":"))))</f>
        <v/>
      </c>
    </row>
    <row r="217">
      <c r="A217" s="38">
        <f>IF('Additional Videos'!B217 = "", "", IF('Additional Videos-WUO_ERR'!A217 = "", "Validated", HYPERLINK("#" &amp; ADDRESS(217, 'Additional Videos-WUO_TRK'!A217),_xlfn.TEXTAFTER('Additional Videos-WUO_ERR'!A217, ":"))))</f>
        <v/>
      </c>
    </row>
    <row r="218">
      <c r="A218" s="38">
        <f>IF('Additional Videos'!B218 = "", "", IF('Additional Videos-WUO_ERR'!A218 = "", "Validated", HYPERLINK("#" &amp; ADDRESS(218, 'Additional Videos-WUO_TRK'!A218),_xlfn.TEXTAFTER('Additional Videos-WUO_ERR'!A218, ":"))))</f>
        <v/>
      </c>
    </row>
    <row r="219">
      <c r="A219" s="38">
        <f>IF('Additional Videos'!B219 = "", "", IF('Additional Videos-WUO_ERR'!A219 = "", "Validated", HYPERLINK("#" &amp; ADDRESS(219, 'Additional Videos-WUO_TRK'!A219),_xlfn.TEXTAFTER('Additional Videos-WUO_ERR'!A219, ":"))))</f>
        <v/>
      </c>
    </row>
    <row r="220">
      <c r="A220" s="38">
        <f>IF('Additional Videos'!B220 = "", "", IF('Additional Videos-WUO_ERR'!A220 = "", "Validated", HYPERLINK("#" &amp; ADDRESS(220, 'Additional Videos-WUO_TRK'!A220),_xlfn.TEXTAFTER('Additional Videos-WUO_ERR'!A220, ":"))))</f>
        <v/>
      </c>
    </row>
    <row r="221">
      <c r="A221" s="38">
        <f>IF('Additional Videos'!B221 = "", "", IF('Additional Videos-WUO_ERR'!A221 = "", "Validated", HYPERLINK("#" &amp; ADDRESS(221, 'Additional Videos-WUO_TRK'!A221),_xlfn.TEXTAFTER('Additional Videos-WUO_ERR'!A221, ":"))))</f>
        <v/>
      </c>
    </row>
    <row r="222">
      <c r="A222" s="38">
        <f>IF('Additional Videos'!B222 = "", "", IF('Additional Videos-WUO_ERR'!A222 = "", "Validated", HYPERLINK("#" &amp; ADDRESS(222, 'Additional Videos-WUO_TRK'!A222),_xlfn.TEXTAFTER('Additional Videos-WUO_ERR'!A222, ":"))))</f>
        <v/>
      </c>
    </row>
    <row r="223">
      <c r="A223" s="38">
        <f>IF('Additional Videos'!B223 = "", "", IF('Additional Videos-WUO_ERR'!A223 = "", "Validated", HYPERLINK("#" &amp; ADDRESS(223, 'Additional Videos-WUO_TRK'!A223),_xlfn.TEXTAFTER('Additional Videos-WUO_ERR'!A223, ":"))))</f>
        <v/>
      </c>
    </row>
    <row r="224">
      <c r="A224" s="38">
        <f>IF('Additional Videos'!B224 = "", "", IF('Additional Videos-WUO_ERR'!A224 = "", "Validated", HYPERLINK("#" &amp; ADDRESS(224, 'Additional Videos-WUO_TRK'!A224),_xlfn.TEXTAFTER('Additional Videos-WUO_ERR'!A224, ":"))))</f>
        <v/>
      </c>
    </row>
    <row r="225">
      <c r="A225" s="38">
        <f>IF('Additional Videos'!B225 = "", "", IF('Additional Videos-WUO_ERR'!A225 = "", "Validated", HYPERLINK("#" &amp; ADDRESS(225, 'Additional Videos-WUO_TRK'!A225),_xlfn.TEXTAFTER('Additional Videos-WUO_ERR'!A225, ":"))))</f>
        <v/>
      </c>
    </row>
    <row r="226">
      <c r="A226" s="38">
        <f>IF('Additional Videos'!B226 = "", "", IF('Additional Videos-WUO_ERR'!A226 = "", "Validated", HYPERLINK("#" &amp; ADDRESS(226, 'Additional Videos-WUO_TRK'!A226),_xlfn.TEXTAFTER('Additional Videos-WUO_ERR'!A226, ":"))))</f>
        <v/>
      </c>
    </row>
    <row r="227">
      <c r="A227" s="38">
        <f>IF('Additional Videos'!B227 = "", "", IF('Additional Videos-WUO_ERR'!A227 = "", "Validated", HYPERLINK("#" &amp; ADDRESS(227, 'Additional Videos-WUO_TRK'!A227),_xlfn.TEXTAFTER('Additional Videos-WUO_ERR'!A227, ":"))))</f>
        <v/>
      </c>
    </row>
    <row r="228">
      <c r="A228" s="38">
        <f>IF('Additional Videos'!B228 = "", "", IF('Additional Videos-WUO_ERR'!A228 = "", "Validated", HYPERLINK("#" &amp; ADDRESS(228, 'Additional Videos-WUO_TRK'!A228),_xlfn.TEXTAFTER('Additional Videos-WUO_ERR'!A228, ":"))))</f>
        <v/>
      </c>
    </row>
    <row r="229">
      <c r="A229" s="38">
        <f>IF('Additional Videos'!B229 = "", "", IF('Additional Videos-WUO_ERR'!A229 = "", "Validated", HYPERLINK("#" &amp; ADDRESS(229, 'Additional Videos-WUO_TRK'!A229),_xlfn.TEXTAFTER('Additional Videos-WUO_ERR'!A229, ":"))))</f>
        <v/>
      </c>
    </row>
    <row r="230">
      <c r="A230" s="38">
        <f>IF('Additional Videos'!B230 = "", "", IF('Additional Videos-WUO_ERR'!A230 = "", "Validated", HYPERLINK("#" &amp; ADDRESS(230, 'Additional Videos-WUO_TRK'!A230),_xlfn.TEXTAFTER('Additional Videos-WUO_ERR'!A230, ":"))))</f>
        <v/>
      </c>
    </row>
    <row r="231">
      <c r="A231" s="38">
        <f>IF('Additional Videos'!B231 = "", "", IF('Additional Videos-WUO_ERR'!A231 = "", "Validated", HYPERLINK("#" &amp; ADDRESS(231, 'Additional Videos-WUO_TRK'!A231),_xlfn.TEXTAFTER('Additional Videos-WUO_ERR'!A231, ":"))))</f>
        <v/>
      </c>
    </row>
    <row r="232">
      <c r="A232" s="38">
        <f>IF('Additional Videos'!B232 = "", "", IF('Additional Videos-WUO_ERR'!A232 = "", "Validated", HYPERLINK("#" &amp; ADDRESS(232, 'Additional Videos-WUO_TRK'!A232),_xlfn.TEXTAFTER('Additional Videos-WUO_ERR'!A232, ":"))))</f>
        <v/>
      </c>
    </row>
    <row r="233">
      <c r="A233" s="38">
        <f>IF('Additional Videos'!B233 = "", "", IF('Additional Videos-WUO_ERR'!A233 = "", "Validated", HYPERLINK("#" &amp; ADDRESS(233, 'Additional Videos-WUO_TRK'!A233),_xlfn.TEXTAFTER('Additional Videos-WUO_ERR'!A233, ":"))))</f>
        <v/>
      </c>
    </row>
    <row r="234">
      <c r="A234" s="38">
        <f>IF('Additional Videos'!B234 = "", "", IF('Additional Videos-WUO_ERR'!A234 = "", "Validated", HYPERLINK("#" &amp; ADDRESS(234, 'Additional Videos-WUO_TRK'!A234),_xlfn.TEXTAFTER('Additional Videos-WUO_ERR'!A234, ":"))))</f>
        <v/>
      </c>
    </row>
    <row r="235">
      <c r="A235" s="38">
        <f>IF('Additional Videos'!B235 = "", "", IF('Additional Videos-WUO_ERR'!A235 = "", "Validated", HYPERLINK("#" &amp; ADDRESS(235, 'Additional Videos-WUO_TRK'!A235),_xlfn.TEXTAFTER('Additional Videos-WUO_ERR'!A235, ":"))))</f>
        <v/>
      </c>
    </row>
    <row r="236">
      <c r="A236" s="38">
        <f>IF('Additional Videos'!B236 = "", "", IF('Additional Videos-WUO_ERR'!A236 = "", "Validated", HYPERLINK("#" &amp; ADDRESS(236, 'Additional Videos-WUO_TRK'!A236),_xlfn.TEXTAFTER('Additional Videos-WUO_ERR'!A236, ":"))))</f>
        <v/>
      </c>
    </row>
    <row r="237">
      <c r="A237" s="38">
        <f>IF('Additional Videos'!B237 = "", "", IF('Additional Videos-WUO_ERR'!A237 = "", "Validated", HYPERLINK("#" &amp; ADDRESS(237, 'Additional Videos-WUO_TRK'!A237),_xlfn.TEXTAFTER('Additional Videos-WUO_ERR'!A237, ":"))))</f>
        <v/>
      </c>
    </row>
    <row r="238">
      <c r="A238" s="38">
        <f>IF('Additional Videos'!B238 = "", "", IF('Additional Videos-WUO_ERR'!A238 = "", "Validated", HYPERLINK("#" &amp; ADDRESS(238, 'Additional Videos-WUO_TRK'!A238),_xlfn.TEXTAFTER('Additional Videos-WUO_ERR'!A238, ":"))))</f>
        <v/>
      </c>
    </row>
    <row r="239">
      <c r="A239" s="38">
        <f>IF('Additional Videos'!B239 = "", "", IF('Additional Videos-WUO_ERR'!A239 = "", "Validated", HYPERLINK("#" &amp; ADDRESS(239, 'Additional Videos-WUO_TRK'!A239),_xlfn.TEXTAFTER('Additional Videos-WUO_ERR'!A239, ":"))))</f>
        <v/>
      </c>
    </row>
    <row r="240">
      <c r="A240" s="38">
        <f>IF('Additional Videos'!B240 = "", "", IF('Additional Videos-WUO_ERR'!A240 = "", "Validated", HYPERLINK("#" &amp; ADDRESS(240, 'Additional Videos-WUO_TRK'!A240),_xlfn.TEXTAFTER('Additional Videos-WUO_ERR'!A240, ":"))))</f>
        <v/>
      </c>
    </row>
    <row r="241">
      <c r="A241" s="38">
        <f>IF('Additional Videos'!B241 = "", "", IF('Additional Videos-WUO_ERR'!A241 = "", "Validated", HYPERLINK("#" &amp; ADDRESS(241, 'Additional Videos-WUO_TRK'!A241),_xlfn.TEXTAFTER('Additional Videos-WUO_ERR'!A241, ":"))))</f>
        <v/>
      </c>
    </row>
    <row r="242">
      <c r="A242" s="38">
        <f>IF('Additional Videos'!B242 = "", "", IF('Additional Videos-WUO_ERR'!A242 = "", "Validated", HYPERLINK("#" &amp; ADDRESS(242, 'Additional Videos-WUO_TRK'!A242),_xlfn.TEXTAFTER('Additional Videos-WUO_ERR'!A242, ":"))))</f>
        <v/>
      </c>
    </row>
    <row r="243">
      <c r="A243" s="38">
        <f>IF('Additional Videos'!B243 = "", "", IF('Additional Videos-WUO_ERR'!A243 = "", "Validated", HYPERLINK("#" &amp; ADDRESS(243, 'Additional Videos-WUO_TRK'!A243),_xlfn.TEXTAFTER('Additional Videos-WUO_ERR'!A243, ":"))))</f>
        <v/>
      </c>
    </row>
    <row r="244">
      <c r="A244" s="38">
        <f>IF('Additional Videos'!B244 = "", "", IF('Additional Videos-WUO_ERR'!A244 = "", "Validated", HYPERLINK("#" &amp; ADDRESS(244, 'Additional Videos-WUO_TRK'!A244),_xlfn.TEXTAFTER('Additional Videos-WUO_ERR'!A244, ":"))))</f>
        <v/>
      </c>
    </row>
    <row r="245">
      <c r="A245" s="38">
        <f>IF('Additional Videos'!B245 = "", "", IF('Additional Videos-WUO_ERR'!A245 = "", "Validated", HYPERLINK("#" &amp; ADDRESS(245, 'Additional Videos-WUO_TRK'!A245),_xlfn.TEXTAFTER('Additional Videos-WUO_ERR'!A245, ":"))))</f>
        <v/>
      </c>
    </row>
    <row r="246">
      <c r="A246" s="38">
        <f>IF('Additional Videos'!B246 = "", "", IF('Additional Videos-WUO_ERR'!A246 = "", "Validated", HYPERLINK("#" &amp; ADDRESS(246, 'Additional Videos-WUO_TRK'!A246),_xlfn.TEXTAFTER('Additional Videos-WUO_ERR'!A246, ":"))))</f>
        <v/>
      </c>
    </row>
    <row r="247">
      <c r="A247" s="38">
        <f>IF('Additional Videos'!B247 = "", "", IF('Additional Videos-WUO_ERR'!A247 = "", "Validated", HYPERLINK("#" &amp; ADDRESS(247, 'Additional Videos-WUO_TRK'!A247),_xlfn.TEXTAFTER('Additional Videos-WUO_ERR'!A247, ":"))))</f>
        <v/>
      </c>
    </row>
    <row r="248">
      <c r="A248" s="38">
        <f>IF('Additional Videos'!B248 = "", "", IF('Additional Videos-WUO_ERR'!A248 = "", "Validated", HYPERLINK("#" &amp; ADDRESS(248, 'Additional Videos-WUO_TRK'!A248),_xlfn.TEXTAFTER('Additional Videos-WUO_ERR'!A248, ":"))))</f>
        <v/>
      </c>
    </row>
    <row r="249">
      <c r="A249" s="38">
        <f>IF('Additional Videos'!B249 = "", "", IF('Additional Videos-WUO_ERR'!A249 = "", "Validated", HYPERLINK("#" &amp; ADDRESS(249, 'Additional Videos-WUO_TRK'!A249),_xlfn.TEXTAFTER('Additional Videos-WUO_ERR'!A249, ":"))))</f>
        <v/>
      </c>
    </row>
    <row r="250">
      <c r="A250" s="38">
        <f>IF('Additional Videos'!B250 = "", "", IF('Additional Videos-WUO_ERR'!A250 = "", "Validated", HYPERLINK("#" &amp; ADDRESS(250, 'Additional Videos-WUO_TRK'!A250),_xlfn.TEXTAFTER('Additional Videos-WUO_ERR'!A250, ":"))))</f>
        <v/>
      </c>
    </row>
    <row r="251">
      <c r="A251" s="38">
        <f>IF('Additional Videos'!B251 = "", "", IF('Additional Videos-WUO_ERR'!A251 = "", "Validated", HYPERLINK("#" &amp; ADDRESS(251, 'Additional Videos-WUO_TRK'!A251),_xlfn.TEXTAFTER('Additional Videos-WUO_ERR'!A251, ":"))))</f>
        <v/>
      </c>
    </row>
    <row r="252">
      <c r="A252" s="38">
        <f>IF('Additional Videos'!B252 = "", "", IF('Additional Videos-WUO_ERR'!A252 = "", "Validated", HYPERLINK("#" &amp; ADDRESS(252, 'Additional Videos-WUO_TRK'!A252),_xlfn.TEXTAFTER('Additional Videos-WUO_ERR'!A252, ":"))))</f>
        <v/>
      </c>
    </row>
    <row r="253">
      <c r="A253" s="38">
        <f>IF('Additional Videos'!B253 = "", "", IF('Additional Videos-WUO_ERR'!A253 = "", "Validated", HYPERLINK("#" &amp; ADDRESS(253, 'Additional Videos-WUO_TRK'!A253),_xlfn.TEXTAFTER('Additional Videos-WUO_ERR'!A253, ":"))))</f>
        <v/>
      </c>
    </row>
    <row r="254">
      <c r="A254" s="38">
        <f>IF('Additional Videos'!B254 = "", "", IF('Additional Videos-WUO_ERR'!A254 = "", "Validated", HYPERLINK("#" &amp; ADDRESS(254, 'Additional Videos-WUO_TRK'!A254),_xlfn.TEXTAFTER('Additional Videos-WUO_ERR'!A254, ":"))))</f>
        <v/>
      </c>
    </row>
    <row r="255">
      <c r="A255" s="38">
        <f>IF('Additional Videos'!B255 = "", "", IF('Additional Videos-WUO_ERR'!A255 = "", "Validated", HYPERLINK("#" &amp; ADDRESS(255, 'Additional Videos-WUO_TRK'!A255),_xlfn.TEXTAFTER('Additional Videos-WUO_ERR'!A255, ":"))))</f>
        <v/>
      </c>
    </row>
    <row r="256">
      <c r="A256" s="38">
        <f>IF('Additional Videos'!B256 = "", "", IF('Additional Videos-WUO_ERR'!A256 = "", "Validated", HYPERLINK("#" &amp; ADDRESS(256, 'Additional Videos-WUO_TRK'!A256),_xlfn.TEXTAFTER('Additional Videos-WUO_ERR'!A256, ":"))))</f>
        <v/>
      </c>
    </row>
    <row r="257">
      <c r="A257" s="38">
        <f>IF('Additional Videos'!B257 = "", "", IF('Additional Videos-WUO_ERR'!A257 = "", "Validated", HYPERLINK("#" &amp; ADDRESS(257, 'Additional Videos-WUO_TRK'!A257),_xlfn.TEXTAFTER('Additional Videos-WUO_ERR'!A257, ":"))))</f>
        <v/>
      </c>
    </row>
    <row r="258">
      <c r="A258" s="38">
        <f>IF('Additional Videos'!B258 = "", "", IF('Additional Videos-WUO_ERR'!A258 = "", "Validated", HYPERLINK("#" &amp; ADDRESS(258, 'Additional Videos-WUO_TRK'!A258),_xlfn.TEXTAFTER('Additional Videos-WUO_ERR'!A258, ":"))))</f>
        <v/>
      </c>
    </row>
    <row r="259">
      <c r="A259" s="38">
        <f>IF('Additional Videos'!B259 = "", "", IF('Additional Videos-WUO_ERR'!A259 = "", "Validated", HYPERLINK("#" &amp; ADDRESS(259, 'Additional Videos-WUO_TRK'!A259),_xlfn.TEXTAFTER('Additional Videos-WUO_ERR'!A259, ":"))))</f>
        <v/>
      </c>
    </row>
    <row r="260">
      <c r="A260" s="38">
        <f>IF('Additional Videos'!B260 = "", "", IF('Additional Videos-WUO_ERR'!A260 = "", "Validated", HYPERLINK("#" &amp; ADDRESS(260, 'Additional Videos-WUO_TRK'!A260),_xlfn.TEXTAFTER('Additional Videos-WUO_ERR'!A260, ":"))))</f>
        <v/>
      </c>
    </row>
    <row r="261">
      <c r="A261" s="38">
        <f>IF('Additional Videos'!B261 = "", "", IF('Additional Videos-WUO_ERR'!A261 = "", "Validated", HYPERLINK("#" &amp; ADDRESS(261, 'Additional Videos-WUO_TRK'!A261),_xlfn.TEXTAFTER('Additional Videos-WUO_ERR'!A261, ":"))))</f>
        <v/>
      </c>
    </row>
    <row r="262">
      <c r="A262" s="38">
        <f>IF('Additional Videos'!B262 = "", "", IF('Additional Videos-WUO_ERR'!A262 = "", "Validated", HYPERLINK("#" &amp; ADDRESS(262, 'Additional Videos-WUO_TRK'!A262),_xlfn.TEXTAFTER('Additional Videos-WUO_ERR'!A262, ":"))))</f>
        <v/>
      </c>
    </row>
    <row r="263">
      <c r="A263" s="38">
        <f>IF('Additional Videos'!B263 = "", "", IF('Additional Videos-WUO_ERR'!A263 = "", "Validated", HYPERLINK("#" &amp; ADDRESS(263, 'Additional Videos-WUO_TRK'!A263),_xlfn.TEXTAFTER('Additional Videos-WUO_ERR'!A263, ":"))))</f>
        <v/>
      </c>
    </row>
    <row r="264">
      <c r="A264" s="38">
        <f>IF('Additional Videos'!B264 = "", "", IF('Additional Videos-WUO_ERR'!A264 = "", "Validated", HYPERLINK("#" &amp; ADDRESS(264, 'Additional Videos-WUO_TRK'!A264),_xlfn.TEXTAFTER('Additional Videos-WUO_ERR'!A264, ":"))))</f>
        <v/>
      </c>
    </row>
    <row r="265">
      <c r="A265" s="38">
        <f>IF('Additional Videos'!B265 = "", "", IF('Additional Videos-WUO_ERR'!A265 = "", "Validated", HYPERLINK("#" &amp; ADDRESS(265, 'Additional Videos-WUO_TRK'!A265),_xlfn.TEXTAFTER('Additional Videos-WUO_ERR'!A265, ":"))))</f>
        <v/>
      </c>
    </row>
    <row r="266">
      <c r="A266" s="38">
        <f>IF('Additional Videos'!B266 = "", "", IF('Additional Videos-WUO_ERR'!A266 = "", "Validated", HYPERLINK("#" &amp; ADDRESS(266, 'Additional Videos-WUO_TRK'!A266),_xlfn.TEXTAFTER('Additional Videos-WUO_ERR'!A266, ":"))))</f>
        <v/>
      </c>
    </row>
    <row r="267">
      <c r="A267" s="38">
        <f>IF('Additional Videos'!B267 = "", "", IF('Additional Videos-WUO_ERR'!A267 = "", "Validated", HYPERLINK("#" &amp; ADDRESS(267, 'Additional Videos-WUO_TRK'!A267),_xlfn.TEXTAFTER('Additional Videos-WUO_ERR'!A267, ":"))))</f>
        <v/>
      </c>
    </row>
    <row r="268">
      <c r="A268" s="38">
        <f>IF('Additional Videos'!B268 = "", "", IF('Additional Videos-WUO_ERR'!A268 = "", "Validated", HYPERLINK("#" &amp; ADDRESS(268, 'Additional Videos-WUO_TRK'!A268),_xlfn.TEXTAFTER('Additional Videos-WUO_ERR'!A268, ":"))))</f>
        <v/>
      </c>
    </row>
    <row r="269">
      <c r="A269" s="38">
        <f>IF('Additional Videos'!B269 = "", "", IF('Additional Videos-WUO_ERR'!A269 = "", "Validated", HYPERLINK("#" &amp; ADDRESS(269, 'Additional Videos-WUO_TRK'!A269),_xlfn.TEXTAFTER('Additional Videos-WUO_ERR'!A269, ":"))))</f>
        <v/>
      </c>
    </row>
    <row r="270">
      <c r="A270" s="38">
        <f>IF('Additional Videos'!B270 = "", "", IF('Additional Videos-WUO_ERR'!A270 = "", "Validated", HYPERLINK("#" &amp; ADDRESS(270, 'Additional Videos-WUO_TRK'!A270),_xlfn.TEXTAFTER('Additional Videos-WUO_ERR'!A270, ":"))))</f>
        <v/>
      </c>
    </row>
    <row r="271">
      <c r="A271" s="38">
        <f>IF('Additional Videos'!B271 = "", "", IF('Additional Videos-WUO_ERR'!A271 = "", "Validated", HYPERLINK("#" &amp; ADDRESS(271, 'Additional Videos-WUO_TRK'!A271),_xlfn.TEXTAFTER('Additional Videos-WUO_ERR'!A271, ":"))))</f>
        <v/>
      </c>
    </row>
    <row r="272">
      <c r="A272" s="38">
        <f>IF('Additional Videos'!B272 = "", "", IF('Additional Videos-WUO_ERR'!A272 = "", "Validated", HYPERLINK("#" &amp; ADDRESS(272, 'Additional Videos-WUO_TRK'!A272),_xlfn.TEXTAFTER('Additional Videos-WUO_ERR'!A272, ":"))))</f>
        <v/>
      </c>
    </row>
    <row r="273">
      <c r="A273" s="38">
        <f>IF('Additional Videos'!B273 = "", "", IF('Additional Videos-WUO_ERR'!A273 = "", "Validated", HYPERLINK("#" &amp; ADDRESS(273, 'Additional Videos-WUO_TRK'!A273),_xlfn.TEXTAFTER('Additional Videos-WUO_ERR'!A273, ":"))))</f>
        <v/>
      </c>
    </row>
    <row r="274">
      <c r="A274" s="38">
        <f>IF('Additional Videos'!B274 = "", "", IF('Additional Videos-WUO_ERR'!A274 = "", "Validated", HYPERLINK("#" &amp; ADDRESS(274, 'Additional Videos-WUO_TRK'!A274),_xlfn.TEXTAFTER('Additional Videos-WUO_ERR'!A274, ":"))))</f>
        <v/>
      </c>
    </row>
    <row r="275">
      <c r="A275" s="38">
        <f>IF('Additional Videos'!B275 = "", "", IF('Additional Videos-WUO_ERR'!A275 = "", "Validated", HYPERLINK("#" &amp; ADDRESS(275, 'Additional Videos-WUO_TRK'!A275),_xlfn.TEXTAFTER('Additional Videos-WUO_ERR'!A275, ":"))))</f>
        <v/>
      </c>
    </row>
    <row r="276">
      <c r="A276" s="38">
        <f>IF('Additional Videos'!B276 = "", "", IF('Additional Videos-WUO_ERR'!A276 = "", "Validated", HYPERLINK("#" &amp; ADDRESS(276, 'Additional Videos-WUO_TRK'!A276),_xlfn.TEXTAFTER('Additional Videos-WUO_ERR'!A276, ":"))))</f>
        <v/>
      </c>
    </row>
    <row r="277">
      <c r="A277" s="38">
        <f>IF('Additional Videos'!B277 = "", "", IF('Additional Videos-WUO_ERR'!A277 = "", "Validated", HYPERLINK("#" &amp; ADDRESS(277, 'Additional Videos-WUO_TRK'!A277),_xlfn.TEXTAFTER('Additional Videos-WUO_ERR'!A277, ":"))))</f>
        <v/>
      </c>
    </row>
    <row r="278">
      <c r="A278" s="38">
        <f>IF('Additional Videos'!B278 = "", "", IF('Additional Videos-WUO_ERR'!A278 = "", "Validated", HYPERLINK("#" &amp; ADDRESS(278, 'Additional Videos-WUO_TRK'!A278),_xlfn.TEXTAFTER('Additional Videos-WUO_ERR'!A278, ":"))))</f>
        <v/>
      </c>
    </row>
    <row r="279">
      <c r="A279" s="38">
        <f>IF('Additional Videos'!B279 = "", "", IF('Additional Videos-WUO_ERR'!A279 = "", "Validated", HYPERLINK("#" &amp; ADDRESS(279, 'Additional Videos-WUO_TRK'!A279),_xlfn.TEXTAFTER('Additional Videos-WUO_ERR'!A279, ":"))))</f>
        <v/>
      </c>
    </row>
    <row r="280">
      <c r="A280" s="38">
        <f>IF('Additional Videos'!B280 = "", "", IF('Additional Videos-WUO_ERR'!A280 = "", "Validated", HYPERLINK("#" &amp; ADDRESS(280, 'Additional Videos-WUO_TRK'!A280),_xlfn.TEXTAFTER('Additional Videos-WUO_ERR'!A280, ":"))))</f>
        <v/>
      </c>
    </row>
    <row r="281">
      <c r="A281" s="38">
        <f>IF('Additional Videos'!B281 = "", "", IF('Additional Videos-WUO_ERR'!A281 = "", "Validated", HYPERLINK("#" &amp; ADDRESS(281, 'Additional Videos-WUO_TRK'!A281),_xlfn.TEXTAFTER('Additional Videos-WUO_ERR'!A281, ":"))))</f>
        <v/>
      </c>
    </row>
    <row r="282">
      <c r="A282" s="38">
        <f>IF('Additional Videos'!B282 = "", "", IF('Additional Videos-WUO_ERR'!A282 = "", "Validated", HYPERLINK("#" &amp; ADDRESS(282, 'Additional Videos-WUO_TRK'!A282),_xlfn.TEXTAFTER('Additional Videos-WUO_ERR'!A282, ":"))))</f>
        <v/>
      </c>
    </row>
    <row r="283">
      <c r="A283" s="38">
        <f>IF('Additional Videos'!B283 = "", "", IF('Additional Videos-WUO_ERR'!A283 = "", "Validated", HYPERLINK("#" &amp; ADDRESS(283, 'Additional Videos-WUO_TRK'!A283),_xlfn.TEXTAFTER('Additional Videos-WUO_ERR'!A283, ":"))))</f>
        <v/>
      </c>
    </row>
    <row r="284">
      <c r="A284" s="38">
        <f>IF('Additional Videos'!B284 = "", "", IF('Additional Videos-WUO_ERR'!A284 = "", "Validated", HYPERLINK("#" &amp; ADDRESS(284, 'Additional Videos-WUO_TRK'!A284),_xlfn.TEXTAFTER('Additional Videos-WUO_ERR'!A284, ":"))))</f>
        <v/>
      </c>
    </row>
    <row r="285">
      <c r="A285" s="38">
        <f>IF('Additional Videos'!B285 = "", "", IF('Additional Videos-WUO_ERR'!A285 = "", "Validated", HYPERLINK("#" &amp; ADDRESS(285, 'Additional Videos-WUO_TRK'!A285),_xlfn.TEXTAFTER('Additional Videos-WUO_ERR'!A285, ":"))))</f>
        <v/>
      </c>
    </row>
    <row r="286">
      <c r="A286" s="38">
        <f>IF('Additional Videos'!B286 = "", "", IF('Additional Videos-WUO_ERR'!A286 = "", "Validated", HYPERLINK("#" &amp; ADDRESS(286, 'Additional Videos-WUO_TRK'!A286),_xlfn.TEXTAFTER('Additional Videos-WUO_ERR'!A286, ":"))))</f>
        <v/>
      </c>
    </row>
    <row r="287">
      <c r="A287" s="38">
        <f>IF('Additional Videos'!B287 = "", "", IF('Additional Videos-WUO_ERR'!A287 = "", "Validated", HYPERLINK("#" &amp; ADDRESS(287, 'Additional Videos-WUO_TRK'!A287),_xlfn.TEXTAFTER('Additional Videos-WUO_ERR'!A287, ":"))))</f>
        <v/>
      </c>
    </row>
    <row r="288">
      <c r="A288" s="38">
        <f>IF('Additional Videos'!B288 = "", "", IF('Additional Videos-WUO_ERR'!A288 = "", "Validated", HYPERLINK("#" &amp; ADDRESS(288, 'Additional Videos-WUO_TRK'!A288),_xlfn.TEXTAFTER('Additional Videos-WUO_ERR'!A288, ":"))))</f>
        <v/>
      </c>
    </row>
    <row r="289">
      <c r="A289" s="38">
        <f>IF('Additional Videos'!B289 = "", "", IF('Additional Videos-WUO_ERR'!A289 = "", "Validated", HYPERLINK("#" &amp; ADDRESS(289, 'Additional Videos-WUO_TRK'!A289),_xlfn.TEXTAFTER('Additional Videos-WUO_ERR'!A289, ":"))))</f>
        <v/>
      </c>
    </row>
    <row r="290">
      <c r="A290" s="38">
        <f>IF('Additional Videos'!B290 = "", "", IF('Additional Videos-WUO_ERR'!A290 = "", "Validated", HYPERLINK("#" &amp; ADDRESS(290, 'Additional Videos-WUO_TRK'!A290),_xlfn.TEXTAFTER('Additional Videos-WUO_ERR'!A290, ":"))))</f>
        <v/>
      </c>
    </row>
    <row r="291">
      <c r="A291" s="38">
        <f>IF('Additional Videos'!B291 = "", "", IF('Additional Videos-WUO_ERR'!A291 = "", "Validated", HYPERLINK("#" &amp; ADDRESS(291, 'Additional Videos-WUO_TRK'!A291),_xlfn.TEXTAFTER('Additional Videos-WUO_ERR'!A291, ":"))))</f>
        <v/>
      </c>
    </row>
    <row r="292">
      <c r="A292" s="38">
        <f>IF('Additional Videos'!B292 = "", "", IF('Additional Videos-WUO_ERR'!A292 = "", "Validated", HYPERLINK("#" &amp; ADDRESS(292, 'Additional Videos-WUO_TRK'!A292),_xlfn.TEXTAFTER('Additional Videos-WUO_ERR'!A292, ":"))))</f>
        <v/>
      </c>
    </row>
    <row r="293">
      <c r="A293" s="38">
        <f>IF('Additional Videos'!B293 = "", "", IF('Additional Videos-WUO_ERR'!A293 = "", "Validated", HYPERLINK("#" &amp; ADDRESS(293, 'Additional Videos-WUO_TRK'!A293),_xlfn.TEXTAFTER('Additional Videos-WUO_ERR'!A293, ":"))))</f>
        <v/>
      </c>
    </row>
    <row r="294">
      <c r="A294" s="38">
        <f>IF('Additional Videos'!B294 = "", "", IF('Additional Videos-WUO_ERR'!A294 = "", "Validated", HYPERLINK("#" &amp; ADDRESS(294, 'Additional Videos-WUO_TRK'!A294),_xlfn.TEXTAFTER('Additional Videos-WUO_ERR'!A294, ":"))))</f>
        <v/>
      </c>
    </row>
    <row r="295">
      <c r="A295" s="38">
        <f>IF('Additional Videos'!B295 = "", "", IF('Additional Videos-WUO_ERR'!A295 = "", "Validated", HYPERLINK("#" &amp; ADDRESS(295, 'Additional Videos-WUO_TRK'!A295),_xlfn.TEXTAFTER('Additional Videos-WUO_ERR'!A295, ":"))))</f>
        <v/>
      </c>
    </row>
    <row r="296">
      <c r="A296" s="38">
        <f>IF('Additional Videos'!B296 = "", "", IF('Additional Videos-WUO_ERR'!A296 = "", "Validated", HYPERLINK("#" &amp; ADDRESS(296, 'Additional Videos-WUO_TRK'!A296),_xlfn.TEXTAFTER('Additional Videos-WUO_ERR'!A296, ":"))))</f>
        <v/>
      </c>
    </row>
    <row r="297">
      <c r="A297" s="38">
        <f>IF('Additional Videos'!B297 = "", "", IF('Additional Videos-WUO_ERR'!A297 = "", "Validated", HYPERLINK("#" &amp; ADDRESS(297, 'Additional Videos-WUO_TRK'!A297),_xlfn.TEXTAFTER('Additional Videos-WUO_ERR'!A297, ":"))))</f>
        <v/>
      </c>
    </row>
    <row r="298">
      <c r="A298" s="38">
        <f>IF('Additional Videos'!B298 = "", "", IF('Additional Videos-WUO_ERR'!A298 = "", "Validated", HYPERLINK("#" &amp; ADDRESS(298, 'Additional Videos-WUO_TRK'!A298),_xlfn.TEXTAFTER('Additional Videos-WUO_ERR'!A298, ":"))))</f>
        <v/>
      </c>
    </row>
    <row r="299">
      <c r="A299" s="38">
        <f>IF('Additional Videos'!B299 = "", "", IF('Additional Videos-WUO_ERR'!A299 = "", "Validated", HYPERLINK("#" &amp; ADDRESS(299, 'Additional Videos-WUO_TRK'!A299),_xlfn.TEXTAFTER('Additional Videos-WUO_ERR'!A299, ":"))))</f>
        <v/>
      </c>
    </row>
    <row r="300">
      <c r="A300" s="38">
        <f>IF('Additional Videos'!B300 = "", "", IF('Additional Videos-WUO_ERR'!A300 = "", "Validated", HYPERLINK("#" &amp; ADDRESS(300, 'Additional Videos-WUO_TRK'!A300),_xlfn.TEXTAFTER('Additional Videos-WUO_ERR'!A300, ":"))))</f>
        <v/>
      </c>
    </row>
    <row r="301">
      <c r="A301" s="38">
        <f>IF('Additional Videos'!B301 = "", "", IF('Additional Videos-WUO_ERR'!A301 = "", "Validated", HYPERLINK("#" &amp; ADDRESS(301, 'Additional Videos-WUO_TRK'!A301),_xlfn.TEXTAFTER('Additional Videos-WUO_ERR'!A301, ":"))))</f>
        <v/>
      </c>
    </row>
    <row r="302">
      <c r="A302" s="38">
        <f>IF('Additional Videos'!B302 = "", "", IF('Additional Videos-WUO_ERR'!A302 = "", "Validated", HYPERLINK("#" &amp; ADDRESS(302, 'Additional Videos-WUO_TRK'!A302),_xlfn.TEXTAFTER('Additional Videos-WUO_ERR'!A302, ":"))))</f>
        <v/>
      </c>
    </row>
    <row r="303">
      <c r="A303" s="38">
        <f>IF('Additional Videos'!B303 = "", "", IF('Additional Videos-WUO_ERR'!A303 = "", "Validated", HYPERLINK("#" &amp; ADDRESS(303, 'Additional Videos-WUO_TRK'!A303),_xlfn.TEXTAFTER('Additional Videos-WUO_ERR'!A303, ":"))))</f>
        <v/>
      </c>
    </row>
    <row r="304">
      <c r="A304" s="38">
        <f>IF('Additional Videos'!B304 = "", "", IF('Additional Videos-WUO_ERR'!A304 = "", "Validated", HYPERLINK("#" &amp; ADDRESS(304, 'Additional Videos-WUO_TRK'!A304),_xlfn.TEXTAFTER('Additional Videos-WUO_ERR'!A304, ":"))))</f>
        <v/>
      </c>
    </row>
    <row r="305">
      <c r="A305" s="38">
        <f>IF('Additional Videos'!B305 = "", "", IF('Additional Videos-WUO_ERR'!A305 = "", "Validated", HYPERLINK("#" &amp; ADDRESS(305, 'Additional Videos-WUO_TRK'!A305),_xlfn.TEXTAFTER('Additional Videos-WUO_ERR'!A305, ":"))))</f>
        <v/>
      </c>
    </row>
    <row r="306">
      <c r="A306" s="38">
        <f>IF('Additional Videos'!B306 = "", "", IF('Additional Videos-WUO_ERR'!A306 = "", "Validated", HYPERLINK("#" &amp; ADDRESS(306, 'Additional Videos-WUO_TRK'!A306),_xlfn.TEXTAFTER('Additional Videos-WUO_ERR'!A306, ":"))))</f>
        <v/>
      </c>
    </row>
    <row r="307">
      <c r="A307" s="38">
        <f>IF('Additional Videos'!B307 = "", "", IF('Additional Videos-WUO_ERR'!A307 = "", "Validated", HYPERLINK("#" &amp; ADDRESS(307, 'Additional Videos-WUO_TRK'!A307),_xlfn.TEXTAFTER('Additional Videos-WUO_ERR'!A307, ":"))))</f>
        <v/>
      </c>
    </row>
    <row r="308">
      <c r="A308" s="38">
        <f>IF('Additional Videos'!B308 = "", "", IF('Additional Videos-WUO_ERR'!A308 = "", "Validated", HYPERLINK("#" &amp; ADDRESS(308, 'Additional Videos-WUO_TRK'!A308),_xlfn.TEXTAFTER('Additional Videos-WUO_ERR'!A308, ":"))))</f>
        <v/>
      </c>
    </row>
    <row r="309">
      <c r="A309" s="38">
        <f>IF('Additional Videos'!B309 = "", "", IF('Additional Videos-WUO_ERR'!A309 = "", "Validated", HYPERLINK("#" &amp; ADDRESS(309, 'Additional Videos-WUO_TRK'!A309),_xlfn.TEXTAFTER('Additional Videos-WUO_ERR'!A309, ":"))))</f>
        <v/>
      </c>
    </row>
    <row r="310">
      <c r="A310" s="38">
        <f>IF('Additional Videos'!B310 = "", "", IF('Additional Videos-WUO_ERR'!A310 = "", "Validated", HYPERLINK("#" &amp; ADDRESS(310, 'Additional Videos-WUO_TRK'!A310),_xlfn.TEXTAFTER('Additional Videos-WUO_ERR'!A310, ":"))))</f>
        <v/>
      </c>
    </row>
    <row r="311">
      <c r="A311" s="38">
        <f>IF('Additional Videos'!B311 = "", "", IF('Additional Videos-WUO_ERR'!A311 = "", "Validated", HYPERLINK("#" &amp; ADDRESS(311, 'Additional Videos-WUO_TRK'!A311),_xlfn.TEXTAFTER('Additional Videos-WUO_ERR'!A311, ":"))))</f>
        <v/>
      </c>
    </row>
    <row r="312">
      <c r="A312" s="38">
        <f>IF('Additional Videos'!B312 = "", "", IF('Additional Videos-WUO_ERR'!A312 = "", "Validated", HYPERLINK("#" &amp; ADDRESS(312, 'Additional Videos-WUO_TRK'!A312),_xlfn.TEXTAFTER('Additional Videos-WUO_ERR'!A312, ":"))))</f>
        <v/>
      </c>
    </row>
    <row r="313">
      <c r="A313" s="38">
        <f>IF('Additional Videos'!B313 = "", "", IF('Additional Videos-WUO_ERR'!A313 = "", "Validated", HYPERLINK("#" &amp; ADDRESS(313, 'Additional Videos-WUO_TRK'!A313),_xlfn.TEXTAFTER('Additional Videos-WUO_ERR'!A313, ":"))))</f>
        <v/>
      </c>
    </row>
    <row r="314">
      <c r="A314" s="38">
        <f>IF('Additional Videos'!B314 = "", "", IF('Additional Videos-WUO_ERR'!A314 = "", "Validated", HYPERLINK("#" &amp; ADDRESS(314, 'Additional Videos-WUO_TRK'!A314),_xlfn.TEXTAFTER('Additional Videos-WUO_ERR'!A314, ":"))))</f>
        <v/>
      </c>
    </row>
    <row r="315">
      <c r="A315" s="38">
        <f>IF('Additional Videos'!B315 = "", "", IF('Additional Videos-WUO_ERR'!A315 = "", "Validated", HYPERLINK("#" &amp; ADDRESS(315, 'Additional Videos-WUO_TRK'!A315),_xlfn.TEXTAFTER('Additional Videos-WUO_ERR'!A315, ":"))))</f>
        <v/>
      </c>
    </row>
    <row r="316">
      <c r="A316" s="38">
        <f>IF('Additional Videos'!B316 = "", "", IF('Additional Videos-WUO_ERR'!A316 = "", "Validated", HYPERLINK("#" &amp; ADDRESS(316, 'Additional Videos-WUO_TRK'!A316),_xlfn.TEXTAFTER('Additional Videos-WUO_ERR'!A316, ":"))))</f>
        <v/>
      </c>
    </row>
    <row r="317">
      <c r="A317" s="38">
        <f>IF('Additional Videos'!B317 = "", "", IF('Additional Videos-WUO_ERR'!A317 = "", "Validated", HYPERLINK("#" &amp; ADDRESS(317, 'Additional Videos-WUO_TRK'!A317),_xlfn.TEXTAFTER('Additional Videos-WUO_ERR'!A317, ":"))))</f>
        <v/>
      </c>
    </row>
    <row r="318">
      <c r="A318" s="38">
        <f>IF('Additional Videos'!B318 = "", "", IF('Additional Videos-WUO_ERR'!A318 = "", "Validated", HYPERLINK("#" &amp; ADDRESS(318, 'Additional Videos-WUO_TRK'!A318),_xlfn.TEXTAFTER('Additional Videos-WUO_ERR'!A318, ":"))))</f>
        <v/>
      </c>
    </row>
    <row r="319">
      <c r="A319" s="38">
        <f>IF('Additional Videos'!B319 = "", "", IF('Additional Videos-WUO_ERR'!A319 = "", "Validated", HYPERLINK("#" &amp; ADDRESS(319, 'Additional Videos-WUO_TRK'!A319),_xlfn.TEXTAFTER('Additional Videos-WUO_ERR'!A319, ":"))))</f>
        <v/>
      </c>
    </row>
    <row r="320">
      <c r="A320" s="38">
        <f>IF('Additional Videos'!B320 = "", "", IF('Additional Videos-WUO_ERR'!A320 = "", "Validated", HYPERLINK("#" &amp; ADDRESS(320, 'Additional Videos-WUO_TRK'!A320),_xlfn.TEXTAFTER('Additional Videos-WUO_ERR'!A320, ":"))))</f>
        <v/>
      </c>
    </row>
    <row r="321">
      <c r="A321" s="38">
        <f>IF('Additional Videos'!B321 = "", "", IF('Additional Videos-WUO_ERR'!A321 = "", "Validated", HYPERLINK("#" &amp; ADDRESS(321, 'Additional Videos-WUO_TRK'!A321),_xlfn.TEXTAFTER('Additional Videos-WUO_ERR'!A321, ":"))))</f>
        <v/>
      </c>
    </row>
    <row r="322">
      <c r="A322" s="38">
        <f>IF('Additional Videos'!B322 = "", "", IF('Additional Videos-WUO_ERR'!A322 = "", "Validated", HYPERLINK("#" &amp; ADDRESS(322, 'Additional Videos-WUO_TRK'!A322),_xlfn.TEXTAFTER('Additional Videos-WUO_ERR'!A322, ":"))))</f>
        <v/>
      </c>
    </row>
    <row r="323">
      <c r="A323" s="38">
        <f>IF('Additional Videos'!B323 = "", "", IF('Additional Videos-WUO_ERR'!A323 = "", "Validated", HYPERLINK("#" &amp; ADDRESS(323, 'Additional Videos-WUO_TRK'!A323),_xlfn.TEXTAFTER('Additional Videos-WUO_ERR'!A323, ":"))))</f>
        <v/>
      </c>
    </row>
    <row r="324">
      <c r="A324" s="38">
        <f>IF('Additional Videos'!B324 = "", "", IF('Additional Videos-WUO_ERR'!A324 = "", "Validated", HYPERLINK("#" &amp; ADDRESS(324, 'Additional Videos-WUO_TRK'!A324),_xlfn.TEXTAFTER('Additional Videos-WUO_ERR'!A324, ":"))))</f>
        <v/>
      </c>
    </row>
    <row r="325">
      <c r="A325" s="38">
        <f>IF('Additional Videos'!B325 = "", "", IF('Additional Videos-WUO_ERR'!A325 = "", "Validated", HYPERLINK("#" &amp; ADDRESS(325, 'Additional Videos-WUO_TRK'!A325),_xlfn.TEXTAFTER('Additional Videos-WUO_ERR'!A325, ":"))))</f>
        <v/>
      </c>
    </row>
    <row r="326">
      <c r="A326" s="38">
        <f>IF('Additional Videos'!B326 = "", "", IF('Additional Videos-WUO_ERR'!A326 = "", "Validated", HYPERLINK("#" &amp; ADDRESS(326, 'Additional Videos-WUO_TRK'!A326),_xlfn.TEXTAFTER('Additional Videos-WUO_ERR'!A326, ":"))))</f>
        <v/>
      </c>
    </row>
    <row r="327">
      <c r="A327" s="38">
        <f>IF('Additional Videos'!B327 = "", "", IF('Additional Videos-WUO_ERR'!A327 = "", "Validated", HYPERLINK("#" &amp; ADDRESS(327, 'Additional Videos-WUO_TRK'!A327),_xlfn.TEXTAFTER('Additional Videos-WUO_ERR'!A327, ":"))))</f>
        <v/>
      </c>
    </row>
    <row r="328">
      <c r="A328" s="38">
        <f>IF('Additional Videos'!B328 = "", "", IF('Additional Videos-WUO_ERR'!A328 = "", "Validated", HYPERLINK("#" &amp; ADDRESS(328, 'Additional Videos-WUO_TRK'!A328),_xlfn.TEXTAFTER('Additional Videos-WUO_ERR'!A328, ":"))))</f>
        <v/>
      </c>
    </row>
    <row r="329">
      <c r="A329" s="38">
        <f>IF('Additional Videos'!B329 = "", "", IF('Additional Videos-WUO_ERR'!A329 = "", "Validated", HYPERLINK("#" &amp; ADDRESS(329, 'Additional Videos-WUO_TRK'!A329),_xlfn.TEXTAFTER('Additional Videos-WUO_ERR'!A329, ":"))))</f>
        <v/>
      </c>
    </row>
    <row r="330">
      <c r="A330" s="38">
        <f>IF('Additional Videos'!B330 = "", "", IF('Additional Videos-WUO_ERR'!A330 = "", "Validated", HYPERLINK("#" &amp; ADDRESS(330, 'Additional Videos-WUO_TRK'!A330),_xlfn.TEXTAFTER('Additional Videos-WUO_ERR'!A330, ":"))))</f>
        <v/>
      </c>
    </row>
    <row r="331">
      <c r="A331" s="38">
        <f>IF('Additional Videos'!B331 = "", "", IF('Additional Videos-WUO_ERR'!A331 = "", "Validated", HYPERLINK("#" &amp; ADDRESS(331, 'Additional Videos-WUO_TRK'!A331),_xlfn.TEXTAFTER('Additional Videos-WUO_ERR'!A331, ":"))))</f>
        <v/>
      </c>
    </row>
    <row r="332">
      <c r="A332" s="38">
        <f>IF('Additional Videos'!B332 = "", "", IF('Additional Videos-WUO_ERR'!A332 = "", "Validated", HYPERLINK("#" &amp; ADDRESS(332, 'Additional Videos-WUO_TRK'!A332),_xlfn.TEXTAFTER('Additional Videos-WUO_ERR'!A332, ":"))))</f>
        <v/>
      </c>
    </row>
    <row r="333">
      <c r="A333" s="38">
        <f>IF('Additional Videos'!B333 = "", "", IF('Additional Videos-WUO_ERR'!A333 = "", "Validated", HYPERLINK("#" &amp; ADDRESS(333, 'Additional Videos-WUO_TRK'!A333),_xlfn.TEXTAFTER('Additional Videos-WUO_ERR'!A333, ":"))))</f>
        <v/>
      </c>
    </row>
    <row r="334">
      <c r="A334" s="38">
        <f>IF('Additional Videos'!B334 = "", "", IF('Additional Videos-WUO_ERR'!A334 = "", "Validated", HYPERLINK("#" &amp; ADDRESS(334, 'Additional Videos-WUO_TRK'!A334),_xlfn.TEXTAFTER('Additional Videos-WUO_ERR'!A334, ":"))))</f>
        <v/>
      </c>
    </row>
    <row r="335">
      <c r="A335" s="38">
        <f>IF('Additional Videos'!B335 = "", "", IF('Additional Videos-WUO_ERR'!A335 = "", "Validated", HYPERLINK("#" &amp; ADDRESS(335, 'Additional Videos-WUO_TRK'!A335),_xlfn.TEXTAFTER('Additional Videos-WUO_ERR'!A335, ":"))))</f>
        <v/>
      </c>
    </row>
    <row r="336">
      <c r="A336" s="38">
        <f>IF('Additional Videos'!B336 = "", "", IF('Additional Videos-WUO_ERR'!A336 = "", "Validated", HYPERLINK("#" &amp; ADDRESS(336, 'Additional Videos-WUO_TRK'!A336),_xlfn.TEXTAFTER('Additional Videos-WUO_ERR'!A336, ":"))))</f>
        <v/>
      </c>
    </row>
    <row r="337">
      <c r="A337" s="38">
        <f>IF('Additional Videos'!B337 = "", "", IF('Additional Videos-WUO_ERR'!A337 = "", "Validated", HYPERLINK("#" &amp; ADDRESS(337, 'Additional Videos-WUO_TRK'!A337),_xlfn.TEXTAFTER('Additional Videos-WUO_ERR'!A337, ":"))))</f>
        <v/>
      </c>
    </row>
    <row r="338">
      <c r="A338" s="38">
        <f>IF('Additional Videos'!B338 = "", "", IF('Additional Videos-WUO_ERR'!A338 = "", "Validated", HYPERLINK("#" &amp; ADDRESS(338, 'Additional Videos-WUO_TRK'!A338),_xlfn.TEXTAFTER('Additional Videos-WUO_ERR'!A338, ":"))))</f>
        <v/>
      </c>
    </row>
    <row r="339">
      <c r="A339" s="38">
        <f>IF('Additional Videos'!B339 = "", "", IF('Additional Videos-WUO_ERR'!A339 = "", "Validated", HYPERLINK("#" &amp; ADDRESS(339, 'Additional Videos-WUO_TRK'!A339),_xlfn.TEXTAFTER('Additional Videos-WUO_ERR'!A339, ":"))))</f>
        <v/>
      </c>
    </row>
    <row r="340">
      <c r="A340" s="38">
        <f>IF('Additional Videos'!B340 = "", "", IF('Additional Videos-WUO_ERR'!A340 = "", "Validated", HYPERLINK("#" &amp; ADDRESS(340, 'Additional Videos-WUO_TRK'!A340),_xlfn.TEXTAFTER('Additional Videos-WUO_ERR'!A340, ":"))))</f>
        <v/>
      </c>
    </row>
    <row r="341">
      <c r="A341" s="38">
        <f>IF('Additional Videos'!B341 = "", "", IF('Additional Videos-WUO_ERR'!A341 = "", "Validated", HYPERLINK("#" &amp; ADDRESS(341, 'Additional Videos-WUO_TRK'!A341),_xlfn.TEXTAFTER('Additional Videos-WUO_ERR'!A341, ":"))))</f>
        <v/>
      </c>
    </row>
    <row r="342">
      <c r="A342" s="38">
        <f>IF('Additional Videos'!B342 = "", "", IF('Additional Videos-WUO_ERR'!A342 = "", "Validated", HYPERLINK("#" &amp; ADDRESS(342, 'Additional Videos-WUO_TRK'!A342),_xlfn.TEXTAFTER('Additional Videos-WUO_ERR'!A342, ":"))))</f>
        <v/>
      </c>
    </row>
    <row r="343">
      <c r="A343" s="38">
        <f>IF('Additional Videos'!B343 = "", "", IF('Additional Videos-WUO_ERR'!A343 = "", "Validated", HYPERLINK("#" &amp; ADDRESS(343, 'Additional Videos-WUO_TRK'!A343),_xlfn.TEXTAFTER('Additional Videos-WUO_ERR'!A343, ":"))))</f>
        <v/>
      </c>
    </row>
    <row r="344">
      <c r="A344" s="38">
        <f>IF('Additional Videos'!B344 = "", "", IF('Additional Videos-WUO_ERR'!A344 = "", "Validated", HYPERLINK("#" &amp; ADDRESS(344, 'Additional Videos-WUO_TRK'!A344),_xlfn.TEXTAFTER('Additional Videos-WUO_ERR'!A344, ":"))))</f>
        <v/>
      </c>
    </row>
    <row r="345">
      <c r="A345" s="38">
        <f>IF('Additional Videos'!B345 = "", "", IF('Additional Videos-WUO_ERR'!A345 = "", "Validated", HYPERLINK("#" &amp; ADDRESS(345, 'Additional Videos-WUO_TRK'!A345),_xlfn.TEXTAFTER('Additional Videos-WUO_ERR'!A345, ":"))))</f>
        <v/>
      </c>
    </row>
    <row r="346">
      <c r="A346" s="38">
        <f>IF('Additional Videos'!B346 = "", "", IF('Additional Videos-WUO_ERR'!A346 = "", "Validated", HYPERLINK("#" &amp; ADDRESS(346, 'Additional Videos-WUO_TRK'!A346),_xlfn.TEXTAFTER('Additional Videos-WUO_ERR'!A346, ":"))))</f>
        <v/>
      </c>
    </row>
    <row r="347">
      <c r="A347" s="38">
        <f>IF('Additional Videos'!B347 = "", "", IF('Additional Videos-WUO_ERR'!A347 = "", "Validated", HYPERLINK("#" &amp; ADDRESS(347, 'Additional Videos-WUO_TRK'!A347),_xlfn.TEXTAFTER('Additional Videos-WUO_ERR'!A347, ":"))))</f>
        <v/>
      </c>
    </row>
    <row r="348">
      <c r="A348" s="38">
        <f>IF('Additional Videos'!B348 = "", "", IF('Additional Videos-WUO_ERR'!A348 = "", "Validated", HYPERLINK("#" &amp; ADDRESS(348, 'Additional Videos-WUO_TRK'!A348),_xlfn.TEXTAFTER('Additional Videos-WUO_ERR'!A348, ":"))))</f>
        <v/>
      </c>
    </row>
    <row r="349">
      <c r="A349" s="38">
        <f>IF('Additional Videos'!B349 = "", "", IF('Additional Videos-WUO_ERR'!A349 = "", "Validated", HYPERLINK("#" &amp; ADDRESS(349, 'Additional Videos-WUO_TRK'!A349),_xlfn.TEXTAFTER('Additional Videos-WUO_ERR'!A349, ":"))))</f>
        <v/>
      </c>
    </row>
    <row r="350">
      <c r="A350" s="38">
        <f>IF('Additional Videos'!B350 = "", "", IF('Additional Videos-WUO_ERR'!A350 = "", "Validated", HYPERLINK("#" &amp; ADDRESS(350, 'Additional Videos-WUO_TRK'!A350),_xlfn.TEXTAFTER('Additional Videos-WUO_ERR'!A350, ":"))))</f>
        <v/>
      </c>
    </row>
    <row r="351">
      <c r="A351" s="38">
        <f>IF('Additional Videos'!B351 = "", "", IF('Additional Videos-WUO_ERR'!A351 = "", "Validated", HYPERLINK("#" &amp; ADDRESS(351, 'Additional Videos-WUO_TRK'!A351),_xlfn.TEXTAFTER('Additional Videos-WUO_ERR'!A351, ":"))))</f>
        <v/>
      </c>
    </row>
    <row r="352">
      <c r="A352" s="38">
        <f>IF('Additional Videos'!B352 = "", "", IF('Additional Videos-WUO_ERR'!A352 = "", "Validated", HYPERLINK("#" &amp; ADDRESS(352, 'Additional Videos-WUO_TRK'!A352),_xlfn.TEXTAFTER('Additional Videos-WUO_ERR'!A352, ":"))))</f>
        <v/>
      </c>
    </row>
    <row r="353">
      <c r="A353" s="38">
        <f>IF('Additional Videos'!B353 = "", "", IF('Additional Videos-WUO_ERR'!A353 = "", "Validated", HYPERLINK("#" &amp; ADDRESS(353, 'Additional Videos-WUO_TRK'!A353),_xlfn.TEXTAFTER('Additional Videos-WUO_ERR'!A353, ":"))))</f>
        <v/>
      </c>
    </row>
    <row r="354">
      <c r="A354" s="38">
        <f>IF('Additional Videos'!B354 = "", "", IF('Additional Videos-WUO_ERR'!A354 = "", "Validated", HYPERLINK("#" &amp; ADDRESS(354, 'Additional Videos-WUO_TRK'!A354),_xlfn.TEXTAFTER('Additional Videos-WUO_ERR'!A354, ":"))))</f>
        <v/>
      </c>
    </row>
    <row r="355">
      <c r="A355" s="38">
        <f>IF('Additional Videos'!B355 = "", "", IF('Additional Videos-WUO_ERR'!A355 = "", "Validated", HYPERLINK("#" &amp; ADDRESS(355, 'Additional Videos-WUO_TRK'!A355),_xlfn.TEXTAFTER('Additional Videos-WUO_ERR'!A355, ":"))))</f>
        <v/>
      </c>
    </row>
    <row r="356">
      <c r="A356" s="38">
        <f>IF('Additional Videos'!B356 = "", "", IF('Additional Videos-WUO_ERR'!A356 = "", "Validated", HYPERLINK("#" &amp; ADDRESS(356, 'Additional Videos-WUO_TRK'!A356),_xlfn.TEXTAFTER('Additional Videos-WUO_ERR'!A356, ":"))))</f>
        <v/>
      </c>
    </row>
    <row r="357">
      <c r="A357" s="38">
        <f>IF('Additional Videos'!B357 = "", "", IF('Additional Videos-WUO_ERR'!A357 = "", "Validated", HYPERLINK("#" &amp; ADDRESS(357, 'Additional Videos-WUO_TRK'!A357),_xlfn.TEXTAFTER('Additional Videos-WUO_ERR'!A357, ":"))))</f>
        <v/>
      </c>
    </row>
    <row r="358">
      <c r="A358" s="38">
        <f>IF('Additional Videos'!B358 = "", "", IF('Additional Videos-WUO_ERR'!A358 = "", "Validated", HYPERLINK("#" &amp; ADDRESS(358, 'Additional Videos-WUO_TRK'!A358),_xlfn.TEXTAFTER('Additional Videos-WUO_ERR'!A358, ":"))))</f>
        <v/>
      </c>
    </row>
    <row r="359">
      <c r="A359" s="38">
        <f>IF('Additional Videos'!B359 = "", "", IF('Additional Videos-WUO_ERR'!A359 = "", "Validated", HYPERLINK("#" &amp; ADDRESS(359, 'Additional Videos-WUO_TRK'!A359),_xlfn.TEXTAFTER('Additional Videos-WUO_ERR'!A359, ":"))))</f>
        <v/>
      </c>
    </row>
    <row r="360">
      <c r="A360" s="38">
        <f>IF('Additional Videos'!B360 = "", "", IF('Additional Videos-WUO_ERR'!A360 = "", "Validated", HYPERLINK("#" &amp; ADDRESS(360, 'Additional Videos-WUO_TRK'!A360),_xlfn.TEXTAFTER('Additional Videos-WUO_ERR'!A360, ":"))))</f>
        <v/>
      </c>
    </row>
    <row r="361">
      <c r="A361" s="38">
        <f>IF('Additional Videos'!B361 = "", "", IF('Additional Videos-WUO_ERR'!A361 = "", "Validated", HYPERLINK("#" &amp; ADDRESS(361, 'Additional Videos-WUO_TRK'!A361),_xlfn.TEXTAFTER('Additional Videos-WUO_ERR'!A361, ":"))))</f>
        <v/>
      </c>
    </row>
    <row r="362">
      <c r="A362" s="38">
        <f>IF('Additional Videos'!B362 = "", "", IF('Additional Videos-WUO_ERR'!A362 = "", "Validated", HYPERLINK("#" &amp; ADDRESS(362, 'Additional Videos-WUO_TRK'!A362),_xlfn.TEXTAFTER('Additional Videos-WUO_ERR'!A362, ":"))))</f>
        <v/>
      </c>
    </row>
    <row r="363">
      <c r="A363" s="38">
        <f>IF('Additional Videos'!B363 = "", "", IF('Additional Videos-WUO_ERR'!A363 = "", "Validated", HYPERLINK("#" &amp; ADDRESS(363, 'Additional Videos-WUO_TRK'!A363),_xlfn.TEXTAFTER('Additional Videos-WUO_ERR'!A363, ":"))))</f>
        <v/>
      </c>
    </row>
    <row r="364">
      <c r="A364" s="38">
        <f>IF('Additional Videos'!B364 = "", "", IF('Additional Videos-WUO_ERR'!A364 = "", "Validated", HYPERLINK("#" &amp; ADDRESS(364, 'Additional Videos-WUO_TRK'!A364),_xlfn.TEXTAFTER('Additional Videos-WUO_ERR'!A364, ":"))))</f>
        <v/>
      </c>
    </row>
    <row r="365">
      <c r="A365" s="38">
        <f>IF('Additional Videos'!B365 = "", "", IF('Additional Videos-WUO_ERR'!A365 = "", "Validated", HYPERLINK("#" &amp; ADDRESS(365, 'Additional Videos-WUO_TRK'!A365),_xlfn.TEXTAFTER('Additional Videos-WUO_ERR'!A365, ":"))))</f>
        <v/>
      </c>
    </row>
    <row r="366">
      <c r="A366" s="38">
        <f>IF('Additional Videos'!B366 = "", "", IF('Additional Videos-WUO_ERR'!A366 = "", "Validated", HYPERLINK("#" &amp; ADDRESS(366, 'Additional Videos-WUO_TRK'!A366),_xlfn.TEXTAFTER('Additional Videos-WUO_ERR'!A366, ":"))))</f>
        <v/>
      </c>
    </row>
    <row r="367">
      <c r="A367" s="38">
        <f>IF('Additional Videos'!B367 = "", "", IF('Additional Videos-WUO_ERR'!A367 = "", "Validated", HYPERLINK("#" &amp; ADDRESS(367, 'Additional Videos-WUO_TRK'!A367),_xlfn.TEXTAFTER('Additional Videos-WUO_ERR'!A367, ":"))))</f>
        <v/>
      </c>
    </row>
    <row r="368">
      <c r="A368" s="38">
        <f>IF('Additional Videos'!B368 = "", "", IF('Additional Videos-WUO_ERR'!A368 = "", "Validated", HYPERLINK("#" &amp; ADDRESS(368, 'Additional Videos-WUO_TRK'!A368),_xlfn.TEXTAFTER('Additional Videos-WUO_ERR'!A368, ":"))))</f>
        <v/>
      </c>
    </row>
    <row r="369">
      <c r="A369" s="38">
        <f>IF('Additional Videos'!B369 = "", "", IF('Additional Videos-WUO_ERR'!A369 = "", "Validated", HYPERLINK("#" &amp; ADDRESS(369, 'Additional Videos-WUO_TRK'!A369),_xlfn.TEXTAFTER('Additional Videos-WUO_ERR'!A369, ":"))))</f>
        <v/>
      </c>
    </row>
    <row r="370">
      <c r="A370" s="38">
        <f>IF('Additional Videos'!B370 = "", "", IF('Additional Videos-WUO_ERR'!A370 = "", "Validated", HYPERLINK("#" &amp; ADDRESS(370, 'Additional Videos-WUO_TRK'!A370),_xlfn.TEXTAFTER('Additional Videos-WUO_ERR'!A370, ":"))))</f>
        <v/>
      </c>
    </row>
    <row r="371">
      <c r="A371" s="38">
        <f>IF('Additional Videos'!B371 = "", "", IF('Additional Videos-WUO_ERR'!A371 = "", "Validated", HYPERLINK("#" &amp; ADDRESS(371, 'Additional Videos-WUO_TRK'!A371),_xlfn.TEXTAFTER('Additional Videos-WUO_ERR'!A371, ":"))))</f>
        <v/>
      </c>
    </row>
    <row r="372">
      <c r="A372" s="38">
        <f>IF('Additional Videos'!B372 = "", "", IF('Additional Videos-WUO_ERR'!A372 = "", "Validated", HYPERLINK("#" &amp; ADDRESS(372, 'Additional Videos-WUO_TRK'!A372),_xlfn.TEXTAFTER('Additional Videos-WUO_ERR'!A372, ":"))))</f>
        <v/>
      </c>
    </row>
    <row r="373">
      <c r="A373" s="38">
        <f>IF('Additional Videos'!B373 = "", "", IF('Additional Videos-WUO_ERR'!A373 = "", "Validated", HYPERLINK("#" &amp; ADDRESS(373, 'Additional Videos-WUO_TRK'!A373),_xlfn.TEXTAFTER('Additional Videos-WUO_ERR'!A373, ":"))))</f>
        <v/>
      </c>
    </row>
    <row r="374">
      <c r="A374" s="38">
        <f>IF('Additional Videos'!B374 = "", "", IF('Additional Videos-WUO_ERR'!A374 = "", "Validated", HYPERLINK("#" &amp; ADDRESS(374, 'Additional Videos-WUO_TRK'!A374),_xlfn.TEXTAFTER('Additional Videos-WUO_ERR'!A374, ":"))))</f>
        <v/>
      </c>
    </row>
    <row r="375">
      <c r="A375" s="38">
        <f>IF('Additional Videos'!B375 = "", "", IF('Additional Videos-WUO_ERR'!A375 = "", "Validated", HYPERLINK("#" &amp; ADDRESS(375, 'Additional Videos-WUO_TRK'!A375),_xlfn.TEXTAFTER('Additional Videos-WUO_ERR'!A375, ":"))))</f>
        <v/>
      </c>
    </row>
    <row r="376">
      <c r="A376" s="38">
        <f>IF('Additional Videos'!B376 = "", "", IF('Additional Videos-WUO_ERR'!A376 = "", "Validated", HYPERLINK("#" &amp; ADDRESS(376, 'Additional Videos-WUO_TRK'!A376),_xlfn.TEXTAFTER('Additional Videos-WUO_ERR'!A376, ":"))))</f>
        <v/>
      </c>
    </row>
    <row r="377">
      <c r="A377" s="38">
        <f>IF('Additional Videos'!B377 = "", "", IF('Additional Videos-WUO_ERR'!A377 = "", "Validated", HYPERLINK("#" &amp; ADDRESS(377, 'Additional Videos-WUO_TRK'!A377),_xlfn.TEXTAFTER('Additional Videos-WUO_ERR'!A377, ":"))))</f>
        <v/>
      </c>
    </row>
    <row r="378">
      <c r="A378" s="38">
        <f>IF('Additional Videos'!B378 = "", "", IF('Additional Videos-WUO_ERR'!A378 = "", "Validated", HYPERLINK("#" &amp; ADDRESS(378, 'Additional Videos-WUO_TRK'!A378),_xlfn.TEXTAFTER('Additional Videos-WUO_ERR'!A378, ":"))))</f>
        <v/>
      </c>
    </row>
    <row r="379">
      <c r="A379" s="38">
        <f>IF('Additional Videos'!B379 = "", "", IF('Additional Videos-WUO_ERR'!A379 = "", "Validated", HYPERLINK("#" &amp; ADDRESS(379, 'Additional Videos-WUO_TRK'!A379),_xlfn.TEXTAFTER('Additional Videos-WUO_ERR'!A379, ":"))))</f>
        <v/>
      </c>
    </row>
    <row r="380">
      <c r="A380" s="38">
        <f>IF('Additional Videos'!B380 = "", "", IF('Additional Videos-WUO_ERR'!A380 = "", "Validated", HYPERLINK("#" &amp; ADDRESS(380, 'Additional Videos-WUO_TRK'!A380),_xlfn.TEXTAFTER('Additional Videos-WUO_ERR'!A380, ":"))))</f>
        <v/>
      </c>
    </row>
    <row r="381">
      <c r="A381" s="38">
        <f>IF('Additional Videos'!B381 = "", "", IF('Additional Videos-WUO_ERR'!A381 = "", "Validated", HYPERLINK("#" &amp; ADDRESS(381, 'Additional Videos-WUO_TRK'!A381),_xlfn.TEXTAFTER('Additional Videos-WUO_ERR'!A381, ":"))))</f>
        <v/>
      </c>
    </row>
    <row r="382">
      <c r="A382" s="38">
        <f>IF('Additional Videos'!B382 = "", "", IF('Additional Videos-WUO_ERR'!A382 = "", "Validated", HYPERLINK("#" &amp; ADDRESS(382, 'Additional Videos-WUO_TRK'!A382),_xlfn.TEXTAFTER('Additional Videos-WUO_ERR'!A382, ":"))))</f>
        <v/>
      </c>
    </row>
    <row r="383">
      <c r="A383" s="38">
        <f>IF('Additional Videos'!B383 = "", "", IF('Additional Videos-WUO_ERR'!A383 = "", "Validated", HYPERLINK("#" &amp; ADDRESS(383, 'Additional Videos-WUO_TRK'!A383),_xlfn.TEXTAFTER('Additional Videos-WUO_ERR'!A383, ":"))))</f>
        <v/>
      </c>
    </row>
    <row r="384">
      <c r="A384" s="38">
        <f>IF('Additional Videos'!B384 = "", "", IF('Additional Videos-WUO_ERR'!A384 = "", "Validated", HYPERLINK("#" &amp; ADDRESS(384, 'Additional Videos-WUO_TRK'!A384),_xlfn.TEXTAFTER('Additional Videos-WUO_ERR'!A384, ":"))))</f>
        <v/>
      </c>
    </row>
    <row r="385">
      <c r="A385" s="38">
        <f>IF('Additional Videos'!B385 = "", "", IF('Additional Videos-WUO_ERR'!A385 = "", "Validated", HYPERLINK("#" &amp; ADDRESS(385, 'Additional Videos-WUO_TRK'!A385),_xlfn.TEXTAFTER('Additional Videos-WUO_ERR'!A385, ":"))))</f>
        <v/>
      </c>
    </row>
    <row r="386">
      <c r="A386" s="38">
        <f>IF('Additional Videos'!B386 = "", "", IF('Additional Videos-WUO_ERR'!A386 = "", "Validated", HYPERLINK("#" &amp; ADDRESS(386, 'Additional Videos-WUO_TRK'!A386),_xlfn.TEXTAFTER('Additional Videos-WUO_ERR'!A386, ":"))))</f>
        <v/>
      </c>
    </row>
    <row r="387">
      <c r="A387" s="38">
        <f>IF('Additional Videos'!B387 = "", "", IF('Additional Videos-WUO_ERR'!A387 = "", "Validated", HYPERLINK("#" &amp; ADDRESS(387, 'Additional Videos-WUO_TRK'!A387),_xlfn.TEXTAFTER('Additional Videos-WUO_ERR'!A387, ":"))))</f>
        <v/>
      </c>
    </row>
    <row r="388">
      <c r="A388" s="38">
        <f>IF('Additional Videos'!B388 = "", "", IF('Additional Videos-WUO_ERR'!A388 = "", "Validated", HYPERLINK("#" &amp; ADDRESS(388, 'Additional Videos-WUO_TRK'!A388),_xlfn.TEXTAFTER('Additional Videos-WUO_ERR'!A388, ":"))))</f>
        <v/>
      </c>
    </row>
    <row r="389">
      <c r="A389" s="38">
        <f>IF('Additional Videos'!B389 = "", "", IF('Additional Videos-WUO_ERR'!A389 = "", "Validated", HYPERLINK("#" &amp; ADDRESS(389, 'Additional Videos-WUO_TRK'!A389),_xlfn.TEXTAFTER('Additional Videos-WUO_ERR'!A389, ":"))))</f>
        <v/>
      </c>
    </row>
    <row r="390">
      <c r="A390" s="38">
        <f>IF('Additional Videos'!B390 = "", "", IF('Additional Videos-WUO_ERR'!A390 = "", "Validated", HYPERLINK("#" &amp; ADDRESS(390, 'Additional Videos-WUO_TRK'!A390),_xlfn.TEXTAFTER('Additional Videos-WUO_ERR'!A390, ":"))))</f>
        <v/>
      </c>
    </row>
    <row r="391">
      <c r="A391" s="38">
        <f>IF('Additional Videos'!B391 = "", "", IF('Additional Videos-WUO_ERR'!A391 = "", "Validated", HYPERLINK("#" &amp; ADDRESS(391, 'Additional Videos-WUO_TRK'!A391),_xlfn.TEXTAFTER('Additional Videos-WUO_ERR'!A391, ":"))))</f>
        <v/>
      </c>
    </row>
    <row r="392">
      <c r="A392" s="38">
        <f>IF('Additional Videos'!B392 = "", "", IF('Additional Videos-WUO_ERR'!A392 = "", "Validated", HYPERLINK("#" &amp; ADDRESS(392, 'Additional Videos-WUO_TRK'!A392),_xlfn.TEXTAFTER('Additional Videos-WUO_ERR'!A392, ":"))))</f>
        <v/>
      </c>
    </row>
    <row r="393">
      <c r="A393" s="38">
        <f>IF('Additional Videos'!B393 = "", "", IF('Additional Videos-WUO_ERR'!A393 = "", "Validated", HYPERLINK("#" &amp; ADDRESS(393, 'Additional Videos-WUO_TRK'!A393),_xlfn.TEXTAFTER('Additional Videos-WUO_ERR'!A393, ":"))))</f>
        <v/>
      </c>
    </row>
    <row r="394">
      <c r="A394" s="38">
        <f>IF('Additional Videos'!B394 = "", "", IF('Additional Videos-WUO_ERR'!A394 = "", "Validated", HYPERLINK("#" &amp; ADDRESS(394, 'Additional Videos-WUO_TRK'!A394),_xlfn.TEXTAFTER('Additional Videos-WUO_ERR'!A394, ":"))))</f>
        <v/>
      </c>
    </row>
    <row r="395">
      <c r="A395" s="38">
        <f>IF('Additional Videos'!B395 = "", "", IF('Additional Videos-WUO_ERR'!A395 = "", "Validated", HYPERLINK("#" &amp; ADDRESS(395, 'Additional Videos-WUO_TRK'!A395),_xlfn.TEXTAFTER('Additional Videos-WUO_ERR'!A395, ":"))))</f>
        <v/>
      </c>
    </row>
    <row r="396">
      <c r="A396" s="38">
        <f>IF('Additional Videos'!B396 = "", "", IF('Additional Videos-WUO_ERR'!A396 = "", "Validated", HYPERLINK("#" &amp; ADDRESS(396, 'Additional Videos-WUO_TRK'!A396),_xlfn.TEXTAFTER('Additional Videos-WUO_ERR'!A396, ":"))))</f>
        <v/>
      </c>
    </row>
    <row r="397">
      <c r="A397" s="38">
        <f>IF('Additional Videos'!B397 = "", "", IF('Additional Videos-WUO_ERR'!A397 = "", "Validated", HYPERLINK("#" &amp; ADDRESS(397, 'Additional Videos-WUO_TRK'!A397),_xlfn.TEXTAFTER('Additional Videos-WUO_ERR'!A397, ":"))))</f>
        <v/>
      </c>
    </row>
    <row r="398">
      <c r="A398" s="38">
        <f>IF('Additional Videos'!B398 = "", "", IF('Additional Videos-WUO_ERR'!A398 = "", "Validated", HYPERLINK("#" &amp; ADDRESS(398, 'Additional Videos-WUO_TRK'!A398),_xlfn.TEXTAFTER('Additional Videos-WUO_ERR'!A398, ":"))))</f>
        <v/>
      </c>
    </row>
    <row r="399">
      <c r="A399" s="38">
        <f>IF('Additional Videos'!B399 = "", "", IF('Additional Videos-WUO_ERR'!A399 = "", "Validated", HYPERLINK("#" &amp; ADDRESS(399, 'Additional Videos-WUO_TRK'!A399),_xlfn.TEXTAFTER('Additional Videos-WUO_ERR'!A399, ":"))))</f>
        <v/>
      </c>
    </row>
    <row r="400">
      <c r="A400" s="38">
        <f>IF('Additional Videos'!B400 = "", "", IF('Additional Videos-WUO_ERR'!A400 = "", "Validated", HYPERLINK("#" &amp; ADDRESS(400, 'Additional Videos-WUO_TRK'!A400),_xlfn.TEXTAFTER('Additional Videos-WUO_ERR'!A400, ":"))))</f>
        <v/>
      </c>
    </row>
    <row r="401">
      <c r="A401" s="38">
        <f>IF('Additional Videos'!B401 = "", "", IF('Additional Videos-WUO_ERR'!A401 = "", "Validated", HYPERLINK("#" &amp; ADDRESS(401, 'Additional Videos-WUO_TRK'!A401),_xlfn.TEXTAFTER('Additional Videos-WUO_ERR'!A401, ":"))))</f>
        <v/>
      </c>
    </row>
    <row r="402">
      <c r="A402" s="38">
        <f>IF('Additional Videos'!B402 = "", "", IF('Additional Videos-WUO_ERR'!A402 = "", "Validated", HYPERLINK("#" &amp; ADDRESS(402, 'Additional Videos-WUO_TRK'!A402),_xlfn.TEXTAFTER('Additional Videos-WUO_ERR'!A402, ":"))))</f>
        <v/>
      </c>
    </row>
    <row r="403">
      <c r="A403" s="38">
        <f>IF('Additional Videos'!B403 = "", "", IF('Additional Videos-WUO_ERR'!A403 = "", "Validated", HYPERLINK("#" &amp; ADDRESS(403, 'Additional Videos-WUO_TRK'!A403),_xlfn.TEXTAFTER('Additional Videos-WUO_ERR'!A403, ":"))))</f>
        <v/>
      </c>
    </row>
    <row r="404">
      <c r="A404" s="38">
        <f>IF('Additional Videos'!B404 = "", "", IF('Additional Videos-WUO_ERR'!A404 = "", "Validated", HYPERLINK("#" &amp; ADDRESS(404, 'Additional Videos-WUO_TRK'!A404),_xlfn.TEXTAFTER('Additional Videos-WUO_ERR'!A404, ":"))))</f>
        <v/>
      </c>
    </row>
    <row r="405">
      <c r="A405" s="38">
        <f>IF('Additional Videos'!B405 = "", "", IF('Additional Videos-WUO_ERR'!A405 = "", "Validated", HYPERLINK("#" &amp; ADDRESS(405, 'Additional Videos-WUO_TRK'!A405),_xlfn.TEXTAFTER('Additional Videos-WUO_ERR'!A405, ":"))))</f>
        <v/>
      </c>
    </row>
    <row r="406">
      <c r="A406" s="38">
        <f>IF('Additional Videos'!B406 = "", "", IF('Additional Videos-WUO_ERR'!A406 = "", "Validated", HYPERLINK("#" &amp; ADDRESS(406, 'Additional Videos-WUO_TRK'!A406),_xlfn.TEXTAFTER('Additional Videos-WUO_ERR'!A406, ":"))))</f>
        <v/>
      </c>
    </row>
    <row r="407">
      <c r="A407" s="38">
        <f>IF('Additional Videos'!B407 = "", "", IF('Additional Videos-WUO_ERR'!A407 = "", "Validated", HYPERLINK("#" &amp; ADDRESS(407, 'Additional Videos-WUO_TRK'!A407),_xlfn.TEXTAFTER('Additional Videos-WUO_ERR'!A407, ":"))))</f>
        <v/>
      </c>
    </row>
    <row r="408">
      <c r="A408" s="38">
        <f>IF('Additional Videos'!B408 = "", "", IF('Additional Videos-WUO_ERR'!A408 = "", "Validated", HYPERLINK("#" &amp; ADDRESS(408, 'Additional Videos-WUO_TRK'!A408),_xlfn.TEXTAFTER('Additional Videos-WUO_ERR'!A408, ":"))))</f>
        <v/>
      </c>
    </row>
    <row r="409">
      <c r="A409" s="38">
        <f>IF('Additional Videos'!B409 = "", "", IF('Additional Videos-WUO_ERR'!A409 = "", "Validated", HYPERLINK("#" &amp; ADDRESS(409, 'Additional Videos-WUO_TRK'!A409),_xlfn.TEXTAFTER('Additional Videos-WUO_ERR'!A409, ":"))))</f>
        <v/>
      </c>
    </row>
    <row r="410">
      <c r="A410" s="38">
        <f>IF('Additional Videos'!B410 = "", "", IF('Additional Videos-WUO_ERR'!A410 = "", "Validated", HYPERLINK("#" &amp; ADDRESS(410, 'Additional Videos-WUO_TRK'!A410),_xlfn.TEXTAFTER('Additional Videos-WUO_ERR'!A410, ":"))))</f>
        <v/>
      </c>
    </row>
    <row r="411">
      <c r="A411" s="38">
        <f>IF('Additional Videos'!B411 = "", "", IF('Additional Videos-WUO_ERR'!A411 = "", "Validated", HYPERLINK("#" &amp; ADDRESS(411, 'Additional Videos-WUO_TRK'!A411),_xlfn.TEXTAFTER('Additional Videos-WUO_ERR'!A411, ":"))))</f>
        <v/>
      </c>
    </row>
    <row r="412">
      <c r="A412" s="38">
        <f>IF('Additional Videos'!B412 = "", "", IF('Additional Videos-WUO_ERR'!A412 = "", "Validated", HYPERLINK("#" &amp; ADDRESS(412, 'Additional Videos-WUO_TRK'!A412),_xlfn.TEXTAFTER('Additional Videos-WUO_ERR'!A412, ":"))))</f>
        <v/>
      </c>
    </row>
    <row r="413">
      <c r="A413" s="38">
        <f>IF('Additional Videos'!B413 = "", "", IF('Additional Videos-WUO_ERR'!A413 = "", "Validated", HYPERLINK("#" &amp; ADDRESS(413, 'Additional Videos-WUO_TRK'!A413),_xlfn.TEXTAFTER('Additional Videos-WUO_ERR'!A413, ":"))))</f>
        <v/>
      </c>
    </row>
    <row r="414">
      <c r="A414" s="38">
        <f>IF('Additional Videos'!B414 = "", "", IF('Additional Videos-WUO_ERR'!A414 = "", "Validated", HYPERLINK("#" &amp; ADDRESS(414, 'Additional Videos-WUO_TRK'!A414),_xlfn.TEXTAFTER('Additional Videos-WUO_ERR'!A414, ":"))))</f>
        <v/>
      </c>
    </row>
    <row r="415">
      <c r="A415" s="38">
        <f>IF('Additional Videos'!B415 = "", "", IF('Additional Videos-WUO_ERR'!A415 = "", "Validated", HYPERLINK("#" &amp; ADDRESS(415, 'Additional Videos-WUO_TRK'!A415),_xlfn.TEXTAFTER('Additional Videos-WUO_ERR'!A415, ":"))))</f>
        <v/>
      </c>
    </row>
    <row r="416">
      <c r="A416" s="38">
        <f>IF('Additional Videos'!B416 = "", "", IF('Additional Videos-WUO_ERR'!A416 = "", "Validated", HYPERLINK("#" &amp; ADDRESS(416, 'Additional Videos-WUO_TRK'!A416),_xlfn.TEXTAFTER('Additional Videos-WUO_ERR'!A416, ":"))))</f>
        <v/>
      </c>
    </row>
    <row r="417">
      <c r="A417" s="38">
        <f>IF('Additional Videos'!B417 = "", "", IF('Additional Videos-WUO_ERR'!A417 = "", "Validated", HYPERLINK("#" &amp; ADDRESS(417, 'Additional Videos-WUO_TRK'!A417),_xlfn.TEXTAFTER('Additional Videos-WUO_ERR'!A417, ":"))))</f>
        <v/>
      </c>
    </row>
    <row r="418">
      <c r="A418" s="38">
        <f>IF('Additional Videos'!B418 = "", "", IF('Additional Videos-WUO_ERR'!A418 = "", "Validated", HYPERLINK("#" &amp; ADDRESS(418, 'Additional Videos-WUO_TRK'!A418),_xlfn.TEXTAFTER('Additional Videos-WUO_ERR'!A418, ":"))))</f>
        <v/>
      </c>
    </row>
    <row r="419">
      <c r="A419" s="38">
        <f>IF('Additional Videos'!B419 = "", "", IF('Additional Videos-WUO_ERR'!A419 = "", "Validated", HYPERLINK("#" &amp; ADDRESS(419, 'Additional Videos-WUO_TRK'!A419),_xlfn.TEXTAFTER('Additional Videos-WUO_ERR'!A419, ":"))))</f>
        <v/>
      </c>
    </row>
    <row r="420">
      <c r="A420" s="38">
        <f>IF('Additional Videos'!B420 = "", "", IF('Additional Videos-WUO_ERR'!A420 = "", "Validated", HYPERLINK("#" &amp; ADDRESS(420, 'Additional Videos-WUO_TRK'!A420),_xlfn.TEXTAFTER('Additional Videos-WUO_ERR'!A420, ":"))))</f>
        <v/>
      </c>
    </row>
    <row r="421">
      <c r="A421" s="38">
        <f>IF('Additional Videos'!B421 = "", "", IF('Additional Videos-WUO_ERR'!A421 = "", "Validated", HYPERLINK("#" &amp; ADDRESS(421, 'Additional Videos-WUO_TRK'!A421),_xlfn.TEXTAFTER('Additional Videos-WUO_ERR'!A421, ":"))))</f>
        <v/>
      </c>
    </row>
    <row r="422">
      <c r="A422" s="38">
        <f>IF('Additional Videos'!B422 = "", "", IF('Additional Videos-WUO_ERR'!A422 = "", "Validated", HYPERLINK("#" &amp; ADDRESS(422, 'Additional Videos-WUO_TRK'!A422),_xlfn.TEXTAFTER('Additional Videos-WUO_ERR'!A422, ":"))))</f>
        <v/>
      </c>
    </row>
    <row r="423">
      <c r="A423" s="38">
        <f>IF('Additional Videos'!B423 = "", "", IF('Additional Videos-WUO_ERR'!A423 = "", "Validated", HYPERLINK("#" &amp; ADDRESS(423, 'Additional Videos-WUO_TRK'!A423),_xlfn.TEXTAFTER('Additional Videos-WUO_ERR'!A423, ":"))))</f>
        <v/>
      </c>
    </row>
    <row r="424">
      <c r="A424" s="38">
        <f>IF('Additional Videos'!B424 = "", "", IF('Additional Videos-WUO_ERR'!A424 = "", "Validated", HYPERLINK("#" &amp; ADDRESS(424, 'Additional Videos-WUO_TRK'!A424),_xlfn.TEXTAFTER('Additional Videos-WUO_ERR'!A424, ":"))))</f>
        <v/>
      </c>
    </row>
    <row r="425">
      <c r="A425" s="38">
        <f>IF('Additional Videos'!B425 = "", "", IF('Additional Videos-WUO_ERR'!A425 = "", "Validated", HYPERLINK("#" &amp; ADDRESS(425, 'Additional Videos-WUO_TRK'!A425),_xlfn.TEXTAFTER('Additional Videos-WUO_ERR'!A425, ":"))))</f>
        <v/>
      </c>
    </row>
    <row r="426">
      <c r="A426" s="38">
        <f>IF('Additional Videos'!B426 = "", "", IF('Additional Videos-WUO_ERR'!A426 = "", "Validated", HYPERLINK("#" &amp; ADDRESS(426, 'Additional Videos-WUO_TRK'!A426),_xlfn.TEXTAFTER('Additional Videos-WUO_ERR'!A426, ":"))))</f>
        <v/>
      </c>
    </row>
    <row r="427">
      <c r="A427" s="38">
        <f>IF('Additional Videos'!B427 = "", "", IF('Additional Videos-WUO_ERR'!A427 = "", "Validated", HYPERLINK("#" &amp; ADDRESS(427, 'Additional Videos-WUO_TRK'!A427),_xlfn.TEXTAFTER('Additional Videos-WUO_ERR'!A427, ":"))))</f>
        <v/>
      </c>
    </row>
    <row r="428">
      <c r="A428" s="38">
        <f>IF('Additional Videos'!B428 = "", "", IF('Additional Videos-WUO_ERR'!A428 = "", "Validated", HYPERLINK("#" &amp; ADDRESS(428, 'Additional Videos-WUO_TRK'!A428),_xlfn.TEXTAFTER('Additional Videos-WUO_ERR'!A428, ":"))))</f>
        <v/>
      </c>
    </row>
    <row r="429">
      <c r="A429" s="38">
        <f>IF('Additional Videos'!B429 = "", "", IF('Additional Videos-WUO_ERR'!A429 = "", "Validated", HYPERLINK("#" &amp; ADDRESS(429, 'Additional Videos-WUO_TRK'!A429),_xlfn.TEXTAFTER('Additional Videos-WUO_ERR'!A429, ":"))))</f>
        <v/>
      </c>
    </row>
    <row r="430">
      <c r="A430" s="38">
        <f>IF('Additional Videos'!B430 = "", "", IF('Additional Videos-WUO_ERR'!A430 = "", "Validated", HYPERLINK("#" &amp; ADDRESS(430, 'Additional Videos-WUO_TRK'!A430),_xlfn.TEXTAFTER('Additional Videos-WUO_ERR'!A430, ":"))))</f>
        <v/>
      </c>
    </row>
    <row r="431">
      <c r="A431" s="38">
        <f>IF('Additional Videos'!B431 = "", "", IF('Additional Videos-WUO_ERR'!A431 = "", "Validated", HYPERLINK("#" &amp; ADDRESS(431, 'Additional Videos-WUO_TRK'!A431),_xlfn.TEXTAFTER('Additional Videos-WUO_ERR'!A431, ":"))))</f>
        <v/>
      </c>
    </row>
    <row r="432">
      <c r="A432" s="38">
        <f>IF('Additional Videos'!B432 = "", "", IF('Additional Videos-WUO_ERR'!A432 = "", "Validated", HYPERLINK("#" &amp; ADDRESS(432, 'Additional Videos-WUO_TRK'!A432),_xlfn.TEXTAFTER('Additional Videos-WUO_ERR'!A432, ":"))))</f>
        <v/>
      </c>
    </row>
    <row r="433">
      <c r="A433" s="38">
        <f>IF('Additional Videos'!B433 = "", "", IF('Additional Videos-WUO_ERR'!A433 = "", "Validated", HYPERLINK("#" &amp; ADDRESS(433, 'Additional Videos-WUO_TRK'!A433),_xlfn.TEXTAFTER('Additional Videos-WUO_ERR'!A433, ":"))))</f>
        <v/>
      </c>
    </row>
    <row r="434">
      <c r="A434" s="38">
        <f>IF('Additional Videos'!B434 = "", "", IF('Additional Videos-WUO_ERR'!A434 = "", "Validated", HYPERLINK("#" &amp; ADDRESS(434, 'Additional Videos-WUO_TRK'!A434),_xlfn.TEXTAFTER('Additional Videos-WUO_ERR'!A434, ":"))))</f>
        <v/>
      </c>
    </row>
    <row r="435">
      <c r="A435" s="38">
        <f>IF('Additional Videos'!B435 = "", "", IF('Additional Videos-WUO_ERR'!A435 = "", "Validated", HYPERLINK("#" &amp; ADDRESS(435, 'Additional Videos-WUO_TRK'!A435),_xlfn.TEXTAFTER('Additional Videos-WUO_ERR'!A435, ":"))))</f>
        <v/>
      </c>
    </row>
    <row r="436">
      <c r="A436" s="38">
        <f>IF('Additional Videos'!B436 = "", "", IF('Additional Videos-WUO_ERR'!A436 = "", "Validated", HYPERLINK("#" &amp; ADDRESS(436, 'Additional Videos-WUO_TRK'!A436),_xlfn.TEXTAFTER('Additional Videos-WUO_ERR'!A436, ":"))))</f>
        <v/>
      </c>
    </row>
    <row r="437">
      <c r="A437" s="38">
        <f>IF('Additional Videos'!B437 = "", "", IF('Additional Videos-WUO_ERR'!A437 = "", "Validated", HYPERLINK("#" &amp; ADDRESS(437, 'Additional Videos-WUO_TRK'!A437),_xlfn.TEXTAFTER('Additional Videos-WUO_ERR'!A437, ":"))))</f>
        <v/>
      </c>
    </row>
    <row r="438">
      <c r="A438" s="38">
        <f>IF('Additional Videos'!B438 = "", "", IF('Additional Videos-WUO_ERR'!A438 = "", "Validated", HYPERLINK("#" &amp; ADDRESS(438, 'Additional Videos-WUO_TRK'!A438),_xlfn.TEXTAFTER('Additional Videos-WUO_ERR'!A438, ":"))))</f>
        <v/>
      </c>
    </row>
    <row r="439">
      <c r="A439" s="38">
        <f>IF('Additional Videos'!B439 = "", "", IF('Additional Videos-WUO_ERR'!A439 = "", "Validated", HYPERLINK("#" &amp; ADDRESS(439, 'Additional Videos-WUO_TRK'!A439),_xlfn.TEXTAFTER('Additional Videos-WUO_ERR'!A439, ":"))))</f>
        <v/>
      </c>
    </row>
    <row r="440">
      <c r="A440" s="38">
        <f>IF('Additional Videos'!B440 = "", "", IF('Additional Videos-WUO_ERR'!A440 = "", "Validated", HYPERLINK("#" &amp; ADDRESS(440, 'Additional Videos-WUO_TRK'!A440),_xlfn.TEXTAFTER('Additional Videos-WUO_ERR'!A440, ":"))))</f>
        <v/>
      </c>
    </row>
    <row r="441">
      <c r="A441" s="38">
        <f>IF('Additional Videos'!B441 = "", "", IF('Additional Videos-WUO_ERR'!A441 = "", "Validated", HYPERLINK("#" &amp; ADDRESS(441, 'Additional Videos-WUO_TRK'!A441),_xlfn.TEXTAFTER('Additional Videos-WUO_ERR'!A441, ":"))))</f>
        <v/>
      </c>
    </row>
    <row r="442">
      <c r="A442" s="38">
        <f>IF('Additional Videos'!B442 = "", "", IF('Additional Videos-WUO_ERR'!A442 = "", "Validated", HYPERLINK("#" &amp; ADDRESS(442, 'Additional Videos-WUO_TRK'!A442),_xlfn.TEXTAFTER('Additional Videos-WUO_ERR'!A442, ":"))))</f>
        <v/>
      </c>
    </row>
    <row r="443">
      <c r="A443" s="38">
        <f>IF('Additional Videos'!B443 = "", "", IF('Additional Videos-WUO_ERR'!A443 = "", "Validated", HYPERLINK("#" &amp; ADDRESS(443, 'Additional Videos-WUO_TRK'!A443),_xlfn.TEXTAFTER('Additional Videos-WUO_ERR'!A443, ":"))))</f>
        <v/>
      </c>
    </row>
    <row r="444">
      <c r="A444" s="38">
        <f>IF('Additional Videos'!B444 = "", "", IF('Additional Videos-WUO_ERR'!A444 = "", "Validated", HYPERLINK("#" &amp; ADDRESS(444, 'Additional Videos-WUO_TRK'!A444),_xlfn.TEXTAFTER('Additional Videos-WUO_ERR'!A444, ":"))))</f>
        <v/>
      </c>
    </row>
    <row r="445">
      <c r="A445" s="38">
        <f>IF('Additional Videos'!B445 = "", "", IF('Additional Videos-WUO_ERR'!A445 = "", "Validated", HYPERLINK("#" &amp; ADDRESS(445, 'Additional Videos-WUO_TRK'!A445),_xlfn.TEXTAFTER('Additional Videos-WUO_ERR'!A445, ":"))))</f>
        <v/>
      </c>
    </row>
    <row r="446">
      <c r="A446" s="38">
        <f>IF('Additional Videos'!B446 = "", "", IF('Additional Videos-WUO_ERR'!A446 = "", "Validated", HYPERLINK("#" &amp; ADDRESS(446, 'Additional Videos-WUO_TRK'!A446),_xlfn.TEXTAFTER('Additional Videos-WUO_ERR'!A446, ":"))))</f>
        <v/>
      </c>
    </row>
    <row r="447">
      <c r="A447" s="38">
        <f>IF('Additional Videos'!B447 = "", "", IF('Additional Videos-WUO_ERR'!A447 = "", "Validated", HYPERLINK("#" &amp; ADDRESS(447, 'Additional Videos-WUO_TRK'!A447),_xlfn.TEXTAFTER('Additional Videos-WUO_ERR'!A447, ":"))))</f>
        <v/>
      </c>
    </row>
    <row r="448">
      <c r="A448" s="38">
        <f>IF('Additional Videos'!B448 = "", "", IF('Additional Videos-WUO_ERR'!A448 = "", "Validated", HYPERLINK("#" &amp; ADDRESS(448, 'Additional Videos-WUO_TRK'!A448),_xlfn.TEXTAFTER('Additional Videos-WUO_ERR'!A448, ":"))))</f>
        <v/>
      </c>
    </row>
    <row r="449">
      <c r="A449" s="38">
        <f>IF('Additional Videos'!B449 = "", "", IF('Additional Videos-WUO_ERR'!A449 = "", "Validated", HYPERLINK("#" &amp; ADDRESS(449, 'Additional Videos-WUO_TRK'!A449),_xlfn.TEXTAFTER('Additional Videos-WUO_ERR'!A449, ":"))))</f>
        <v/>
      </c>
    </row>
    <row r="450">
      <c r="A450" s="38">
        <f>IF('Additional Videos'!B450 = "", "", IF('Additional Videos-WUO_ERR'!A450 = "", "Validated", HYPERLINK("#" &amp; ADDRESS(450, 'Additional Videos-WUO_TRK'!A450),_xlfn.TEXTAFTER('Additional Videos-WUO_ERR'!A450, ":"))))</f>
        <v/>
      </c>
    </row>
    <row r="451">
      <c r="A451" s="38">
        <f>IF('Additional Videos'!B451 = "", "", IF('Additional Videos-WUO_ERR'!A451 = "", "Validated", HYPERLINK("#" &amp; ADDRESS(451, 'Additional Videos-WUO_TRK'!A451),_xlfn.TEXTAFTER('Additional Videos-WUO_ERR'!A451, ":"))))</f>
        <v/>
      </c>
    </row>
    <row r="452">
      <c r="A452" s="38">
        <f>IF('Additional Videos'!B452 = "", "", IF('Additional Videos-WUO_ERR'!A452 = "", "Validated", HYPERLINK("#" &amp; ADDRESS(452, 'Additional Videos-WUO_TRK'!A452),_xlfn.TEXTAFTER('Additional Videos-WUO_ERR'!A452, ":"))))</f>
        <v/>
      </c>
    </row>
    <row r="453">
      <c r="A453" s="38">
        <f>IF('Additional Videos'!B453 = "", "", IF('Additional Videos-WUO_ERR'!A453 = "", "Validated", HYPERLINK("#" &amp; ADDRESS(453, 'Additional Videos-WUO_TRK'!A453),_xlfn.TEXTAFTER('Additional Videos-WUO_ERR'!A453, ":"))))</f>
        <v/>
      </c>
    </row>
    <row r="454">
      <c r="A454" s="38">
        <f>IF('Additional Videos'!B454 = "", "", IF('Additional Videos-WUO_ERR'!A454 = "", "Validated", HYPERLINK("#" &amp; ADDRESS(454, 'Additional Videos-WUO_TRK'!A454),_xlfn.TEXTAFTER('Additional Videos-WUO_ERR'!A454, ":"))))</f>
        <v/>
      </c>
    </row>
    <row r="455">
      <c r="A455" s="38">
        <f>IF('Additional Videos'!B455 = "", "", IF('Additional Videos-WUO_ERR'!A455 = "", "Validated", HYPERLINK("#" &amp; ADDRESS(455, 'Additional Videos-WUO_TRK'!A455),_xlfn.TEXTAFTER('Additional Videos-WUO_ERR'!A455, ":"))))</f>
        <v/>
      </c>
    </row>
    <row r="456">
      <c r="A456" s="38">
        <f>IF('Additional Videos'!B456 = "", "", IF('Additional Videos-WUO_ERR'!A456 = "", "Validated", HYPERLINK("#" &amp; ADDRESS(456, 'Additional Videos-WUO_TRK'!A456),_xlfn.TEXTAFTER('Additional Videos-WUO_ERR'!A456, ":"))))</f>
        <v/>
      </c>
    </row>
    <row r="457">
      <c r="A457" s="38">
        <f>IF('Additional Videos'!B457 = "", "", IF('Additional Videos-WUO_ERR'!A457 = "", "Validated", HYPERLINK("#" &amp; ADDRESS(457, 'Additional Videos-WUO_TRK'!A457),_xlfn.TEXTAFTER('Additional Videos-WUO_ERR'!A457, ":"))))</f>
        <v/>
      </c>
    </row>
    <row r="458">
      <c r="A458" s="38">
        <f>IF('Additional Videos'!B458 = "", "", IF('Additional Videos-WUO_ERR'!A458 = "", "Validated", HYPERLINK("#" &amp; ADDRESS(458, 'Additional Videos-WUO_TRK'!A458),_xlfn.TEXTAFTER('Additional Videos-WUO_ERR'!A458, ":"))))</f>
        <v/>
      </c>
    </row>
    <row r="459">
      <c r="A459" s="38">
        <f>IF('Additional Videos'!B459 = "", "", IF('Additional Videos-WUO_ERR'!A459 = "", "Validated", HYPERLINK("#" &amp; ADDRESS(459, 'Additional Videos-WUO_TRK'!A459),_xlfn.TEXTAFTER('Additional Videos-WUO_ERR'!A459, ":"))))</f>
        <v/>
      </c>
    </row>
    <row r="460">
      <c r="A460" s="38">
        <f>IF('Additional Videos'!B460 = "", "", IF('Additional Videos-WUO_ERR'!A460 = "", "Validated", HYPERLINK("#" &amp; ADDRESS(460, 'Additional Videos-WUO_TRK'!A460),_xlfn.TEXTAFTER('Additional Videos-WUO_ERR'!A460, ":"))))</f>
        <v/>
      </c>
    </row>
    <row r="461">
      <c r="A461" s="38">
        <f>IF('Additional Videos'!B461 = "", "", IF('Additional Videos-WUO_ERR'!A461 = "", "Validated", HYPERLINK("#" &amp; ADDRESS(461, 'Additional Videos-WUO_TRK'!A461),_xlfn.TEXTAFTER('Additional Videos-WUO_ERR'!A461, ":"))))</f>
        <v/>
      </c>
    </row>
    <row r="462">
      <c r="A462" s="38">
        <f>IF('Additional Videos'!B462 = "", "", IF('Additional Videos-WUO_ERR'!A462 = "", "Validated", HYPERLINK("#" &amp; ADDRESS(462, 'Additional Videos-WUO_TRK'!A462),_xlfn.TEXTAFTER('Additional Videos-WUO_ERR'!A462, ":"))))</f>
        <v/>
      </c>
    </row>
    <row r="463">
      <c r="A463" s="38">
        <f>IF('Additional Videos'!B463 = "", "", IF('Additional Videos-WUO_ERR'!A463 = "", "Validated", HYPERLINK("#" &amp; ADDRESS(463, 'Additional Videos-WUO_TRK'!A463),_xlfn.TEXTAFTER('Additional Videos-WUO_ERR'!A463, ":"))))</f>
        <v/>
      </c>
    </row>
    <row r="464">
      <c r="A464" s="38">
        <f>IF('Additional Videos'!B464 = "", "", IF('Additional Videos-WUO_ERR'!A464 = "", "Validated", HYPERLINK("#" &amp; ADDRESS(464, 'Additional Videos-WUO_TRK'!A464),_xlfn.TEXTAFTER('Additional Videos-WUO_ERR'!A464, ":"))))</f>
        <v/>
      </c>
    </row>
    <row r="465">
      <c r="A465" s="38">
        <f>IF('Additional Videos'!B465 = "", "", IF('Additional Videos-WUO_ERR'!A465 = "", "Validated", HYPERLINK("#" &amp; ADDRESS(465, 'Additional Videos-WUO_TRK'!A465),_xlfn.TEXTAFTER('Additional Videos-WUO_ERR'!A465, ":"))))</f>
        <v/>
      </c>
    </row>
    <row r="466">
      <c r="A466" s="38">
        <f>IF('Additional Videos'!B466 = "", "", IF('Additional Videos-WUO_ERR'!A466 = "", "Validated", HYPERLINK("#" &amp; ADDRESS(466, 'Additional Videos-WUO_TRK'!A466),_xlfn.TEXTAFTER('Additional Videos-WUO_ERR'!A466, ":"))))</f>
        <v/>
      </c>
    </row>
    <row r="467">
      <c r="A467" s="38">
        <f>IF('Additional Videos'!B467 = "", "", IF('Additional Videos-WUO_ERR'!A467 = "", "Validated", HYPERLINK("#" &amp; ADDRESS(467, 'Additional Videos-WUO_TRK'!A467),_xlfn.TEXTAFTER('Additional Videos-WUO_ERR'!A467, ":"))))</f>
        <v/>
      </c>
    </row>
    <row r="468">
      <c r="A468" s="38">
        <f>IF('Additional Videos'!B468 = "", "", IF('Additional Videos-WUO_ERR'!A468 = "", "Validated", HYPERLINK("#" &amp; ADDRESS(468, 'Additional Videos-WUO_TRK'!A468),_xlfn.TEXTAFTER('Additional Videos-WUO_ERR'!A468, ":"))))</f>
        <v/>
      </c>
    </row>
    <row r="469">
      <c r="A469" s="38">
        <f>IF('Additional Videos'!B469 = "", "", IF('Additional Videos-WUO_ERR'!A469 = "", "Validated", HYPERLINK("#" &amp; ADDRESS(469, 'Additional Videos-WUO_TRK'!A469),_xlfn.TEXTAFTER('Additional Videos-WUO_ERR'!A469, ":"))))</f>
        <v/>
      </c>
    </row>
    <row r="470">
      <c r="A470" s="38">
        <f>IF('Additional Videos'!B470 = "", "", IF('Additional Videos-WUO_ERR'!A470 = "", "Validated", HYPERLINK("#" &amp; ADDRESS(470, 'Additional Videos-WUO_TRK'!A470),_xlfn.TEXTAFTER('Additional Videos-WUO_ERR'!A470, ":"))))</f>
        <v/>
      </c>
    </row>
    <row r="471">
      <c r="A471" s="38">
        <f>IF('Additional Videos'!B471 = "", "", IF('Additional Videos-WUO_ERR'!A471 = "", "Validated", HYPERLINK("#" &amp; ADDRESS(471, 'Additional Videos-WUO_TRK'!A471),_xlfn.TEXTAFTER('Additional Videos-WUO_ERR'!A471, ":"))))</f>
        <v/>
      </c>
    </row>
    <row r="472">
      <c r="A472" s="38">
        <f>IF('Additional Videos'!B472 = "", "", IF('Additional Videos-WUO_ERR'!A472 = "", "Validated", HYPERLINK("#" &amp; ADDRESS(472, 'Additional Videos-WUO_TRK'!A472),_xlfn.TEXTAFTER('Additional Videos-WUO_ERR'!A472, ":"))))</f>
        <v/>
      </c>
    </row>
    <row r="473">
      <c r="A473" s="38">
        <f>IF('Additional Videos'!B473 = "", "", IF('Additional Videos-WUO_ERR'!A473 = "", "Validated", HYPERLINK("#" &amp; ADDRESS(473, 'Additional Videos-WUO_TRK'!A473),_xlfn.TEXTAFTER('Additional Videos-WUO_ERR'!A473, ":"))))</f>
        <v/>
      </c>
    </row>
    <row r="474">
      <c r="A474" s="38">
        <f>IF('Additional Videos'!B474 = "", "", IF('Additional Videos-WUO_ERR'!A474 = "", "Validated", HYPERLINK("#" &amp; ADDRESS(474, 'Additional Videos-WUO_TRK'!A474),_xlfn.TEXTAFTER('Additional Videos-WUO_ERR'!A474, ":"))))</f>
        <v/>
      </c>
    </row>
    <row r="475">
      <c r="A475" s="38">
        <f>IF('Additional Videos'!B475 = "", "", IF('Additional Videos-WUO_ERR'!A475 = "", "Validated", HYPERLINK("#" &amp; ADDRESS(475, 'Additional Videos-WUO_TRK'!A475),_xlfn.TEXTAFTER('Additional Videos-WUO_ERR'!A475, ":"))))</f>
        <v/>
      </c>
    </row>
    <row r="476">
      <c r="A476" s="38">
        <f>IF('Additional Videos'!B476 = "", "", IF('Additional Videos-WUO_ERR'!A476 = "", "Validated", HYPERLINK("#" &amp; ADDRESS(476, 'Additional Videos-WUO_TRK'!A476),_xlfn.TEXTAFTER('Additional Videos-WUO_ERR'!A476, ":"))))</f>
        <v/>
      </c>
    </row>
    <row r="477">
      <c r="A477" s="38">
        <f>IF('Additional Videos'!B477 = "", "", IF('Additional Videos-WUO_ERR'!A477 = "", "Validated", HYPERLINK("#" &amp; ADDRESS(477, 'Additional Videos-WUO_TRK'!A477),_xlfn.TEXTAFTER('Additional Videos-WUO_ERR'!A477, ":"))))</f>
        <v/>
      </c>
    </row>
    <row r="478">
      <c r="A478" s="38">
        <f>IF('Additional Videos'!B478 = "", "", IF('Additional Videos-WUO_ERR'!A478 = "", "Validated", HYPERLINK("#" &amp; ADDRESS(478, 'Additional Videos-WUO_TRK'!A478),_xlfn.TEXTAFTER('Additional Videos-WUO_ERR'!A478, ":"))))</f>
        <v/>
      </c>
    </row>
    <row r="479">
      <c r="A479" s="38">
        <f>IF('Additional Videos'!B479 = "", "", IF('Additional Videos-WUO_ERR'!A479 = "", "Validated", HYPERLINK("#" &amp; ADDRESS(479, 'Additional Videos-WUO_TRK'!A479),_xlfn.TEXTAFTER('Additional Videos-WUO_ERR'!A479, ":"))))</f>
        <v/>
      </c>
    </row>
    <row r="480">
      <c r="A480" s="38">
        <f>IF('Additional Videos'!B480 = "", "", IF('Additional Videos-WUO_ERR'!A480 = "", "Validated", HYPERLINK("#" &amp; ADDRESS(480, 'Additional Videos-WUO_TRK'!A480),_xlfn.TEXTAFTER('Additional Videos-WUO_ERR'!A480, ":"))))</f>
        <v/>
      </c>
    </row>
    <row r="481">
      <c r="A481" s="38">
        <f>IF('Additional Videos'!B481 = "", "", IF('Additional Videos-WUO_ERR'!A481 = "", "Validated", HYPERLINK("#" &amp; ADDRESS(481, 'Additional Videos-WUO_TRK'!A481),_xlfn.TEXTAFTER('Additional Videos-WUO_ERR'!A481, ":"))))</f>
        <v/>
      </c>
    </row>
    <row r="482">
      <c r="A482" s="38">
        <f>IF('Additional Videos'!B482 = "", "", IF('Additional Videos-WUO_ERR'!A482 = "", "Validated", HYPERLINK("#" &amp; ADDRESS(482, 'Additional Videos-WUO_TRK'!A482),_xlfn.TEXTAFTER('Additional Videos-WUO_ERR'!A482, ":"))))</f>
        <v/>
      </c>
    </row>
    <row r="483">
      <c r="A483" s="38">
        <f>IF('Additional Videos'!B483 = "", "", IF('Additional Videos-WUO_ERR'!A483 = "", "Validated", HYPERLINK("#" &amp; ADDRESS(483, 'Additional Videos-WUO_TRK'!A483),_xlfn.TEXTAFTER('Additional Videos-WUO_ERR'!A483, ":"))))</f>
        <v/>
      </c>
    </row>
    <row r="484">
      <c r="A484" s="38">
        <f>IF('Additional Videos'!B484 = "", "", IF('Additional Videos-WUO_ERR'!A484 = "", "Validated", HYPERLINK("#" &amp; ADDRESS(484, 'Additional Videos-WUO_TRK'!A484),_xlfn.TEXTAFTER('Additional Videos-WUO_ERR'!A484, ":"))))</f>
        <v/>
      </c>
    </row>
    <row r="485">
      <c r="A485" s="38">
        <f>IF('Additional Videos'!B485 = "", "", IF('Additional Videos-WUO_ERR'!A485 = "", "Validated", HYPERLINK("#" &amp; ADDRESS(485, 'Additional Videos-WUO_TRK'!A485),_xlfn.TEXTAFTER('Additional Videos-WUO_ERR'!A485, ":"))))</f>
        <v/>
      </c>
    </row>
    <row r="486">
      <c r="A486" s="38">
        <f>IF('Additional Videos'!B486 = "", "", IF('Additional Videos-WUO_ERR'!A486 = "", "Validated", HYPERLINK("#" &amp; ADDRESS(486, 'Additional Videos-WUO_TRK'!A486),_xlfn.TEXTAFTER('Additional Videos-WUO_ERR'!A486, ":"))))</f>
        <v/>
      </c>
    </row>
    <row r="487">
      <c r="A487" s="38">
        <f>IF('Additional Videos'!B487 = "", "", IF('Additional Videos-WUO_ERR'!A487 = "", "Validated", HYPERLINK("#" &amp; ADDRESS(487, 'Additional Videos-WUO_TRK'!A487),_xlfn.TEXTAFTER('Additional Videos-WUO_ERR'!A487, ":"))))</f>
        <v/>
      </c>
    </row>
    <row r="488">
      <c r="A488" s="38">
        <f>IF('Additional Videos'!B488 = "", "", IF('Additional Videos-WUO_ERR'!A488 = "", "Validated", HYPERLINK("#" &amp; ADDRESS(488, 'Additional Videos-WUO_TRK'!A488),_xlfn.TEXTAFTER('Additional Videos-WUO_ERR'!A488, ":"))))</f>
        <v/>
      </c>
    </row>
    <row r="489">
      <c r="A489" s="38">
        <f>IF('Additional Videos'!B489 = "", "", IF('Additional Videos-WUO_ERR'!A489 = "", "Validated", HYPERLINK("#" &amp; ADDRESS(489, 'Additional Videos-WUO_TRK'!A489),_xlfn.TEXTAFTER('Additional Videos-WUO_ERR'!A489, ":"))))</f>
        <v/>
      </c>
    </row>
    <row r="490">
      <c r="A490" s="38">
        <f>IF('Additional Videos'!B490 = "", "", IF('Additional Videos-WUO_ERR'!A490 = "", "Validated", HYPERLINK("#" &amp; ADDRESS(490, 'Additional Videos-WUO_TRK'!A490),_xlfn.TEXTAFTER('Additional Videos-WUO_ERR'!A490, ":"))))</f>
        <v/>
      </c>
    </row>
    <row r="491">
      <c r="A491" s="38">
        <f>IF('Additional Videos'!B491 = "", "", IF('Additional Videos-WUO_ERR'!A491 = "", "Validated", HYPERLINK("#" &amp; ADDRESS(491, 'Additional Videos-WUO_TRK'!A491),_xlfn.TEXTAFTER('Additional Videos-WUO_ERR'!A491, ":"))))</f>
        <v/>
      </c>
    </row>
    <row r="492">
      <c r="A492" s="38">
        <f>IF('Additional Videos'!B492 = "", "", IF('Additional Videos-WUO_ERR'!A492 = "", "Validated", HYPERLINK("#" &amp; ADDRESS(492, 'Additional Videos-WUO_TRK'!A492),_xlfn.TEXTAFTER('Additional Videos-WUO_ERR'!A492, ":"))))</f>
        <v/>
      </c>
    </row>
    <row r="493">
      <c r="A493" s="38">
        <f>IF('Additional Videos'!B493 = "", "", IF('Additional Videos-WUO_ERR'!A493 = "", "Validated", HYPERLINK("#" &amp; ADDRESS(493, 'Additional Videos-WUO_TRK'!A493),_xlfn.TEXTAFTER('Additional Videos-WUO_ERR'!A493, ":"))))</f>
        <v/>
      </c>
    </row>
    <row r="494">
      <c r="A494" s="38">
        <f>IF('Additional Videos'!B494 = "", "", IF('Additional Videos-WUO_ERR'!A494 = "", "Validated", HYPERLINK("#" &amp; ADDRESS(494, 'Additional Videos-WUO_TRK'!A494),_xlfn.TEXTAFTER('Additional Videos-WUO_ERR'!A494, ":"))))</f>
        <v/>
      </c>
    </row>
    <row r="495">
      <c r="A495" s="38">
        <f>IF('Additional Videos'!B495 = "", "", IF('Additional Videos-WUO_ERR'!A495 = "", "Validated", HYPERLINK("#" &amp; ADDRESS(495, 'Additional Videos-WUO_TRK'!A495),_xlfn.TEXTAFTER('Additional Videos-WUO_ERR'!A495, ":"))))</f>
        <v/>
      </c>
    </row>
    <row r="496">
      <c r="A496" s="38">
        <f>IF('Additional Videos'!B496 = "", "", IF('Additional Videos-WUO_ERR'!A496 = "", "Validated", HYPERLINK("#" &amp; ADDRESS(496, 'Additional Videos-WUO_TRK'!A496),_xlfn.TEXTAFTER('Additional Videos-WUO_ERR'!A496, ":"))))</f>
        <v/>
      </c>
    </row>
    <row r="497">
      <c r="A497" s="38">
        <f>IF('Additional Videos'!B497 = "", "", IF('Additional Videos-WUO_ERR'!A497 = "", "Validated", HYPERLINK("#" &amp; ADDRESS(497, 'Additional Videos-WUO_TRK'!A497),_xlfn.TEXTAFTER('Additional Videos-WUO_ERR'!A497, ":"))))</f>
        <v/>
      </c>
    </row>
    <row r="498">
      <c r="A498" s="38">
        <f>IF('Additional Videos'!B498 = "", "", IF('Additional Videos-WUO_ERR'!A498 = "", "Validated", HYPERLINK("#" &amp; ADDRESS(498, 'Additional Videos-WUO_TRK'!A498),_xlfn.TEXTAFTER('Additional Videos-WUO_ERR'!A498, ":"))))</f>
        <v/>
      </c>
    </row>
    <row r="499">
      <c r="A499" s="38">
        <f>IF('Additional Videos'!B499 = "", "", IF('Additional Videos-WUO_ERR'!A499 = "", "Validated", HYPERLINK("#" &amp; ADDRESS(499, 'Additional Videos-WUO_TRK'!A499),_xlfn.TEXTAFTER('Additional Videos-WUO_ERR'!A499, ":"))))</f>
        <v/>
      </c>
    </row>
    <row r="500">
      <c r="A500" s="38">
        <f>IF('Additional Videos'!B500 = "", "", IF('Additional Videos-WUO_ERR'!A500 = "", "Validated", HYPERLINK("#" &amp; ADDRESS(500, 'Additional Videos-WUO_TRK'!A500),_xlfn.TEXTAFTER('Additional Videos-WUO_ERR'!A500, ":"))))</f>
        <v/>
      </c>
    </row>
    <row r="501">
      <c r="A501" s="38">
        <f>IF('Additional Videos'!B501 = "", "", IF('Additional Videos-WUO_ERR'!A501 = "", "Validated", HYPERLINK("#" &amp; ADDRESS(501, 'Additional Videos-WUO_TRK'!A501),_xlfn.TEXTAFTER('Additional Videos-WUO_ERR'!A501, ":"))))</f>
        <v/>
      </c>
    </row>
    <row r="502">
      <c r="A502" s="38">
        <f>IF('Additional Videos'!B502 = "", "", IF('Additional Videos-WUO_ERR'!A502 = "", "Validated", HYPERLINK("#" &amp; ADDRESS(502, 'Additional Videos-WUO_TRK'!A502),_xlfn.TEXTAFTER('Additional Videos-WUO_ERR'!A502, ":"))))</f>
        <v/>
      </c>
    </row>
    <row r="503">
      <c r="A503" s="38">
        <f>IF('Additional Videos'!B503 = "", "", IF('Additional Videos-WUO_ERR'!A503 = "", "Validated", HYPERLINK("#" &amp; ADDRESS(503, 'Additional Videos-WUO_TRK'!A503),_xlfn.TEXTAFTER('Additional Videos-WUO_ERR'!A503, ":"))))</f>
        <v/>
      </c>
    </row>
    <row r="504">
      <c r="A504" s="38">
        <f>IF('Additional Videos'!B504 = "", "", IF('Additional Videos-WUO_ERR'!A504 = "", "Validated", HYPERLINK("#" &amp; ADDRESS(504, 'Additional Videos-WUO_TRK'!A504),_xlfn.TEXTAFTER('Additional Videos-WUO_ERR'!A504, ":"))))</f>
        <v/>
      </c>
    </row>
    <row r="505">
      <c r="A505" s="38">
        <f>IF('Additional Videos'!B505 = "", "", IF('Additional Videos-WUO_ERR'!A505 = "", "Validated", HYPERLINK("#" &amp; ADDRESS(505, 'Additional Videos-WUO_TRK'!A505),_xlfn.TEXTAFTER('Additional Videos-WUO_ERR'!A505, ":"))))</f>
        <v/>
      </c>
    </row>
    <row r="506">
      <c r="A506" s="38">
        <f>IF('Additional Videos'!B506 = "", "", IF('Additional Videos-WUO_ERR'!A506 = "", "Validated", HYPERLINK("#" &amp; ADDRESS(506, 'Additional Videos-WUO_TRK'!A506),_xlfn.TEXTAFTER('Additional Videos-WUO_ERR'!A506, ":"))))</f>
        <v/>
      </c>
    </row>
    <row r="507">
      <c r="A507" s="38">
        <f>IF('Additional Videos'!B507 = "", "", IF('Additional Videos-WUO_ERR'!A507 = "", "Validated", HYPERLINK("#" &amp; ADDRESS(507, 'Additional Videos-WUO_TRK'!A507),_xlfn.TEXTAFTER('Additional Videos-WUO_ERR'!A507, ":"))))</f>
        <v/>
      </c>
    </row>
  </sheetData>
  <sheetProtection selectLockedCells="0" selectUnlockedCells="0" sheet="1" objects="1" insertRows="1" insertHyperlinks="1" autoFilter="1" scenarios="1" formatColumns="0" deleteColumns="1" insertColumns="1" pivotTables="1" deleteRows="1" formatCells="1" formatRows="0" sort="1" password="B4ED"/>
  <conditionalFormatting sqref="A7:A50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50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dataValidations count="1">
    <dataValidation sqref="C7:C250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media::videoValue</t>
        </is>
      </c>
    </row>
    <row r="3">
      <c r="B3" s="31" t="inlineStr">
        <is>
          <t>Required</t>
        </is>
      </c>
      <c r="C3" s="31" t="inlineStr">
        <is>
          <t>Additional</t>
        </is>
      </c>
    </row>
    <row r="4" ht="50" customHeight="1">
      <c r="B4" s="19" t="inlineStr">
        <is>
          <t>Supplier Part Number</t>
        </is>
      </c>
      <c r="C4" s="19" t="inlineStr">
        <is>
          <t>Video File Name or URL</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Provide the video’s file name with extension for separate uploads or a direct public URL. Do not exceed 10 videos per product.</t>
        </is>
      </c>
    </row>
    <row r="6" ht="50" customHeight="1">
      <c r="B6" s="34" t="inlineStr">
        <is>
          <t>Text</t>
        </is>
      </c>
      <c r="C6" s="34" t="inlineStr">
        <is>
          <t>Text</t>
        </is>
      </c>
    </row>
    <row r="7">
      <c r="A7">
        <f t="array" ref="A7">_xlfn.BYROW(B7:D507,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Videos'!B7:B507, 'Additional Videos'!B7:B507,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Videos'!B7:B507, 'Additional Videos'!C7:C507,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style="22" min="2" max="2"/>
    <col width="27.7109375" customWidth="1" style="22" min="3" max="3"/>
  </cols>
  <sheetData>
    <row r="1" hidden="1">
      <c r="B1" s="22" t="inlineStr">
        <is>
          <t>core::supplierPartNumber</t>
        </is>
      </c>
      <c r="C1" s="22" t="inlineStr">
        <is>
          <t>media::videoValue</t>
        </is>
      </c>
    </row>
    <row r="3">
      <c r="B3" s="31" t="inlineStr">
        <is>
          <t>Required</t>
        </is>
      </c>
      <c r="C3" s="31" t="inlineStr">
        <is>
          <t>Additional</t>
        </is>
      </c>
    </row>
    <row r="4" ht="50" customHeight="1">
      <c r="B4" s="19" t="inlineStr">
        <is>
          <t>Supplier Part Number</t>
        </is>
      </c>
      <c r="C4" s="19" t="inlineStr">
        <is>
          <t>Video File Name or URL</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Provide the video’s file name with extension for separate uploads or a direct public URL. Do not exceed 10 videos per product.</t>
        </is>
      </c>
    </row>
    <row r="6" ht="50" customHeight="1">
      <c r="B6" s="34" t="inlineStr">
        <is>
          <t>Text</t>
        </is>
      </c>
      <c r="C6" s="34" t="inlineStr">
        <is>
          <t>Text</t>
        </is>
      </c>
    </row>
    <row r="7">
      <c r="A7">
        <f t="array" ref="A7">_xlfn.BYROW(B7:D507, _xlfn.LAMBDA(_xlpm.r, _xlfn.LET(_xlpm.high_priority_idx, IFERROR(MATCH(TRUE, (_xlpm.r = "Error") + (_xlpm.r = "Required") &gt; 0, 0), 0), IF(_xlpm.high_priority_idx &gt; 0, _xlpm.high_priority_idx + 1, IFERROR(MATCH(1, (_xlpm.r = "Warning") * 1, 0) + 1, "")))))</f>
        <v/>
      </c>
      <c r="B7" s="22">
        <f t="array" ref="B7">_xlfn.MAP('Additional Videos'!B7:B507, 'Additional Videos'!B7:B507, 'Additional Videos-WUO_ERR'!B7:B507, _xlfn.LAMBDA(_xlpm.part, _xlpm.val, _xlpm.error, IF(_xlpm.part = "", "", IF(LEN(_xlpm.error), _xlfn.SWITCH(IFERROR(_xlfn.TEXTBEFORE(_xlpm.error,":"), ""), "1", "Error", "2", "Disabled", "3", "Required", "4", "Warning", "Valid"), "Valid"))))</f>
        <v/>
      </c>
      <c r="C7" s="22">
        <f t="array" ref="C7">_xlfn.MAP('Additional Videos'!B7:B507, 'Additional Videos'!C7:C507, 'Additional Videos-WUO_ERR'!C7:C507,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507"/>
  <sheetViews>
    <sheetView workbookViewId="0">
      <selection activeCell="A1" sqref="A1"/>
    </sheetView>
  </sheetViews>
  <sheetFormatPr baseColWidth="8" defaultRowHeight="15"/>
  <cols>
    <col width="35.7109375" customWidth="1" min="1" max="1"/>
    <col width="25.7109375" customWidth="1" style="22" min="2" max="2"/>
    <col width="30.7109375" customWidth="1" style="22" min="3" max="3"/>
    <col width="18.7109375" customWidth="1" style="22" min="4" max="4"/>
    <col width="24.7109375" customWidth="1" style="22" min="5" max="5"/>
    <col width="20.7109375" customWidth="1" style="22" min="6" max="6"/>
    <col width="22.7109375" customWidth="1" style="22" min="7" max="7"/>
    <col hidden="1" min="26" max="26"/>
  </cols>
  <sheetData>
    <row r="1" hidden="1">
      <c r="B1" s="22" t="inlineStr">
        <is>
          <t>core::supplierPartNumber</t>
        </is>
      </c>
      <c r="C1" s="22" t="inlineStr">
        <is>
          <t>media::documentValue</t>
        </is>
      </c>
      <c r="D1" s="22" t="inlineStr">
        <is>
          <t>media::documentType</t>
        </is>
      </c>
      <c r="E1" s="22" t="inlineStr">
        <is>
          <t>media::legalDocumentType</t>
        </is>
      </c>
      <c r="F1" s="22" t="inlineStr">
        <is>
          <t>media::regionType</t>
        </is>
      </c>
      <c r="G1" s="22" t="inlineStr">
        <is>
          <t>media::language</t>
        </is>
      </c>
    </row>
    <row r="2">
      <c r="B2" s="23" t="inlineStr">
        <is>
          <t>Basic Information</t>
        </is>
      </c>
      <c r="C2" s="29" t="inlineStr">
        <is>
          <t>Media</t>
        </is>
      </c>
      <c r="D2" s="40" t="n"/>
      <c r="E2" s="40" t="n"/>
      <c r="F2" s="40" t="n"/>
      <c r="G2" s="41" t="n"/>
    </row>
    <row r="3">
      <c r="B3" s="31" t="inlineStr">
        <is>
          <t>Required</t>
        </is>
      </c>
      <c r="C3" s="31" t="inlineStr">
        <is>
          <t>Conditional</t>
        </is>
      </c>
      <c r="D3" s="31" t="inlineStr">
        <is>
          <t>Conditional</t>
        </is>
      </c>
      <c r="E3" s="31" t="inlineStr">
        <is>
          <t>Conditional</t>
        </is>
      </c>
      <c r="F3" s="31" t="inlineStr">
        <is>
          <t>Conditional</t>
        </is>
      </c>
      <c r="G3" s="31"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4" t="inlineStr">
        <is>
          <t>Displays the error status and message for the first error in the row, with a link to the corresponding cell.</t>
        </is>
      </c>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Provide the document’s file name with extension for separate uploads or a direct public URL. Do not exceed 10 documents per product.</t>
        </is>
      </c>
      <c r="D5" s="34" t="inlineStr">
        <is>
          <t>Select one or more values from the provided list that best describe the document’s purpose. This classification helps customers easily find information like “Installation &amp; Assembly” guides, “Warranty Information,” or “Specifications.</t>
        </is>
      </c>
      <c r="E5" s="34" t="inlineStr">
        <is>
          <t>If the document serves as a legal notice or certification (e.g., “ASTM F2057 - 19,” “ANSI A117.1 Compliant”), select the specific type(s) from the provided list. This is used for compliance and to display certifications to customers.</t>
        </is>
      </c>
      <c r="F5" s="34" t="inlineStr">
        <is>
          <t>Select the country or region where this document is legally applicable. This is crucial for compliance-related documents that may differ across locations.</t>
        </is>
      </c>
      <c r="G5" s="34" t="inlineStr">
        <is>
          <t>Select the language in which the document is written.</t>
        </is>
      </c>
    </row>
    <row r="6" ht="50" customHeight="1">
      <c r="A6" s="34" t="inlineStr">
        <is>
          <t>Read-Only</t>
        </is>
      </c>
      <c r="B6" s="34" t="inlineStr">
        <is>
          <t>Text</t>
        </is>
      </c>
      <c r="C6" s="34" t="inlineStr">
        <is>
          <t>Text</t>
        </is>
      </c>
      <c r="D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5" t="inlineStr">
        <is>
          <t>Select</t>
        </is>
      </c>
      <c r="G6" s="35" t="inlineStr">
        <is>
          <t>Select</t>
        </is>
      </c>
    </row>
    <row r="7">
      <c r="A7" s="38">
        <f>IF('Additional Documents'!B7 = "", "", IF('Additional Documents-WUO_ERR'!A7 = "", "Validated", HYPERLINK("#" &amp; ADDRESS(7, 'Additional Documents-WUO_TRK'!A7),_xlfn.TEXTAFTER('Additional Documents-WUO_ERR'!A7, ":"))))</f>
        <v/>
      </c>
      <c r="Z7">
        <f t="array" ref="Z7">IF(B7:B507="", "", IFERROR(_xlfn.XLOOKUP(B7:B507, _xlfn.VSTACK('6 - TV Stands &amp; Enterta'!B7:B507), _xlfn.VSTACK('6 - TV Stands &amp; Enterta'!G7:G507)), ""))</f>
        <v/>
      </c>
    </row>
    <row r="8">
      <c r="A8" s="38">
        <f>IF('Additional Documents'!B8 = "", "", IF('Additional Documents-WUO_ERR'!A8 = "", "Validated", HYPERLINK("#" &amp; ADDRESS(8, 'Additional Documents-WUO_TRK'!A8),_xlfn.TEXTAFTER('Additional Documents-WUO_ERR'!A8, ":"))))</f>
        <v/>
      </c>
    </row>
    <row r="9">
      <c r="A9" s="38">
        <f>IF('Additional Documents'!B9 = "", "", IF('Additional Documents-WUO_ERR'!A9 = "", "Validated", HYPERLINK("#" &amp; ADDRESS(9, 'Additional Documents-WUO_TRK'!A9),_xlfn.TEXTAFTER('Additional Documents-WUO_ERR'!A9, ":"))))</f>
        <v/>
      </c>
    </row>
    <row r="10">
      <c r="A10" s="38">
        <f>IF('Additional Documents'!B10 = "", "", IF('Additional Documents-WUO_ERR'!A10 = "", "Validated", HYPERLINK("#" &amp; ADDRESS(10, 'Additional Documents-WUO_TRK'!A10),_xlfn.TEXTAFTER('Additional Documents-WUO_ERR'!A10, ":"))))</f>
        <v/>
      </c>
    </row>
    <row r="11">
      <c r="A11" s="38">
        <f>IF('Additional Documents'!B11 = "", "", IF('Additional Documents-WUO_ERR'!A11 = "", "Validated", HYPERLINK("#" &amp; ADDRESS(11, 'Additional Documents-WUO_TRK'!A11),_xlfn.TEXTAFTER('Additional Documents-WUO_ERR'!A11, ":"))))</f>
        <v/>
      </c>
    </row>
    <row r="12">
      <c r="A12" s="38">
        <f>IF('Additional Documents'!B12 = "", "", IF('Additional Documents-WUO_ERR'!A12 = "", "Validated", HYPERLINK("#" &amp; ADDRESS(12, 'Additional Documents-WUO_TRK'!A12),_xlfn.TEXTAFTER('Additional Documents-WUO_ERR'!A12, ":"))))</f>
        <v/>
      </c>
    </row>
    <row r="13">
      <c r="A13" s="38">
        <f>IF('Additional Documents'!B13 = "", "", IF('Additional Documents-WUO_ERR'!A13 = "", "Validated", HYPERLINK("#" &amp; ADDRESS(13, 'Additional Documents-WUO_TRK'!A13),_xlfn.TEXTAFTER('Additional Documents-WUO_ERR'!A13, ":"))))</f>
        <v/>
      </c>
    </row>
    <row r="14">
      <c r="A14" s="38">
        <f>IF('Additional Documents'!B14 = "", "", IF('Additional Documents-WUO_ERR'!A14 = "", "Validated", HYPERLINK("#" &amp; ADDRESS(14, 'Additional Documents-WUO_TRK'!A14),_xlfn.TEXTAFTER('Additional Documents-WUO_ERR'!A14, ":"))))</f>
        <v/>
      </c>
    </row>
    <row r="15">
      <c r="A15" s="38">
        <f>IF('Additional Documents'!B15 = "", "", IF('Additional Documents-WUO_ERR'!A15 = "", "Validated", HYPERLINK("#" &amp; ADDRESS(15, 'Additional Documents-WUO_TRK'!A15),_xlfn.TEXTAFTER('Additional Documents-WUO_ERR'!A15, ":"))))</f>
        <v/>
      </c>
    </row>
    <row r="16">
      <c r="A16" s="38">
        <f>IF('Additional Documents'!B16 = "", "", IF('Additional Documents-WUO_ERR'!A16 = "", "Validated", HYPERLINK("#" &amp; ADDRESS(16, 'Additional Documents-WUO_TRK'!A16),_xlfn.TEXTAFTER('Additional Documents-WUO_ERR'!A16, ":"))))</f>
        <v/>
      </c>
    </row>
    <row r="17">
      <c r="A17" s="38">
        <f>IF('Additional Documents'!B17 = "", "", IF('Additional Documents-WUO_ERR'!A17 = "", "Validated", HYPERLINK("#" &amp; ADDRESS(17, 'Additional Documents-WUO_TRK'!A17),_xlfn.TEXTAFTER('Additional Documents-WUO_ERR'!A17, ":"))))</f>
        <v/>
      </c>
    </row>
    <row r="18">
      <c r="A18" s="38">
        <f>IF('Additional Documents'!B18 = "", "", IF('Additional Documents-WUO_ERR'!A18 = "", "Validated", HYPERLINK("#" &amp; ADDRESS(18, 'Additional Documents-WUO_TRK'!A18),_xlfn.TEXTAFTER('Additional Documents-WUO_ERR'!A18, ":"))))</f>
        <v/>
      </c>
    </row>
    <row r="19">
      <c r="A19" s="38">
        <f>IF('Additional Documents'!B19 = "", "", IF('Additional Documents-WUO_ERR'!A19 = "", "Validated", HYPERLINK("#" &amp; ADDRESS(19, 'Additional Documents-WUO_TRK'!A19),_xlfn.TEXTAFTER('Additional Documents-WUO_ERR'!A19, ":"))))</f>
        <v/>
      </c>
    </row>
    <row r="20">
      <c r="A20" s="38">
        <f>IF('Additional Documents'!B20 = "", "", IF('Additional Documents-WUO_ERR'!A20 = "", "Validated", HYPERLINK("#" &amp; ADDRESS(20, 'Additional Documents-WUO_TRK'!A20),_xlfn.TEXTAFTER('Additional Documents-WUO_ERR'!A20, ":"))))</f>
        <v/>
      </c>
    </row>
    <row r="21">
      <c r="A21" s="38">
        <f>IF('Additional Documents'!B21 = "", "", IF('Additional Documents-WUO_ERR'!A21 = "", "Validated", HYPERLINK("#" &amp; ADDRESS(21, 'Additional Documents-WUO_TRK'!A21),_xlfn.TEXTAFTER('Additional Documents-WUO_ERR'!A21, ":"))))</f>
        <v/>
      </c>
    </row>
    <row r="22">
      <c r="A22" s="38">
        <f>IF('Additional Documents'!B22 = "", "", IF('Additional Documents-WUO_ERR'!A22 = "", "Validated", HYPERLINK("#" &amp; ADDRESS(22, 'Additional Documents-WUO_TRK'!A22),_xlfn.TEXTAFTER('Additional Documents-WUO_ERR'!A22, ":"))))</f>
        <v/>
      </c>
    </row>
    <row r="23">
      <c r="A23" s="38">
        <f>IF('Additional Documents'!B23 = "", "", IF('Additional Documents-WUO_ERR'!A23 = "", "Validated", HYPERLINK("#" &amp; ADDRESS(23, 'Additional Documents-WUO_TRK'!A23),_xlfn.TEXTAFTER('Additional Documents-WUO_ERR'!A23, ":"))))</f>
        <v/>
      </c>
    </row>
    <row r="24">
      <c r="A24" s="38">
        <f>IF('Additional Documents'!B24 = "", "", IF('Additional Documents-WUO_ERR'!A24 = "", "Validated", HYPERLINK("#" &amp; ADDRESS(24, 'Additional Documents-WUO_TRK'!A24),_xlfn.TEXTAFTER('Additional Documents-WUO_ERR'!A24, ":"))))</f>
        <v/>
      </c>
    </row>
    <row r="25">
      <c r="A25" s="38">
        <f>IF('Additional Documents'!B25 = "", "", IF('Additional Documents-WUO_ERR'!A25 = "", "Validated", HYPERLINK("#" &amp; ADDRESS(25, 'Additional Documents-WUO_TRK'!A25),_xlfn.TEXTAFTER('Additional Documents-WUO_ERR'!A25, ":"))))</f>
        <v/>
      </c>
    </row>
    <row r="26">
      <c r="A26" s="38">
        <f>IF('Additional Documents'!B26 = "", "", IF('Additional Documents-WUO_ERR'!A26 = "", "Validated", HYPERLINK("#" &amp; ADDRESS(26, 'Additional Documents-WUO_TRK'!A26),_xlfn.TEXTAFTER('Additional Documents-WUO_ERR'!A26, ":"))))</f>
        <v/>
      </c>
    </row>
    <row r="27">
      <c r="A27" s="38">
        <f>IF('Additional Documents'!B27 = "", "", IF('Additional Documents-WUO_ERR'!A27 = "", "Validated", HYPERLINK("#" &amp; ADDRESS(27, 'Additional Documents-WUO_TRK'!A27),_xlfn.TEXTAFTER('Additional Documents-WUO_ERR'!A27, ":"))))</f>
        <v/>
      </c>
    </row>
    <row r="28">
      <c r="A28" s="38">
        <f>IF('Additional Documents'!B28 = "", "", IF('Additional Documents-WUO_ERR'!A28 = "", "Validated", HYPERLINK("#" &amp; ADDRESS(28, 'Additional Documents-WUO_TRK'!A28),_xlfn.TEXTAFTER('Additional Documents-WUO_ERR'!A28, ":"))))</f>
        <v/>
      </c>
    </row>
    <row r="29">
      <c r="A29" s="38">
        <f>IF('Additional Documents'!B29 = "", "", IF('Additional Documents-WUO_ERR'!A29 = "", "Validated", HYPERLINK("#" &amp; ADDRESS(29, 'Additional Documents-WUO_TRK'!A29),_xlfn.TEXTAFTER('Additional Documents-WUO_ERR'!A29, ":"))))</f>
        <v/>
      </c>
    </row>
    <row r="30">
      <c r="A30" s="38">
        <f>IF('Additional Documents'!B30 = "", "", IF('Additional Documents-WUO_ERR'!A30 = "", "Validated", HYPERLINK("#" &amp; ADDRESS(30, 'Additional Documents-WUO_TRK'!A30),_xlfn.TEXTAFTER('Additional Documents-WUO_ERR'!A30, ":"))))</f>
        <v/>
      </c>
    </row>
    <row r="31">
      <c r="A31" s="38">
        <f>IF('Additional Documents'!B31 = "", "", IF('Additional Documents-WUO_ERR'!A31 = "", "Validated", HYPERLINK("#" &amp; ADDRESS(31, 'Additional Documents-WUO_TRK'!A31),_xlfn.TEXTAFTER('Additional Documents-WUO_ERR'!A31, ":"))))</f>
        <v/>
      </c>
    </row>
    <row r="32">
      <c r="A32" s="38">
        <f>IF('Additional Documents'!B32 = "", "", IF('Additional Documents-WUO_ERR'!A32 = "", "Validated", HYPERLINK("#" &amp; ADDRESS(32, 'Additional Documents-WUO_TRK'!A32),_xlfn.TEXTAFTER('Additional Documents-WUO_ERR'!A32, ":"))))</f>
        <v/>
      </c>
    </row>
    <row r="33">
      <c r="A33" s="38">
        <f>IF('Additional Documents'!B33 = "", "", IF('Additional Documents-WUO_ERR'!A33 = "", "Validated", HYPERLINK("#" &amp; ADDRESS(33, 'Additional Documents-WUO_TRK'!A33),_xlfn.TEXTAFTER('Additional Documents-WUO_ERR'!A33, ":"))))</f>
        <v/>
      </c>
    </row>
    <row r="34">
      <c r="A34" s="38">
        <f>IF('Additional Documents'!B34 = "", "", IF('Additional Documents-WUO_ERR'!A34 = "", "Validated", HYPERLINK("#" &amp; ADDRESS(34, 'Additional Documents-WUO_TRK'!A34),_xlfn.TEXTAFTER('Additional Documents-WUO_ERR'!A34, ":"))))</f>
        <v/>
      </c>
    </row>
    <row r="35">
      <c r="A35" s="38">
        <f>IF('Additional Documents'!B35 = "", "", IF('Additional Documents-WUO_ERR'!A35 = "", "Validated", HYPERLINK("#" &amp; ADDRESS(35, 'Additional Documents-WUO_TRK'!A35),_xlfn.TEXTAFTER('Additional Documents-WUO_ERR'!A35, ":"))))</f>
        <v/>
      </c>
    </row>
    <row r="36">
      <c r="A36" s="38">
        <f>IF('Additional Documents'!B36 = "", "", IF('Additional Documents-WUO_ERR'!A36 = "", "Validated", HYPERLINK("#" &amp; ADDRESS(36, 'Additional Documents-WUO_TRK'!A36),_xlfn.TEXTAFTER('Additional Documents-WUO_ERR'!A36, ":"))))</f>
        <v/>
      </c>
    </row>
    <row r="37">
      <c r="A37" s="38">
        <f>IF('Additional Documents'!B37 = "", "", IF('Additional Documents-WUO_ERR'!A37 = "", "Validated", HYPERLINK("#" &amp; ADDRESS(37, 'Additional Documents-WUO_TRK'!A37),_xlfn.TEXTAFTER('Additional Documents-WUO_ERR'!A37, ":"))))</f>
        <v/>
      </c>
    </row>
    <row r="38">
      <c r="A38" s="38">
        <f>IF('Additional Documents'!B38 = "", "", IF('Additional Documents-WUO_ERR'!A38 = "", "Validated", HYPERLINK("#" &amp; ADDRESS(38, 'Additional Documents-WUO_TRK'!A38),_xlfn.TEXTAFTER('Additional Documents-WUO_ERR'!A38, ":"))))</f>
        <v/>
      </c>
    </row>
    <row r="39">
      <c r="A39" s="38">
        <f>IF('Additional Documents'!B39 = "", "", IF('Additional Documents-WUO_ERR'!A39 = "", "Validated", HYPERLINK("#" &amp; ADDRESS(39, 'Additional Documents-WUO_TRK'!A39),_xlfn.TEXTAFTER('Additional Documents-WUO_ERR'!A39, ":"))))</f>
        <v/>
      </c>
    </row>
    <row r="40">
      <c r="A40" s="38">
        <f>IF('Additional Documents'!B40 = "", "", IF('Additional Documents-WUO_ERR'!A40 = "", "Validated", HYPERLINK("#" &amp; ADDRESS(40, 'Additional Documents-WUO_TRK'!A40),_xlfn.TEXTAFTER('Additional Documents-WUO_ERR'!A40, ":"))))</f>
        <v/>
      </c>
    </row>
    <row r="41">
      <c r="A41" s="38">
        <f>IF('Additional Documents'!B41 = "", "", IF('Additional Documents-WUO_ERR'!A41 = "", "Validated", HYPERLINK("#" &amp; ADDRESS(41, 'Additional Documents-WUO_TRK'!A41),_xlfn.TEXTAFTER('Additional Documents-WUO_ERR'!A41, ":"))))</f>
        <v/>
      </c>
    </row>
    <row r="42">
      <c r="A42" s="38">
        <f>IF('Additional Documents'!B42 = "", "", IF('Additional Documents-WUO_ERR'!A42 = "", "Validated", HYPERLINK("#" &amp; ADDRESS(42, 'Additional Documents-WUO_TRK'!A42),_xlfn.TEXTAFTER('Additional Documents-WUO_ERR'!A42, ":"))))</f>
        <v/>
      </c>
    </row>
    <row r="43">
      <c r="A43" s="38">
        <f>IF('Additional Documents'!B43 = "", "", IF('Additional Documents-WUO_ERR'!A43 = "", "Validated", HYPERLINK("#" &amp; ADDRESS(43, 'Additional Documents-WUO_TRK'!A43),_xlfn.TEXTAFTER('Additional Documents-WUO_ERR'!A43, ":"))))</f>
        <v/>
      </c>
    </row>
    <row r="44">
      <c r="A44" s="38">
        <f>IF('Additional Documents'!B44 = "", "", IF('Additional Documents-WUO_ERR'!A44 = "", "Validated", HYPERLINK("#" &amp; ADDRESS(44, 'Additional Documents-WUO_TRK'!A44),_xlfn.TEXTAFTER('Additional Documents-WUO_ERR'!A44, ":"))))</f>
        <v/>
      </c>
    </row>
    <row r="45">
      <c r="A45" s="38">
        <f>IF('Additional Documents'!B45 = "", "", IF('Additional Documents-WUO_ERR'!A45 = "", "Validated", HYPERLINK("#" &amp; ADDRESS(45, 'Additional Documents-WUO_TRK'!A45),_xlfn.TEXTAFTER('Additional Documents-WUO_ERR'!A45, ":"))))</f>
        <v/>
      </c>
    </row>
    <row r="46">
      <c r="A46" s="38">
        <f>IF('Additional Documents'!B46 = "", "", IF('Additional Documents-WUO_ERR'!A46 = "", "Validated", HYPERLINK("#" &amp; ADDRESS(46, 'Additional Documents-WUO_TRK'!A46),_xlfn.TEXTAFTER('Additional Documents-WUO_ERR'!A46, ":"))))</f>
        <v/>
      </c>
    </row>
    <row r="47">
      <c r="A47" s="38">
        <f>IF('Additional Documents'!B47 = "", "", IF('Additional Documents-WUO_ERR'!A47 = "", "Validated", HYPERLINK("#" &amp; ADDRESS(47, 'Additional Documents-WUO_TRK'!A47),_xlfn.TEXTAFTER('Additional Documents-WUO_ERR'!A47, ":"))))</f>
        <v/>
      </c>
    </row>
    <row r="48">
      <c r="A48" s="38">
        <f>IF('Additional Documents'!B48 = "", "", IF('Additional Documents-WUO_ERR'!A48 = "", "Validated", HYPERLINK("#" &amp; ADDRESS(48, 'Additional Documents-WUO_TRK'!A48),_xlfn.TEXTAFTER('Additional Documents-WUO_ERR'!A48, ":"))))</f>
        <v/>
      </c>
    </row>
    <row r="49">
      <c r="A49" s="38">
        <f>IF('Additional Documents'!B49 = "", "", IF('Additional Documents-WUO_ERR'!A49 = "", "Validated", HYPERLINK("#" &amp; ADDRESS(49, 'Additional Documents-WUO_TRK'!A49),_xlfn.TEXTAFTER('Additional Documents-WUO_ERR'!A49, ":"))))</f>
        <v/>
      </c>
    </row>
    <row r="50">
      <c r="A50" s="38">
        <f>IF('Additional Documents'!B50 = "", "", IF('Additional Documents-WUO_ERR'!A50 = "", "Validated", HYPERLINK("#" &amp; ADDRESS(50, 'Additional Documents-WUO_TRK'!A50),_xlfn.TEXTAFTER('Additional Documents-WUO_ERR'!A50, ":"))))</f>
        <v/>
      </c>
    </row>
    <row r="51">
      <c r="A51" s="38">
        <f>IF('Additional Documents'!B51 = "", "", IF('Additional Documents-WUO_ERR'!A51 = "", "Validated", HYPERLINK("#" &amp; ADDRESS(51, 'Additional Documents-WUO_TRK'!A51),_xlfn.TEXTAFTER('Additional Documents-WUO_ERR'!A51, ":"))))</f>
        <v/>
      </c>
    </row>
    <row r="52">
      <c r="A52" s="38">
        <f>IF('Additional Documents'!B52 = "", "", IF('Additional Documents-WUO_ERR'!A52 = "", "Validated", HYPERLINK("#" &amp; ADDRESS(52, 'Additional Documents-WUO_TRK'!A52),_xlfn.TEXTAFTER('Additional Documents-WUO_ERR'!A52, ":"))))</f>
        <v/>
      </c>
    </row>
    <row r="53">
      <c r="A53" s="38">
        <f>IF('Additional Documents'!B53 = "", "", IF('Additional Documents-WUO_ERR'!A53 = "", "Validated", HYPERLINK("#" &amp; ADDRESS(53, 'Additional Documents-WUO_TRK'!A53),_xlfn.TEXTAFTER('Additional Documents-WUO_ERR'!A53, ":"))))</f>
        <v/>
      </c>
    </row>
    <row r="54">
      <c r="A54" s="38">
        <f>IF('Additional Documents'!B54 = "", "", IF('Additional Documents-WUO_ERR'!A54 = "", "Validated", HYPERLINK("#" &amp; ADDRESS(54, 'Additional Documents-WUO_TRK'!A54),_xlfn.TEXTAFTER('Additional Documents-WUO_ERR'!A54, ":"))))</f>
        <v/>
      </c>
    </row>
    <row r="55">
      <c r="A55" s="38">
        <f>IF('Additional Documents'!B55 = "", "", IF('Additional Documents-WUO_ERR'!A55 = "", "Validated", HYPERLINK("#" &amp; ADDRESS(55, 'Additional Documents-WUO_TRK'!A55),_xlfn.TEXTAFTER('Additional Documents-WUO_ERR'!A55, ":"))))</f>
        <v/>
      </c>
    </row>
    <row r="56">
      <c r="A56" s="38">
        <f>IF('Additional Documents'!B56 = "", "", IF('Additional Documents-WUO_ERR'!A56 = "", "Validated", HYPERLINK("#" &amp; ADDRESS(56, 'Additional Documents-WUO_TRK'!A56),_xlfn.TEXTAFTER('Additional Documents-WUO_ERR'!A56, ":"))))</f>
        <v/>
      </c>
    </row>
    <row r="57">
      <c r="A57" s="38">
        <f>IF('Additional Documents'!B57 = "", "", IF('Additional Documents-WUO_ERR'!A57 = "", "Validated", HYPERLINK("#" &amp; ADDRESS(57, 'Additional Documents-WUO_TRK'!A57),_xlfn.TEXTAFTER('Additional Documents-WUO_ERR'!A57, ":"))))</f>
        <v/>
      </c>
    </row>
    <row r="58">
      <c r="A58" s="38">
        <f>IF('Additional Documents'!B58 = "", "", IF('Additional Documents-WUO_ERR'!A58 = "", "Validated", HYPERLINK("#" &amp; ADDRESS(58, 'Additional Documents-WUO_TRK'!A58),_xlfn.TEXTAFTER('Additional Documents-WUO_ERR'!A58, ":"))))</f>
        <v/>
      </c>
    </row>
    <row r="59">
      <c r="A59" s="38">
        <f>IF('Additional Documents'!B59 = "", "", IF('Additional Documents-WUO_ERR'!A59 = "", "Validated", HYPERLINK("#" &amp; ADDRESS(59, 'Additional Documents-WUO_TRK'!A59),_xlfn.TEXTAFTER('Additional Documents-WUO_ERR'!A59, ":"))))</f>
        <v/>
      </c>
    </row>
    <row r="60">
      <c r="A60" s="38">
        <f>IF('Additional Documents'!B60 = "", "", IF('Additional Documents-WUO_ERR'!A60 = "", "Validated", HYPERLINK("#" &amp; ADDRESS(60, 'Additional Documents-WUO_TRK'!A60),_xlfn.TEXTAFTER('Additional Documents-WUO_ERR'!A60, ":"))))</f>
        <v/>
      </c>
    </row>
    <row r="61">
      <c r="A61" s="38">
        <f>IF('Additional Documents'!B61 = "", "", IF('Additional Documents-WUO_ERR'!A61 = "", "Validated", HYPERLINK("#" &amp; ADDRESS(61, 'Additional Documents-WUO_TRK'!A61),_xlfn.TEXTAFTER('Additional Documents-WUO_ERR'!A61, ":"))))</f>
        <v/>
      </c>
    </row>
    <row r="62">
      <c r="A62" s="38">
        <f>IF('Additional Documents'!B62 = "", "", IF('Additional Documents-WUO_ERR'!A62 = "", "Validated", HYPERLINK("#" &amp; ADDRESS(62, 'Additional Documents-WUO_TRK'!A62),_xlfn.TEXTAFTER('Additional Documents-WUO_ERR'!A62, ":"))))</f>
        <v/>
      </c>
    </row>
    <row r="63">
      <c r="A63" s="38">
        <f>IF('Additional Documents'!B63 = "", "", IF('Additional Documents-WUO_ERR'!A63 = "", "Validated", HYPERLINK("#" &amp; ADDRESS(63, 'Additional Documents-WUO_TRK'!A63),_xlfn.TEXTAFTER('Additional Documents-WUO_ERR'!A63, ":"))))</f>
        <v/>
      </c>
    </row>
    <row r="64">
      <c r="A64" s="38">
        <f>IF('Additional Documents'!B64 = "", "", IF('Additional Documents-WUO_ERR'!A64 = "", "Validated", HYPERLINK("#" &amp; ADDRESS(64, 'Additional Documents-WUO_TRK'!A64),_xlfn.TEXTAFTER('Additional Documents-WUO_ERR'!A64, ":"))))</f>
        <v/>
      </c>
    </row>
    <row r="65">
      <c r="A65" s="38">
        <f>IF('Additional Documents'!B65 = "", "", IF('Additional Documents-WUO_ERR'!A65 = "", "Validated", HYPERLINK("#" &amp; ADDRESS(65, 'Additional Documents-WUO_TRK'!A65),_xlfn.TEXTAFTER('Additional Documents-WUO_ERR'!A65, ":"))))</f>
        <v/>
      </c>
    </row>
    <row r="66">
      <c r="A66" s="38">
        <f>IF('Additional Documents'!B66 = "", "", IF('Additional Documents-WUO_ERR'!A66 = "", "Validated", HYPERLINK("#" &amp; ADDRESS(66, 'Additional Documents-WUO_TRK'!A66),_xlfn.TEXTAFTER('Additional Documents-WUO_ERR'!A66, ":"))))</f>
        <v/>
      </c>
    </row>
    <row r="67">
      <c r="A67" s="38">
        <f>IF('Additional Documents'!B67 = "", "", IF('Additional Documents-WUO_ERR'!A67 = "", "Validated", HYPERLINK("#" &amp; ADDRESS(67, 'Additional Documents-WUO_TRK'!A67),_xlfn.TEXTAFTER('Additional Documents-WUO_ERR'!A67, ":"))))</f>
        <v/>
      </c>
    </row>
    <row r="68">
      <c r="A68" s="38">
        <f>IF('Additional Documents'!B68 = "", "", IF('Additional Documents-WUO_ERR'!A68 = "", "Validated", HYPERLINK("#" &amp; ADDRESS(68, 'Additional Documents-WUO_TRK'!A68),_xlfn.TEXTAFTER('Additional Documents-WUO_ERR'!A68, ":"))))</f>
        <v/>
      </c>
    </row>
    <row r="69">
      <c r="A69" s="38">
        <f>IF('Additional Documents'!B69 = "", "", IF('Additional Documents-WUO_ERR'!A69 = "", "Validated", HYPERLINK("#" &amp; ADDRESS(69, 'Additional Documents-WUO_TRK'!A69),_xlfn.TEXTAFTER('Additional Documents-WUO_ERR'!A69, ":"))))</f>
        <v/>
      </c>
    </row>
    <row r="70">
      <c r="A70" s="38">
        <f>IF('Additional Documents'!B70 = "", "", IF('Additional Documents-WUO_ERR'!A70 = "", "Validated", HYPERLINK("#" &amp; ADDRESS(70, 'Additional Documents-WUO_TRK'!A70),_xlfn.TEXTAFTER('Additional Documents-WUO_ERR'!A70, ":"))))</f>
        <v/>
      </c>
    </row>
    <row r="71">
      <c r="A71" s="38">
        <f>IF('Additional Documents'!B71 = "", "", IF('Additional Documents-WUO_ERR'!A71 = "", "Validated", HYPERLINK("#" &amp; ADDRESS(71, 'Additional Documents-WUO_TRK'!A71),_xlfn.TEXTAFTER('Additional Documents-WUO_ERR'!A71, ":"))))</f>
        <v/>
      </c>
    </row>
    <row r="72">
      <c r="A72" s="38">
        <f>IF('Additional Documents'!B72 = "", "", IF('Additional Documents-WUO_ERR'!A72 = "", "Validated", HYPERLINK("#" &amp; ADDRESS(72, 'Additional Documents-WUO_TRK'!A72),_xlfn.TEXTAFTER('Additional Documents-WUO_ERR'!A72, ":"))))</f>
        <v/>
      </c>
    </row>
    <row r="73">
      <c r="A73" s="38">
        <f>IF('Additional Documents'!B73 = "", "", IF('Additional Documents-WUO_ERR'!A73 = "", "Validated", HYPERLINK("#" &amp; ADDRESS(73, 'Additional Documents-WUO_TRK'!A73),_xlfn.TEXTAFTER('Additional Documents-WUO_ERR'!A73, ":"))))</f>
        <v/>
      </c>
    </row>
    <row r="74">
      <c r="A74" s="38">
        <f>IF('Additional Documents'!B74 = "", "", IF('Additional Documents-WUO_ERR'!A74 = "", "Validated", HYPERLINK("#" &amp; ADDRESS(74, 'Additional Documents-WUO_TRK'!A74),_xlfn.TEXTAFTER('Additional Documents-WUO_ERR'!A74, ":"))))</f>
        <v/>
      </c>
    </row>
    <row r="75">
      <c r="A75" s="38">
        <f>IF('Additional Documents'!B75 = "", "", IF('Additional Documents-WUO_ERR'!A75 = "", "Validated", HYPERLINK("#" &amp; ADDRESS(75, 'Additional Documents-WUO_TRK'!A75),_xlfn.TEXTAFTER('Additional Documents-WUO_ERR'!A75, ":"))))</f>
        <v/>
      </c>
    </row>
    <row r="76">
      <c r="A76" s="38">
        <f>IF('Additional Documents'!B76 = "", "", IF('Additional Documents-WUO_ERR'!A76 = "", "Validated", HYPERLINK("#" &amp; ADDRESS(76, 'Additional Documents-WUO_TRK'!A76),_xlfn.TEXTAFTER('Additional Documents-WUO_ERR'!A76, ":"))))</f>
        <v/>
      </c>
    </row>
    <row r="77">
      <c r="A77" s="38">
        <f>IF('Additional Documents'!B77 = "", "", IF('Additional Documents-WUO_ERR'!A77 = "", "Validated", HYPERLINK("#" &amp; ADDRESS(77, 'Additional Documents-WUO_TRK'!A77),_xlfn.TEXTAFTER('Additional Documents-WUO_ERR'!A77, ":"))))</f>
        <v/>
      </c>
    </row>
    <row r="78">
      <c r="A78" s="38">
        <f>IF('Additional Documents'!B78 = "", "", IF('Additional Documents-WUO_ERR'!A78 = "", "Validated", HYPERLINK("#" &amp; ADDRESS(78, 'Additional Documents-WUO_TRK'!A78),_xlfn.TEXTAFTER('Additional Documents-WUO_ERR'!A78, ":"))))</f>
        <v/>
      </c>
    </row>
    <row r="79">
      <c r="A79" s="38">
        <f>IF('Additional Documents'!B79 = "", "", IF('Additional Documents-WUO_ERR'!A79 = "", "Validated", HYPERLINK("#" &amp; ADDRESS(79, 'Additional Documents-WUO_TRK'!A79),_xlfn.TEXTAFTER('Additional Documents-WUO_ERR'!A79, ":"))))</f>
        <v/>
      </c>
    </row>
    <row r="80">
      <c r="A80" s="38">
        <f>IF('Additional Documents'!B80 = "", "", IF('Additional Documents-WUO_ERR'!A80 = "", "Validated", HYPERLINK("#" &amp; ADDRESS(80, 'Additional Documents-WUO_TRK'!A80),_xlfn.TEXTAFTER('Additional Documents-WUO_ERR'!A80, ":"))))</f>
        <v/>
      </c>
    </row>
    <row r="81">
      <c r="A81" s="38">
        <f>IF('Additional Documents'!B81 = "", "", IF('Additional Documents-WUO_ERR'!A81 = "", "Validated", HYPERLINK("#" &amp; ADDRESS(81, 'Additional Documents-WUO_TRK'!A81),_xlfn.TEXTAFTER('Additional Documents-WUO_ERR'!A81, ":"))))</f>
        <v/>
      </c>
    </row>
    <row r="82">
      <c r="A82" s="38">
        <f>IF('Additional Documents'!B82 = "", "", IF('Additional Documents-WUO_ERR'!A82 = "", "Validated", HYPERLINK("#" &amp; ADDRESS(82, 'Additional Documents-WUO_TRK'!A82),_xlfn.TEXTAFTER('Additional Documents-WUO_ERR'!A82, ":"))))</f>
        <v/>
      </c>
    </row>
    <row r="83">
      <c r="A83" s="38">
        <f>IF('Additional Documents'!B83 = "", "", IF('Additional Documents-WUO_ERR'!A83 = "", "Validated", HYPERLINK("#" &amp; ADDRESS(83, 'Additional Documents-WUO_TRK'!A83),_xlfn.TEXTAFTER('Additional Documents-WUO_ERR'!A83, ":"))))</f>
        <v/>
      </c>
    </row>
    <row r="84">
      <c r="A84" s="38">
        <f>IF('Additional Documents'!B84 = "", "", IF('Additional Documents-WUO_ERR'!A84 = "", "Validated", HYPERLINK("#" &amp; ADDRESS(84, 'Additional Documents-WUO_TRK'!A84),_xlfn.TEXTAFTER('Additional Documents-WUO_ERR'!A84, ":"))))</f>
        <v/>
      </c>
    </row>
    <row r="85">
      <c r="A85" s="38">
        <f>IF('Additional Documents'!B85 = "", "", IF('Additional Documents-WUO_ERR'!A85 = "", "Validated", HYPERLINK("#" &amp; ADDRESS(85, 'Additional Documents-WUO_TRK'!A85),_xlfn.TEXTAFTER('Additional Documents-WUO_ERR'!A85, ":"))))</f>
        <v/>
      </c>
    </row>
    <row r="86">
      <c r="A86" s="38">
        <f>IF('Additional Documents'!B86 = "", "", IF('Additional Documents-WUO_ERR'!A86 = "", "Validated", HYPERLINK("#" &amp; ADDRESS(86, 'Additional Documents-WUO_TRK'!A86),_xlfn.TEXTAFTER('Additional Documents-WUO_ERR'!A86, ":"))))</f>
        <v/>
      </c>
    </row>
    <row r="87">
      <c r="A87" s="38">
        <f>IF('Additional Documents'!B87 = "", "", IF('Additional Documents-WUO_ERR'!A87 = "", "Validated", HYPERLINK("#" &amp; ADDRESS(87, 'Additional Documents-WUO_TRK'!A87),_xlfn.TEXTAFTER('Additional Documents-WUO_ERR'!A87, ":"))))</f>
        <v/>
      </c>
    </row>
    <row r="88">
      <c r="A88" s="38">
        <f>IF('Additional Documents'!B88 = "", "", IF('Additional Documents-WUO_ERR'!A88 = "", "Validated", HYPERLINK("#" &amp; ADDRESS(88, 'Additional Documents-WUO_TRK'!A88),_xlfn.TEXTAFTER('Additional Documents-WUO_ERR'!A88, ":"))))</f>
        <v/>
      </c>
    </row>
    <row r="89">
      <c r="A89" s="38">
        <f>IF('Additional Documents'!B89 = "", "", IF('Additional Documents-WUO_ERR'!A89 = "", "Validated", HYPERLINK("#" &amp; ADDRESS(89, 'Additional Documents-WUO_TRK'!A89),_xlfn.TEXTAFTER('Additional Documents-WUO_ERR'!A89, ":"))))</f>
        <v/>
      </c>
    </row>
    <row r="90">
      <c r="A90" s="38">
        <f>IF('Additional Documents'!B90 = "", "", IF('Additional Documents-WUO_ERR'!A90 = "", "Validated", HYPERLINK("#" &amp; ADDRESS(90, 'Additional Documents-WUO_TRK'!A90),_xlfn.TEXTAFTER('Additional Documents-WUO_ERR'!A90, ":"))))</f>
        <v/>
      </c>
    </row>
    <row r="91">
      <c r="A91" s="38">
        <f>IF('Additional Documents'!B91 = "", "", IF('Additional Documents-WUO_ERR'!A91 = "", "Validated", HYPERLINK("#" &amp; ADDRESS(91, 'Additional Documents-WUO_TRK'!A91),_xlfn.TEXTAFTER('Additional Documents-WUO_ERR'!A91, ":"))))</f>
        <v/>
      </c>
    </row>
    <row r="92">
      <c r="A92" s="38">
        <f>IF('Additional Documents'!B92 = "", "", IF('Additional Documents-WUO_ERR'!A92 = "", "Validated", HYPERLINK("#" &amp; ADDRESS(92, 'Additional Documents-WUO_TRK'!A92),_xlfn.TEXTAFTER('Additional Documents-WUO_ERR'!A92, ":"))))</f>
        <v/>
      </c>
    </row>
    <row r="93">
      <c r="A93" s="38">
        <f>IF('Additional Documents'!B93 = "", "", IF('Additional Documents-WUO_ERR'!A93 = "", "Validated", HYPERLINK("#" &amp; ADDRESS(93, 'Additional Documents-WUO_TRK'!A93),_xlfn.TEXTAFTER('Additional Documents-WUO_ERR'!A93, ":"))))</f>
        <v/>
      </c>
    </row>
    <row r="94">
      <c r="A94" s="38">
        <f>IF('Additional Documents'!B94 = "", "", IF('Additional Documents-WUO_ERR'!A94 = "", "Validated", HYPERLINK("#" &amp; ADDRESS(94, 'Additional Documents-WUO_TRK'!A94),_xlfn.TEXTAFTER('Additional Documents-WUO_ERR'!A94, ":"))))</f>
        <v/>
      </c>
    </row>
    <row r="95">
      <c r="A95" s="38">
        <f>IF('Additional Documents'!B95 = "", "", IF('Additional Documents-WUO_ERR'!A95 = "", "Validated", HYPERLINK("#" &amp; ADDRESS(95, 'Additional Documents-WUO_TRK'!A95),_xlfn.TEXTAFTER('Additional Documents-WUO_ERR'!A95, ":"))))</f>
        <v/>
      </c>
    </row>
    <row r="96">
      <c r="A96" s="38">
        <f>IF('Additional Documents'!B96 = "", "", IF('Additional Documents-WUO_ERR'!A96 = "", "Validated", HYPERLINK("#" &amp; ADDRESS(96, 'Additional Documents-WUO_TRK'!A96),_xlfn.TEXTAFTER('Additional Documents-WUO_ERR'!A96, ":"))))</f>
        <v/>
      </c>
    </row>
    <row r="97">
      <c r="A97" s="38">
        <f>IF('Additional Documents'!B97 = "", "", IF('Additional Documents-WUO_ERR'!A97 = "", "Validated", HYPERLINK("#" &amp; ADDRESS(97, 'Additional Documents-WUO_TRK'!A97),_xlfn.TEXTAFTER('Additional Documents-WUO_ERR'!A97, ":"))))</f>
        <v/>
      </c>
    </row>
    <row r="98">
      <c r="A98" s="38">
        <f>IF('Additional Documents'!B98 = "", "", IF('Additional Documents-WUO_ERR'!A98 = "", "Validated", HYPERLINK("#" &amp; ADDRESS(98, 'Additional Documents-WUO_TRK'!A98),_xlfn.TEXTAFTER('Additional Documents-WUO_ERR'!A98, ":"))))</f>
        <v/>
      </c>
    </row>
    <row r="99">
      <c r="A99" s="38">
        <f>IF('Additional Documents'!B99 = "", "", IF('Additional Documents-WUO_ERR'!A99 = "", "Validated", HYPERLINK("#" &amp; ADDRESS(99, 'Additional Documents-WUO_TRK'!A99),_xlfn.TEXTAFTER('Additional Documents-WUO_ERR'!A99, ":"))))</f>
        <v/>
      </c>
    </row>
    <row r="100">
      <c r="A100" s="38">
        <f>IF('Additional Documents'!B100 = "", "", IF('Additional Documents-WUO_ERR'!A100 = "", "Validated", HYPERLINK("#" &amp; ADDRESS(100, 'Additional Documents-WUO_TRK'!A100),_xlfn.TEXTAFTER('Additional Documents-WUO_ERR'!A100, ":"))))</f>
        <v/>
      </c>
    </row>
    <row r="101">
      <c r="A101" s="38">
        <f>IF('Additional Documents'!B101 = "", "", IF('Additional Documents-WUO_ERR'!A101 = "", "Validated", HYPERLINK("#" &amp; ADDRESS(101, 'Additional Documents-WUO_TRK'!A101),_xlfn.TEXTAFTER('Additional Documents-WUO_ERR'!A101, ":"))))</f>
        <v/>
      </c>
    </row>
    <row r="102">
      <c r="A102" s="38">
        <f>IF('Additional Documents'!B102 = "", "", IF('Additional Documents-WUO_ERR'!A102 = "", "Validated", HYPERLINK("#" &amp; ADDRESS(102, 'Additional Documents-WUO_TRK'!A102),_xlfn.TEXTAFTER('Additional Documents-WUO_ERR'!A102, ":"))))</f>
        <v/>
      </c>
    </row>
    <row r="103">
      <c r="A103" s="38">
        <f>IF('Additional Documents'!B103 = "", "", IF('Additional Documents-WUO_ERR'!A103 = "", "Validated", HYPERLINK("#" &amp; ADDRESS(103, 'Additional Documents-WUO_TRK'!A103),_xlfn.TEXTAFTER('Additional Documents-WUO_ERR'!A103, ":"))))</f>
        <v/>
      </c>
    </row>
    <row r="104">
      <c r="A104" s="38">
        <f>IF('Additional Documents'!B104 = "", "", IF('Additional Documents-WUO_ERR'!A104 = "", "Validated", HYPERLINK("#" &amp; ADDRESS(104, 'Additional Documents-WUO_TRK'!A104),_xlfn.TEXTAFTER('Additional Documents-WUO_ERR'!A104, ":"))))</f>
        <v/>
      </c>
    </row>
    <row r="105">
      <c r="A105" s="38">
        <f>IF('Additional Documents'!B105 = "", "", IF('Additional Documents-WUO_ERR'!A105 = "", "Validated", HYPERLINK("#" &amp; ADDRESS(105, 'Additional Documents-WUO_TRK'!A105),_xlfn.TEXTAFTER('Additional Documents-WUO_ERR'!A105, ":"))))</f>
        <v/>
      </c>
    </row>
    <row r="106">
      <c r="A106" s="38">
        <f>IF('Additional Documents'!B106 = "", "", IF('Additional Documents-WUO_ERR'!A106 = "", "Validated", HYPERLINK("#" &amp; ADDRESS(106, 'Additional Documents-WUO_TRK'!A106),_xlfn.TEXTAFTER('Additional Documents-WUO_ERR'!A106, ":"))))</f>
        <v/>
      </c>
    </row>
    <row r="107">
      <c r="A107" s="38">
        <f>IF('Additional Documents'!B107 = "", "", IF('Additional Documents-WUO_ERR'!A107 = "", "Validated", HYPERLINK("#" &amp; ADDRESS(107, 'Additional Documents-WUO_TRK'!A107),_xlfn.TEXTAFTER('Additional Documents-WUO_ERR'!A107, ":"))))</f>
        <v/>
      </c>
    </row>
    <row r="108">
      <c r="A108" s="38">
        <f>IF('Additional Documents'!B108 = "", "", IF('Additional Documents-WUO_ERR'!A108 = "", "Validated", HYPERLINK("#" &amp; ADDRESS(108, 'Additional Documents-WUO_TRK'!A108),_xlfn.TEXTAFTER('Additional Documents-WUO_ERR'!A108, ":"))))</f>
        <v/>
      </c>
    </row>
    <row r="109">
      <c r="A109" s="38">
        <f>IF('Additional Documents'!B109 = "", "", IF('Additional Documents-WUO_ERR'!A109 = "", "Validated", HYPERLINK("#" &amp; ADDRESS(109, 'Additional Documents-WUO_TRK'!A109),_xlfn.TEXTAFTER('Additional Documents-WUO_ERR'!A109, ":"))))</f>
        <v/>
      </c>
    </row>
    <row r="110">
      <c r="A110" s="38">
        <f>IF('Additional Documents'!B110 = "", "", IF('Additional Documents-WUO_ERR'!A110 = "", "Validated", HYPERLINK("#" &amp; ADDRESS(110, 'Additional Documents-WUO_TRK'!A110),_xlfn.TEXTAFTER('Additional Documents-WUO_ERR'!A110, ":"))))</f>
        <v/>
      </c>
    </row>
    <row r="111">
      <c r="A111" s="38">
        <f>IF('Additional Documents'!B111 = "", "", IF('Additional Documents-WUO_ERR'!A111 = "", "Validated", HYPERLINK("#" &amp; ADDRESS(111, 'Additional Documents-WUO_TRK'!A111),_xlfn.TEXTAFTER('Additional Documents-WUO_ERR'!A111, ":"))))</f>
        <v/>
      </c>
    </row>
    <row r="112">
      <c r="A112" s="38">
        <f>IF('Additional Documents'!B112 = "", "", IF('Additional Documents-WUO_ERR'!A112 = "", "Validated", HYPERLINK("#" &amp; ADDRESS(112, 'Additional Documents-WUO_TRK'!A112),_xlfn.TEXTAFTER('Additional Documents-WUO_ERR'!A112, ":"))))</f>
        <v/>
      </c>
    </row>
    <row r="113">
      <c r="A113" s="38">
        <f>IF('Additional Documents'!B113 = "", "", IF('Additional Documents-WUO_ERR'!A113 = "", "Validated", HYPERLINK("#" &amp; ADDRESS(113, 'Additional Documents-WUO_TRK'!A113),_xlfn.TEXTAFTER('Additional Documents-WUO_ERR'!A113, ":"))))</f>
        <v/>
      </c>
    </row>
    <row r="114">
      <c r="A114" s="38">
        <f>IF('Additional Documents'!B114 = "", "", IF('Additional Documents-WUO_ERR'!A114 = "", "Validated", HYPERLINK("#" &amp; ADDRESS(114, 'Additional Documents-WUO_TRK'!A114),_xlfn.TEXTAFTER('Additional Documents-WUO_ERR'!A114, ":"))))</f>
        <v/>
      </c>
    </row>
    <row r="115">
      <c r="A115" s="38">
        <f>IF('Additional Documents'!B115 = "", "", IF('Additional Documents-WUO_ERR'!A115 = "", "Validated", HYPERLINK("#" &amp; ADDRESS(115, 'Additional Documents-WUO_TRK'!A115),_xlfn.TEXTAFTER('Additional Documents-WUO_ERR'!A115, ":"))))</f>
        <v/>
      </c>
    </row>
    <row r="116">
      <c r="A116" s="38">
        <f>IF('Additional Documents'!B116 = "", "", IF('Additional Documents-WUO_ERR'!A116 = "", "Validated", HYPERLINK("#" &amp; ADDRESS(116, 'Additional Documents-WUO_TRK'!A116),_xlfn.TEXTAFTER('Additional Documents-WUO_ERR'!A116, ":"))))</f>
        <v/>
      </c>
    </row>
    <row r="117">
      <c r="A117" s="38">
        <f>IF('Additional Documents'!B117 = "", "", IF('Additional Documents-WUO_ERR'!A117 = "", "Validated", HYPERLINK("#" &amp; ADDRESS(117, 'Additional Documents-WUO_TRK'!A117),_xlfn.TEXTAFTER('Additional Documents-WUO_ERR'!A117, ":"))))</f>
        <v/>
      </c>
    </row>
    <row r="118">
      <c r="A118" s="38">
        <f>IF('Additional Documents'!B118 = "", "", IF('Additional Documents-WUO_ERR'!A118 = "", "Validated", HYPERLINK("#" &amp; ADDRESS(118, 'Additional Documents-WUO_TRK'!A118),_xlfn.TEXTAFTER('Additional Documents-WUO_ERR'!A118, ":"))))</f>
        <v/>
      </c>
    </row>
    <row r="119">
      <c r="A119" s="38">
        <f>IF('Additional Documents'!B119 = "", "", IF('Additional Documents-WUO_ERR'!A119 = "", "Validated", HYPERLINK("#" &amp; ADDRESS(119, 'Additional Documents-WUO_TRK'!A119),_xlfn.TEXTAFTER('Additional Documents-WUO_ERR'!A119, ":"))))</f>
        <v/>
      </c>
    </row>
    <row r="120">
      <c r="A120" s="38">
        <f>IF('Additional Documents'!B120 = "", "", IF('Additional Documents-WUO_ERR'!A120 = "", "Validated", HYPERLINK("#" &amp; ADDRESS(120, 'Additional Documents-WUO_TRK'!A120),_xlfn.TEXTAFTER('Additional Documents-WUO_ERR'!A120, ":"))))</f>
        <v/>
      </c>
    </row>
    <row r="121">
      <c r="A121" s="38">
        <f>IF('Additional Documents'!B121 = "", "", IF('Additional Documents-WUO_ERR'!A121 = "", "Validated", HYPERLINK("#" &amp; ADDRESS(121, 'Additional Documents-WUO_TRK'!A121),_xlfn.TEXTAFTER('Additional Documents-WUO_ERR'!A121, ":"))))</f>
        <v/>
      </c>
    </row>
    <row r="122">
      <c r="A122" s="38">
        <f>IF('Additional Documents'!B122 = "", "", IF('Additional Documents-WUO_ERR'!A122 = "", "Validated", HYPERLINK("#" &amp; ADDRESS(122, 'Additional Documents-WUO_TRK'!A122),_xlfn.TEXTAFTER('Additional Documents-WUO_ERR'!A122, ":"))))</f>
        <v/>
      </c>
    </row>
    <row r="123">
      <c r="A123" s="38">
        <f>IF('Additional Documents'!B123 = "", "", IF('Additional Documents-WUO_ERR'!A123 = "", "Validated", HYPERLINK("#" &amp; ADDRESS(123, 'Additional Documents-WUO_TRK'!A123),_xlfn.TEXTAFTER('Additional Documents-WUO_ERR'!A123, ":"))))</f>
        <v/>
      </c>
    </row>
    <row r="124">
      <c r="A124" s="38">
        <f>IF('Additional Documents'!B124 = "", "", IF('Additional Documents-WUO_ERR'!A124 = "", "Validated", HYPERLINK("#" &amp; ADDRESS(124, 'Additional Documents-WUO_TRK'!A124),_xlfn.TEXTAFTER('Additional Documents-WUO_ERR'!A124, ":"))))</f>
        <v/>
      </c>
    </row>
    <row r="125">
      <c r="A125" s="38">
        <f>IF('Additional Documents'!B125 = "", "", IF('Additional Documents-WUO_ERR'!A125 = "", "Validated", HYPERLINK("#" &amp; ADDRESS(125, 'Additional Documents-WUO_TRK'!A125),_xlfn.TEXTAFTER('Additional Documents-WUO_ERR'!A125, ":"))))</f>
        <v/>
      </c>
    </row>
    <row r="126">
      <c r="A126" s="38">
        <f>IF('Additional Documents'!B126 = "", "", IF('Additional Documents-WUO_ERR'!A126 = "", "Validated", HYPERLINK("#" &amp; ADDRESS(126, 'Additional Documents-WUO_TRK'!A126),_xlfn.TEXTAFTER('Additional Documents-WUO_ERR'!A126, ":"))))</f>
        <v/>
      </c>
    </row>
    <row r="127">
      <c r="A127" s="38">
        <f>IF('Additional Documents'!B127 = "", "", IF('Additional Documents-WUO_ERR'!A127 = "", "Validated", HYPERLINK("#" &amp; ADDRESS(127, 'Additional Documents-WUO_TRK'!A127),_xlfn.TEXTAFTER('Additional Documents-WUO_ERR'!A127, ":"))))</f>
        <v/>
      </c>
    </row>
    <row r="128">
      <c r="A128" s="38">
        <f>IF('Additional Documents'!B128 = "", "", IF('Additional Documents-WUO_ERR'!A128 = "", "Validated", HYPERLINK("#" &amp; ADDRESS(128, 'Additional Documents-WUO_TRK'!A128),_xlfn.TEXTAFTER('Additional Documents-WUO_ERR'!A128, ":"))))</f>
        <v/>
      </c>
    </row>
    <row r="129">
      <c r="A129" s="38">
        <f>IF('Additional Documents'!B129 = "", "", IF('Additional Documents-WUO_ERR'!A129 = "", "Validated", HYPERLINK("#" &amp; ADDRESS(129, 'Additional Documents-WUO_TRK'!A129),_xlfn.TEXTAFTER('Additional Documents-WUO_ERR'!A129, ":"))))</f>
        <v/>
      </c>
    </row>
    <row r="130">
      <c r="A130" s="38">
        <f>IF('Additional Documents'!B130 = "", "", IF('Additional Documents-WUO_ERR'!A130 = "", "Validated", HYPERLINK("#" &amp; ADDRESS(130, 'Additional Documents-WUO_TRK'!A130),_xlfn.TEXTAFTER('Additional Documents-WUO_ERR'!A130, ":"))))</f>
        <v/>
      </c>
    </row>
    <row r="131">
      <c r="A131" s="38">
        <f>IF('Additional Documents'!B131 = "", "", IF('Additional Documents-WUO_ERR'!A131 = "", "Validated", HYPERLINK("#" &amp; ADDRESS(131, 'Additional Documents-WUO_TRK'!A131),_xlfn.TEXTAFTER('Additional Documents-WUO_ERR'!A131, ":"))))</f>
        <v/>
      </c>
    </row>
    <row r="132">
      <c r="A132" s="38">
        <f>IF('Additional Documents'!B132 = "", "", IF('Additional Documents-WUO_ERR'!A132 = "", "Validated", HYPERLINK("#" &amp; ADDRESS(132, 'Additional Documents-WUO_TRK'!A132),_xlfn.TEXTAFTER('Additional Documents-WUO_ERR'!A132, ":"))))</f>
        <v/>
      </c>
    </row>
    <row r="133">
      <c r="A133" s="38">
        <f>IF('Additional Documents'!B133 = "", "", IF('Additional Documents-WUO_ERR'!A133 = "", "Validated", HYPERLINK("#" &amp; ADDRESS(133, 'Additional Documents-WUO_TRK'!A133),_xlfn.TEXTAFTER('Additional Documents-WUO_ERR'!A133, ":"))))</f>
        <v/>
      </c>
    </row>
    <row r="134">
      <c r="A134" s="38">
        <f>IF('Additional Documents'!B134 = "", "", IF('Additional Documents-WUO_ERR'!A134 = "", "Validated", HYPERLINK("#" &amp; ADDRESS(134, 'Additional Documents-WUO_TRK'!A134),_xlfn.TEXTAFTER('Additional Documents-WUO_ERR'!A134, ":"))))</f>
        <v/>
      </c>
    </row>
    <row r="135">
      <c r="A135" s="38">
        <f>IF('Additional Documents'!B135 = "", "", IF('Additional Documents-WUO_ERR'!A135 = "", "Validated", HYPERLINK("#" &amp; ADDRESS(135, 'Additional Documents-WUO_TRK'!A135),_xlfn.TEXTAFTER('Additional Documents-WUO_ERR'!A135, ":"))))</f>
        <v/>
      </c>
    </row>
    <row r="136">
      <c r="A136" s="38">
        <f>IF('Additional Documents'!B136 = "", "", IF('Additional Documents-WUO_ERR'!A136 = "", "Validated", HYPERLINK("#" &amp; ADDRESS(136, 'Additional Documents-WUO_TRK'!A136),_xlfn.TEXTAFTER('Additional Documents-WUO_ERR'!A136, ":"))))</f>
        <v/>
      </c>
    </row>
    <row r="137">
      <c r="A137" s="38">
        <f>IF('Additional Documents'!B137 = "", "", IF('Additional Documents-WUO_ERR'!A137 = "", "Validated", HYPERLINK("#" &amp; ADDRESS(137, 'Additional Documents-WUO_TRK'!A137),_xlfn.TEXTAFTER('Additional Documents-WUO_ERR'!A137, ":"))))</f>
        <v/>
      </c>
    </row>
    <row r="138">
      <c r="A138" s="38">
        <f>IF('Additional Documents'!B138 = "", "", IF('Additional Documents-WUO_ERR'!A138 = "", "Validated", HYPERLINK("#" &amp; ADDRESS(138, 'Additional Documents-WUO_TRK'!A138),_xlfn.TEXTAFTER('Additional Documents-WUO_ERR'!A138, ":"))))</f>
        <v/>
      </c>
    </row>
    <row r="139">
      <c r="A139" s="38">
        <f>IF('Additional Documents'!B139 = "", "", IF('Additional Documents-WUO_ERR'!A139 = "", "Validated", HYPERLINK("#" &amp; ADDRESS(139, 'Additional Documents-WUO_TRK'!A139),_xlfn.TEXTAFTER('Additional Documents-WUO_ERR'!A139, ":"))))</f>
        <v/>
      </c>
    </row>
    <row r="140">
      <c r="A140" s="38">
        <f>IF('Additional Documents'!B140 = "", "", IF('Additional Documents-WUO_ERR'!A140 = "", "Validated", HYPERLINK("#" &amp; ADDRESS(140, 'Additional Documents-WUO_TRK'!A140),_xlfn.TEXTAFTER('Additional Documents-WUO_ERR'!A140, ":"))))</f>
        <v/>
      </c>
    </row>
    <row r="141">
      <c r="A141" s="38">
        <f>IF('Additional Documents'!B141 = "", "", IF('Additional Documents-WUO_ERR'!A141 = "", "Validated", HYPERLINK("#" &amp; ADDRESS(141, 'Additional Documents-WUO_TRK'!A141),_xlfn.TEXTAFTER('Additional Documents-WUO_ERR'!A141, ":"))))</f>
        <v/>
      </c>
    </row>
    <row r="142">
      <c r="A142" s="38">
        <f>IF('Additional Documents'!B142 = "", "", IF('Additional Documents-WUO_ERR'!A142 = "", "Validated", HYPERLINK("#" &amp; ADDRESS(142, 'Additional Documents-WUO_TRK'!A142),_xlfn.TEXTAFTER('Additional Documents-WUO_ERR'!A142, ":"))))</f>
        <v/>
      </c>
    </row>
    <row r="143">
      <c r="A143" s="38">
        <f>IF('Additional Documents'!B143 = "", "", IF('Additional Documents-WUO_ERR'!A143 = "", "Validated", HYPERLINK("#" &amp; ADDRESS(143, 'Additional Documents-WUO_TRK'!A143),_xlfn.TEXTAFTER('Additional Documents-WUO_ERR'!A143, ":"))))</f>
        <v/>
      </c>
    </row>
    <row r="144">
      <c r="A144" s="38">
        <f>IF('Additional Documents'!B144 = "", "", IF('Additional Documents-WUO_ERR'!A144 = "", "Validated", HYPERLINK("#" &amp; ADDRESS(144, 'Additional Documents-WUO_TRK'!A144),_xlfn.TEXTAFTER('Additional Documents-WUO_ERR'!A144, ":"))))</f>
        <v/>
      </c>
    </row>
    <row r="145">
      <c r="A145" s="38">
        <f>IF('Additional Documents'!B145 = "", "", IF('Additional Documents-WUO_ERR'!A145 = "", "Validated", HYPERLINK("#" &amp; ADDRESS(145, 'Additional Documents-WUO_TRK'!A145),_xlfn.TEXTAFTER('Additional Documents-WUO_ERR'!A145, ":"))))</f>
        <v/>
      </c>
    </row>
    <row r="146">
      <c r="A146" s="38">
        <f>IF('Additional Documents'!B146 = "", "", IF('Additional Documents-WUO_ERR'!A146 = "", "Validated", HYPERLINK("#" &amp; ADDRESS(146, 'Additional Documents-WUO_TRK'!A146),_xlfn.TEXTAFTER('Additional Documents-WUO_ERR'!A146, ":"))))</f>
        <v/>
      </c>
    </row>
    <row r="147">
      <c r="A147" s="38">
        <f>IF('Additional Documents'!B147 = "", "", IF('Additional Documents-WUO_ERR'!A147 = "", "Validated", HYPERLINK("#" &amp; ADDRESS(147, 'Additional Documents-WUO_TRK'!A147),_xlfn.TEXTAFTER('Additional Documents-WUO_ERR'!A147, ":"))))</f>
        <v/>
      </c>
    </row>
    <row r="148">
      <c r="A148" s="38">
        <f>IF('Additional Documents'!B148 = "", "", IF('Additional Documents-WUO_ERR'!A148 = "", "Validated", HYPERLINK("#" &amp; ADDRESS(148, 'Additional Documents-WUO_TRK'!A148),_xlfn.TEXTAFTER('Additional Documents-WUO_ERR'!A148, ":"))))</f>
        <v/>
      </c>
    </row>
    <row r="149">
      <c r="A149" s="38">
        <f>IF('Additional Documents'!B149 = "", "", IF('Additional Documents-WUO_ERR'!A149 = "", "Validated", HYPERLINK("#" &amp; ADDRESS(149, 'Additional Documents-WUO_TRK'!A149),_xlfn.TEXTAFTER('Additional Documents-WUO_ERR'!A149, ":"))))</f>
        <v/>
      </c>
    </row>
    <row r="150">
      <c r="A150" s="38">
        <f>IF('Additional Documents'!B150 = "", "", IF('Additional Documents-WUO_ERR'!A150 = "", "Validated", HYPERLINK("#" &amp; ADDRESS(150, 'Additional Documents-WUO_TRK'!A150),_xlfn.TEXTAFTER('Additional Documents-WUO_ERR'!A150, ":"))))</f>
        <v/>
      </c>
    </row>
    <row r="151">
      <c r="A151" s="38">
        <f>IF('Additional Documents'!B151 = "", "", IF('Additional Documents-WUO_ERR'!A151 = "", "Validated", HYPERLINK("#" &amp; ADDRESS(151, 'Additional Documents-WUO_TRK'!A151),_xlfn.TEXTAFTER('Additional Documents-WUO_ERR'!A151, ":"))))</f>
        <v/>
      </c>
    </row>
    <row r="152">
      <c r="A152" s="38">
        <f>IF('Additional Documents'!B152 = "", "", IF('Additional Documents-WUO_ERR'!A152 = "", "Validated", HYPERLINK("#" &amp; ADDRESS(152, 'Additional Documents-WUO_TRK'!A152),_xlfn.TEXTAFTER('Additional Documents-WUO_ERR'!A152, ":"))))</f>
        <v/>
      </c>
    </row>
    <row r="153">
      <c r="A153" s="38">
        <f>IF('Additional Documents'!B153 = "", "", IF('Additional Documents-WUO_ERR'!A153 = "", "Validated", HYPERLINK("#" &amp; ADDRESS(153, 'Additional Documents-WUO_TRK'!A153),_xlfn.TEXTAFTER('Additional Documents-WUO_ERR'!A153, ":"))))</f>
        <v/>
      </c>
    </row>
    <row r="154">
      <c r="A154" s="38">
        <f>IF('Additional Documents'!B154 = "", "", IF('Additional Documents-WUO_ERR'!A154 = "", "Validated", HYPERLINK("#" &amp; ADDRESS(154, 'Additional Documents-WUO_TRK'!A154),_xlfn.TEXTAFTER('Additional Documents-WUO_ERR'!A154, ":"))))</f>
        <v/>
      </c>
    </row>
    <row r="155">
      <c r="A155" s="38">
        <f>IF('Additional Documents'!B155 = "", "", IF('Additional Documents-WUO_ERR'!A155 = "", "Validated", HYPERLINK("#" &amp; ADDRESS(155, 'Additional Documents-WUO_TRK'!A155),_xlfn.TEXTAFTER('Additional Documents-WUO_ERR'!A155, ":"))))</f>
        <v/>
      </c>
    </row>
    <row r="156">
      <c r="A156" s="38">
        <f>IF('Additional Documents'!B156 = "", "", IF('Additional Documents-WUO_ERR'!A156 = "", "Validated", HYPERLINK("#" &amp; ADDRESS(156, 'Additional Documents-WUO_TRK'!A156),_xlfn.TEXTAFTER('Additional Documents-WUO_ERR'!A156, ":"))))</f>
        <v/>
      </c>
    </row>
    <row r="157">
      <c r="A157" s="38">
        <f>IF('Additional Documents'!B157 = "", "", IF('Additional Documents-WUO_ERR'!A157 = "", "Validated", HYPERLINK("#" &amp; ADDRESS(157, 'Additional Documents-WUO_TRK'!A157),_xlfn.TEXTAFTER('Additional Documents-WUO_ERR'!A157, ":"))))</f>
        <v/>
      </c>
    </row>
    <row r="158">
      <c r="A158" s="38">
        <f>IF('Additional Documents'!B158 = "", "", IF('Additional Documents-WUO_ERR'!A158 = "", "Validated", HYPERLINK("#" &amp; ADDRESS(158, 'Additional Documents-WUO_TRK'!A158),_xlfn.TEXTAFTER('Additional Documents-WUO_ERR'!A158, ":"))))</f>
        <v/>
      </c>
    </row>
    <row r="159">
      <c r="A159" s="38">
        <f>IF('Additional Documents'!B159 = "", "", IF('Additional Documents-WUO_ERR'!A159 = "", "Validated", HYPERLINK("#" &amp; ADDRESS(159, 'Additional Documents-WUO_TRK'!A159),_xlfn.TEXTAFTER('Additional Documents-WUO_ERR'!A159, ":"))))</f>
        <v/>
      </c>
    </row>
    <row r="160">
      <c r="A160" s="38">
        <f>IF('Additional Documents'!B160 = "", "", IF('Additional Documents-WUO_ERR'!A160 = "", "Validated", HYPERLINK("#" &amp; ADDRESS(160, 'Additional Documents-WUO_TRK'!A160),_xlfn.TEXTAFTER('Additional Documents-WUO_ERR'!A160, ":"))))</f>
        <v/>
      </c>
    </row>
    <row r="161">
      <c r="A161" s="38">
        <f>IF('Additional Documents'!B161 = "", "", IF('Additional Documents-WUO_ERR'!A161 = "", "Validated", HYPERLINK("#" &amp; ADDRESS(161, 'Additional Documents-WUO_TRK'!A161),_xlfn.TEXTAFTER('Additional Documents-WUO_ERR'!A161, ":"))))</f>
        <v/>
      </c>
    </row>
    <row r="162">
      <c r="A162" s="38">
        <f>IF('Additional Documents'!B162 = "", "", IF('Additional Documents-WUO_ERR'!A162 = "", "Validated", HYPERLINK("#" &amp; ADDRESS(162, 'Additional Documents-WUO_TRK'!A162),_xlfn.TEXTAFTER('Additional Documents-WUO_ERR'!A162, ":"))))</f>
        <v/>
      </c>
    </row>
    <row r="163">
      <c r="A163" s="38">
        <f>IF('Additional Documents'!B163 = "", "", IF('Additional Documents-WUO_ERR'!A163 = "", "Validated", HYPERLINK("#" &amp; ADDRESS(163, 'Additional Documents-WUO_TRK'!A163),_xlfn.TEXTAFTER('Additional Documents-WUO_ERR'!A163, ":"))))</f>
        <v/>
      </c>
    </row>
    <row r="164">
      <c r="A164" s="38">
        <f>IF('Additional Documents'!B164 = "", "", IF('Additional Documents-WUO_ERR'!A164 = "", "Validated", HYPERLINK("#" &amp; ADDRESS(164, 'Additional Documents-WUO_TRK'!A164),_xlfn.TEXTAFTER('Additional Documents-WUO_ERR'!A164, ":"))))</f>
        <v/>
      </c>
    </row>
    <row r="165">
      <c r="A165" s="38">
        <f>IF('Additional Documents'!B165 = "", "", IF('Additional Documents-WUO_ERR'!A165 = "", "Validated", HYPERLINK("#" &amp; ADDRESS(165, 'Additional Documents-WUO_TRK'!A165),_xlfn.TEXTAFTER('Additional Documents-WUO_ERR'!A165, ":"))))</f>
        <v/>
      </c>
    </row>
    <row r="166">
      <c r="A166" s="38">
        <f>IF('Additional Documents'!B166 = "", "", IF('Additional Documents-WUO_ERR'!A166 = "", "Validated", HYPERLINK("#" &amp; ADDRESS(166, 'Additional Documents-WUO_TRK'!A166),_xlfn.TEXTAFTER('Additional Documents-WUO_ERR'!A166, ":"))))</f>
        <v/>
      </c>
    </row>
    <row r="167">
      <c r="A167" s="38">
        <f>IF('Additional Documents'!B167 = "", "", IF('Additional Documents-WUO_ERR'!A167 = "", "Validated", HYPERLINK("#" &amp; ADDRESS(167, 'Additional Documents-WUO_TRK'!A167),_xlfn.TEXTAFTER('Additional Documents-WUO_ERR'!A167, ":"))))</f>
        <v/>
      </c>
    </row>
    <row r="168">
      <c r="A168" s="38">
        <f>IF('Additional Documents'!B168 = "", "", IF('Additional Documents-WUO_ERR'!A168 = "", "Validated", HYPERLINK("#" &amp; ADDRESS(168, 'Additional Documents-WUO_TRK'!A168),_xlfn.TEXTAFTER('Additional Documents-WUO_ERR'!A168, ":"))))</f>
        <v/>
      </c>
    </row>
    <row r="169">
      <c r="A169" s="38">
        <f>IF('Additional Documents'!B169 = "", "", IF('Additional Documents-WUO_ERR'!A169 = "", "Validated", HYPERLINK("#" &amp; ADDRESS(169, 'Additional Documents-WUO_TRK'!A169),_xlfn.TEXTAFTER('Additional Documents-WUO_ERR'!A169, ":"))))</f>
        <v/>
      </c>
    </row>
    <row r="170">
      <c r="A170" s="38">
        <f>IF('Additional Documents'!B170 = "", "", IF('Additional Documents-WUO_ERR'!A170 = "", "Validated", HYPERLINK("#" &amp; ADDRESS(170, 'Additional Documents-WUO_TRK'!A170),_xlfn.TEXTAFTER('Additional Documents-WUO_ERR'!A170, ":"))))</f>
        <v/>
      </c>
    </row>
    <row r="171">
      <c r="A171" s="38">
        <f>IF('Additional Documents'!B171 = "", "", IF('Additional Documents-WUO_ERR'!A171 = "", "Validated", HYPERLINK("#" &amp; ADDRESS(171, 'Additional Documents-WUO_TRK'!A171),_xlfn.TEXTAFTER('Additional Documents-WUO_ERR'!A171, ":"))))</f>
        <v/>
      </c>
    </row>
    <row r="172">
      <c r="A172" s="38">
        <f>IF('Additional Documents'!B172 = "", "", IF('Additional Documents-WUO_ERR'!A172 = "", "Validated", HYPERLINK("#" &amp; ADDRESS(172, 'Additional Documents-WUO_TRK'!A172),_xlfn.TEXTAFTER('Additional Documents-WUO_ERR'!A172, ":"))))</f>
        <v/>
      </c>
    </row>
    <row r="173">
      <c r="A173" s="38">
        <f>IF('Additional Documents'!B173 = "", "", IF('Additional Documents-WUO_ERR'!A173 = "", "Validated", HYPERLINK("#" &amp; ADDRESS(173, 'Additional Documents-WUO_TRK'!A173),_xlfn.TEXTAFTER('Additional Documents-WUO_ERR'!A173, ":"))))</f>
        <v/>
      </c>
    </row>
    <row r="174">
      <c r="A174" s="38">
        <f>IF('Additional Documents'!B174 = "", "", IF('Additional Documents-WUO_ERR'!A174 = "", "Validated", HYPERLINK("#" &amp; ADDRESS(174, 'Additional Documents-WUO_TRK'!A174),_xlfn.TEXTAFTER('Additional Documents-WUO_ERR'!A174, ":"))))</f>
        <v/>
      </c>
    </row>
    <row r="175">
      <c r="A175" s="38">
        <f>IF('Additional Documents'!B175 = "", "", IF('Additional Documents-WUO_ERR'!A175 = "", "Validated", HYPERLINK("#" &amp; ADDRESS(175, 'Additional Documents-WUO_TRK'!A175),_xlfn.TEXTAFTER('Additional Documents-WUO_ERR'!A175, ":"))))</f>
        <v/>
      </c>
    </row>
    <row r="176">
      <c r="A176" s="38">
        <f>IF('Additional Documents'!B176 = "", "", IF('Additional Documents-WUO_ERR'!A176 = "", "Validated", HYPERLINK("#" &amp; ADDRESS(176, 'Additional Documents-WUO_TRK'!A176),_xlfn.TEXTAFTER('Additional Documents-WUO_ERR'!A176, ":"))))</f>
        <v/>
      </c>
    </row>
    <row r="177">
      <c r="A177" s="38">
        <f>IF('Additional Documents'!B177 = "", "", IF('Additional Documents-WUO_ERR'!A177 = "", "Validated", HYPERLINK("#" &amp; ADDRESS(177, 'Additional Documents-WUO_TRK'!A177),_xlfn.TEXTAFTER('Additional Documents-WUO_ERR'!A177, ":"))))</f>
        <v/>
      </c>
    </row>
    <row r="178">
      <c r="A178" s="38">
        <f>IF('Additional Documents'!B178 = "", "", IF('Additional Documents-WUO_ERR'!A178 = "", "Validated", HYPERLINK("#" &amp; ADDRESS(178, 'Additional Documents-WUO_TRK'!A178),_xlfn.TEXTAFTER('Additional Documents-WUO_ERR'!A178, ":"))))</f>
        <v/>
      </c>
    </row>
    <row r="179">
      <c r="A179" s="38">
        <f>IF('Additional Documents'!B179 = "", "", IF('Additional Documents-WUO_ERR'!A179 = "", "Validated", HYPERLINK("#" &amp; ADDRESS(179, 'Additional Documents-WUO_TRK'!A179),_xlfn.TEXTAFTER('Additional Documents-WUO_ERR'!A179, ":"))))</f>
        <v/>
      </c>
    </row>
    <row r="180">
      <c r="A180" s="38">
        <f>IF('Additional Documents'!B180 = "", "", IF('Additional Documents-WUO_ERR'!A180 = "", "Validated", HYPERLINK("#" &amp; ADDRESS(180, 'Additional Documents-WUO_TRK'!A180),_xlfn.TEXTAFTER('Additional Documents-WUO_ERR'!A180, ":"))))</f>
        <v/>
      </c>
    </row>
    <row r="181">
      <c r="A181" s="38">
        <f>IF('Additional Documents'!B181 = "", "", IF('Additional Documents-WUO_ERR'!A181 = "", "Validated", HYPERLINK("#" &amp; ADDRESS(181, 'Additional Documents-WUO_TRK'!A181),_xlfn.TEXTAFTER('Additional Documents-WUO_ERR'!A181, ":"))))</f>
        <v/>
      </c>
    </row>
    <row r="182">
      <c r="A182" s="38">
        <f>IF('Additional Documents'!B182 = "", "", IF('Additional Documents-WUO_ERR'!A182 = "", "Validated", HYPERLINK("#" &amp; ADDRESS(182, 'Additional Documents-WUO_TRK'!A182),_xlfn.TEXTAFTER('Additional Documents-WUO_ERR'!A182, ":"))))</f>
        <v/>
      </c>
    </row>
    <row r="183">
      <c r="A183" s="38">
        <f>IF('Additional Documents'!B183 = "", "", IF('Additional Documents-WUO_ERR'!A183 = "", "Validated", HYPERLINK("#" &amp; ADDRESS(183, 'Additional Documents-WUO_TRK'!A183),_xlfn.TEXTAFTER('Additional Documents-WUO_ERR'!A183, ":"))))</f>
        <v/>
      </c>
    </row>
    <row r="184">
      <c r="A184" s="38">
        <f>IF('Additional Documents'!B184 = "", "", IF('Additional Documents-WUO_ERR'!A184 = "", "Validated", HYPERLINK("#" &amp; ADDRESS(184, 'Additional Documents-WUO_TRK'!A184),_xlfn.TEXTAFTER('Additional Documents-WUO_ERR'!A184, ":"))))</f>
        <v/>
      </c>
    </row>
    <row r="185">
      <c r="A185" s="38">
        <f>IF('Additional Documents'!B185 = "", "", IF('Additional Documents-WUO_ERR'!A185 = "", "Validated", HYPERLINK("#" &amp; ADDRESS(185, 'Additional Documents-WUO_TRK'!A185),_xlfn.TEXTAFTER('Additional Documents-WUO_ERR'!A185, ":"))))</f>
        <v/>
      </c>
    </row>
    <row r="186">
      <c r="A186" s="38">
        <f>IF('Additional Documents'!B186 = "", "", IF('Additional Documents-WUO_ERR'!A186 = "", "Validated", HYPERLINK("#" &amp; ADDRESS(186, 'Additional Documents-WUO_TRK'!A186),_xlfn.TEXTAFTER('Additional Documents-WUO_ERR'!A186, ":"))))</f>
        <v/>
      </c>
    </row>
    <row r="187">
      <c r="A187" s="38">
        <f>IF('Additional Documents'!B187 = "", "", IF('Additional Documents-WUO_ERR'!A187 = "", "Validated", HYPERLINK("#" &amp; ADDRESS(187, 'Additional Documents-WUO_TRK'!A187),_xlfn.TEXTAFTER('Additional Documents-WUO_ERR'!A187, ":"))))</f>
        <v/>
      </c>
    </row>
    <row r="188">
      <c r="A188" s="38">
        <f>IF('Additional Documents'!B188 = "", "", IF('Additional Documents-WUO_ERR'!A188 = "", "Validated", HYPERLINK("#" &amp; ADDRESS(188, 'Additional Documents-WUO_TRK'!A188),_xlfn.TEXTAFTER('Additional Documents-WUO_ERR'!A188, ":"))))</f>
        <v/>
      </c>
    </row>
    <row r="189">
      <c r="A189" s="38">
        <f>IF('Additional Documents'!B189 = "", "", IF('Additional Documents-WUO_ERR'!A189 = "", "Validated", HYPERLINK("#" &amp; ADDRESS(189, 'Additional Documents-WUO_TRK'!A189),_xlfn.TEXTAFTER('Additional Documents-WUO_ERR'!A189, ":"))))</f>
        <v/>
      </c>
    </row>
    <row r="190">
      <c r="A190" s="38">
        <f>IF('Additional Documents'!B190 = "", "", IF('Additional Documents-WUO_ERR'!A190 = "", "Validated", HYPERLINK("#" &amp; ADDRESS(190, 'Additional Documents-WUO_TRK'!A190),_xlfn.TEXTAFTER('Additional Documents-WUO_ERR'!A190, ":"))))</f>
        <v/>
      </c>
    </row>
    <row r="191">
      <c r="A191" s="38">
        <f>IF('Additional Documents'!B191 = "", "", IF('Additional Documents-WUO_ERR'!A191 = "", "Validated", HYPERLINK("#" &amp; ADDRESS(191, 'Additional Documents-WUO_TRK'!A191),_xlfn.TEXTAFTER('Additional Documents-WUO_ERR'!A191, ":"))))</f>
        <v/>
      </c>
    </row>
    <row r="192">
      <c r="A192" s="38">
        <f>IF('Additional Documents'!B192 = "", "", IF('Additional Documents-WUO_ERR'!A192 = "", "Validated", HYPERLINK("#" &amp; ADDRESS(192, 'Additional Documents-WUO_TRK'!A192),_xlfn.TEXTAFTER('Additional Documents-WUO_ERR'!A192, ":"))))</f>
        <v/>
      </c>
    </row>
    <row r="193">
      <c r="A193" s="38">
        <f>IF('Additional Documents'!B193 = "", "", IF('Additional Documents-WUO_ERR'!A193 = "", "Validated", HYPERLINK("#" &amp; ADDRESS(193, 'Additional Documents-WUO_TRK'!A193),_xlfn.TEXTAFTER('Additional Documents-WUO_ERR'!A193, ":"))))</f>
        <v/>
      </c>
    </row>
    <row r="194">
      <c r="A194" s="38">
        <f>IF('Additional Documents'!B194 = "", "", IF('Additional Documents-WUO_ERR'!A194 = "", "Validated", HYPERLINK("#" &amp; ADDRESS(194, 'Additional Documents-WUO_TRK'!A194),_xlfn.TEXTAFTER('Additional Documents-WUO_ERR'!A194, ":"))))</f>
        <v/>
      </c>
    </row>
    <row r="195">
      <c r="A195" s="38">
        <f>IF('Additional Documents'!B195 = "", "", IF('Additional Documents-WUO_ERR'!A195 = "", "Validated", HYPERLINK("#" &amp; ADDRESS(195, 'Additional Documents-WUO_TRK'!A195),_xlfn.TEXTAFTER('Additional Documents-WUO_ERR'!A195, ":"))))</f>
        <v/>
      </c>
    </row>
    <row r="196">
      <c r="A196" s="38">
        <f>IF('Additional Documents'!B196 = "", "", IF('Additional Documents-WUO_ERR'!A196 = "", "Validated", HYPERLINK("#" &amp; ADDRESS(196, 'Additional Documents-WUO_TRK'!A196),_xlfn.TEXTAFTER('Additional Documents-WUO_ERR'!A196, ":"))))</f>
        <v/>
      </c>
    </row>
    <row r="197">
      <c r="A197" s="38">
        <f>IF('Additional Documents'!B197 = "", "", IF('Additional Documents-WUO_ERR'!A197 = "", "Validated", HYPERLINK("#" &amp; ADDRESS(197, 'Additional Documents-WUO_TRK'!A197),_xlfn.TEXTAFTER('Additional Documents-WUO_ERR'!A197, ":"))))</f>
        <v/>
      </c>
    </row>
    <row r="198">
      <c r="A198" s="38">
        <f>IF('Additional Documents'!B198 = "", "", IF('Additional Documents-WUO_ERR'!A198 = "", "Validated", HYPERLINK("#" &amp; ADDRESS(198, 'Additional Documents-WUO_TRK'!A198),_xlfn.TEXTAFTER('Additional Documents-WUO_ERR'!A198, ":"))))</f>
        <v/>
      </c>
    </row>
    <row r="199">
      <c r="A199" s="38">
        <f>IF('Additional Documents'!B199 = "", "", IF('Additional Documents-WUO_ERR'!A199 = "", "Validated", HYPERLINK("#" &amp; ADDRESS(199, 'Additional Documents-WUO_TRK'!A199),_xlfn.TEXTAFTER('Additional Documents-WUO_ERR'!A199, ":"))))</f>
        <v/>
      </c>
    </row>
    <row r="200">
      <c r="A200" s="38">
        <f>IF('Additional Documents'!B200 = "", "", IF('Additional Documents-WUO_ERR'!A200 = "", "Validated", HYPERLINK("#" &amp; ADDRESS(200, 'Additional Documents-WUO_TRK'!A200),_xlfn.TEXTAFTER('Additional Documents-WUO_ERR'!A200, ":"))))</f>
        <v/>
      </c>
    </row>
    <row r="201">
      <c r="A201" s="38">
        <f>IF('Additional Documents'!B201 = "", "", IF('Additional Documents-WUO_ERR'!A201 = "", "Validated", HYPERLINK("#" &amp; ADDRESS(201, 'Additional Documents-WUO_TRK'!A201),_xlfn.TEXTAFTER('Additional Documents-WUO_ERR'!A201, ":"))))</f>
        <v/>
      </c>
    </row>
    <row r="202">
      <c r="A202" s="38">
        <f>IF('Additional Documents'!B202 = "", "", IF('Additional Documents-WUO_ERR'!A202 = "", "Validated", HYPERLINK("#" &amp; ADDRESS(202, 'Additional Documents-WUO_TRK'!A202),_xlfn.TEXTAFTER('Additional Documents-WUO_ERR'!A202, ":"))))</f>
        <v/>
      </c>
    </row>
    <row r="203">
      <c r="A203" s="38">
        <f>IF('Additional Documents'!B203 = "", "", IF('Additional Documents-WUO_ERR'!A203 = "", "Validated", HYPERLINK("#" &amp; ADDRESS(203, 'Additional Documents-WUO_TRK'!A203),_xlfn.TEXTAFTER('Additional Documents-WUO_ERR'!A203, ":"))))</f>
        <v/>
      </c>
    </row>
    <row r="204">
      <c r="A204" s="38">
        <f>IF('Additional Documents'!B204 = "", "", IF('Additional Documents-WUO_ERR'!A204 = "", "Validated", HYPERLINK("#" &amp; ADDRESS(204, 'Additional Documents-WUO_TRK'!A204),_xlfn.TEXTAFTER('Additional Documents-WUO_ERR'!A204, ":"))))</f>
        <v/>
      </c>
    </row>
    <row r="205">
      <c r="A205" s="38">
        <f>IF('Additional Documents'!B205 = "", "", IF('Additional Documents-WUO_ERR'!A205 = "", "Validated", HYPERLINK("#" &amp; ADDRESS(205, 'Additional Documents-WUO_TRK'!A205),_xlfn.TEXTAFTER('Additional Documents-WUO_ERR'!A205, ":"))))</f>
        <v/>
      </c>
    </row>
    <row r="206">
      <c r="A206" s="38">
        <f>IF('Additional Documents'!B206 = "", "", IF('Additional Documents-WUO_ERR'!A206 = "", "Validated", HYPERLINK("#" &amp; ADDRESS(206, 'Additional Documents-WUO_TRK'!A206),_xlfn.TEXTAFTER('Additional Documents-WUO_ERR'!A206, ":"))))</f>
        <v/>
      </c>
    </row>
    <row r="207">
      <c r="A207" s="38">
        <f>IF('Additional Documents'!B207 = "", "", IF('Additional Documents-WUO_ERR'!A207 = "", "Validated", HYPERLINK("#" &amp; ADDRESS(207, 'Additional Documents-WUO_TRK'!A207),_xlfn.TEXTAFTER('Additional Documents-WUO_ERR'!A207, ":"))))</f>
        <v/>
      </c>
    </row>
    <row r="208">
      <c r="A208" s="38">
        <f>IF('Additional Documents'!B208 = "", "", IF('Additional Documents-WUO_ERR'!A208 = "", "Validated", HYPERLINK("#" &amp; ADDRESS(208, 'Additional Documents-WUO_TRK'!A208),_xlfn.TEXTAFTER('Additional Documents-WUO_ERR'!A208, ":"))))</f>
        <v/>
      </c>
    </row>
    <row r="209">
      <c r="A209" s="38">
        <f>IF('Additional Documents'!B209 = "", "", IF('Additional Documents-WUO_ERR'!A209 = "", "Validated", HYPERLINK("#" &amp; ADDRESS(209, 'Additional Documents-WUO_TRK'!A209),_xlfn.TEXTAFTER('Additional Documents-WUO_ERR'!A209, ":"))))</f>
        <v/>
      </c>
    </row>
    <row r="210">
      <c r="A210" s="38">
        <f>IF('Additional Documents'!B210 = "", "", IF('Additional Documents-WUO_ERR'!A210 = "", "Validated", HYPERLINK("#" &amp; ADDRESS(210, 'Additional Documents-WUO_TRK'!A210),_xlfn.TEXTAFTER('Additional Documents-WUO_ERR'!A210, ":"))))</f>
        <v/>
      </c>
    </row>
    <row r="211">
      <c r="A211" s="38">
        <f>IF('Additional Documents'!B211 = "", "", IF('Additional Documents-WUO_ERR'!A211 = "", "Validated", HYPERLINK("#" &amp; ADDRESS(211, 'Additional Documents-WUO_TRK'!A211),_xlfn.TEXTAFTER('Additional Documents-WUO_ERR'!A211, ":"))))</f>
        <v/>
      </c>
    </row>
    <row r="212">
      <c r="A212" s="38">
        <f>IF('Additional Documents'!B212 = "", "", IF('Additional Documents-WUO_ERR'!A212 = "", "Validated", HYPERLINK("#" &amp; ADDRESS(212, 'Additional Documents-WUO_TRK'!A212),_xlfn.TEXTAFTER('Additional Documents-WUO_ERR'!A212, ":"))))</f>
        <v/>
      </c>
    </row>
    <row r="213">
      <c r="A213" s="38">
        <f>IF('Additional Documents'!B213 = "", "", IF('Additional Documents-WUO_ERR'!A213 = "", "Validated", HYPERLINK("#" &amp; ADDRESS(213, 'Additional Documents-WUO_TRK'!A213),_xlfn.TEXTAFTER('Additional Documents-WUO_ERR'!A213, ":"))))</f>
        <v/>
      </c>
    </row>
    <row r="214">
      <c r="A214" s="38">
        <f>IF('Additional Documents'!B214 = "", "", IF('Additional Documents-WUO_ERR'!A214 = "", "Validated", HYPERLINK("#" &amp; ADDRESS(214, 'Additional Documents-WUO_TRK'!A214),_xlfn.TEXTAFTER('Additional Documents-WUO_ERR'!A214, ":"))))</f>
        <v/>
      </c>
    </row>
    <row r="215">
      <c r="A215" s="38">
        <f>IF('Additional Documents'!B215 = "", "", IF('Additional Documents-WUO_ERR'!A215 = "", "Validated", HYPERLINK("#" &amp; ADDRESS(215, 'Additional Documents-WUO_TRK'!A215),_xlfn.TEXTAFTER('Additional Documents-WUO_ERR'!A215, ":"))))</f>
        <v/>
      </c>
    </row>
    <row r="216">
      <c r="A216" s="38">
        <f>IF('Additional Documents'!B216 = "", "", IF('Additional Documents-WUO_ERR'!A216 = "", "Validated", HYPERLINK("#" &amp; ADDRESS(216, 'Additional Documents-WUO_TRK'!A216),_xlfn.TEXTAFTER('Additional Documents-WUO_ERR'!A216, ":"))))</f>
        <v/>
      </c>
    </row>
    <row r="217">
      <c r="A217" s="38">
        <f>IF('Additional Documents'!B217 = "", "", IF('Additional Documents-WUO_ERR'!A217 = "", "Validated", HYPERLINK("#" &amp; ADDRESS(217, 'Additional Documents-WUO_TRK'!A217),_xlfn.TEXTAFTER('Additional Documents-WUO_ERR'!A217, ":"))))</f>
        <v/>
      </c>
    </row>
    <row r="218">
      <c r="A218" s="38">
        <f>IF('Additional Documents'!B218 = "", "", IF('Additional Documents-WUO_ERR'!A218 = "", "Validated", HYPERLINK("#" &amp; ADDRESS(218, 'Additional Documents-WUO_TRK'!A218),_xlfn.TEXTAFTER('Additional Documents-WUO_ERR'!A218, ":"))))</f>
        <v/>
      </c>
    </row>
    <row r="219">
      <c r="A219" s="38">
        <f>IF('Additional Documents'!B219 = "", "", IF('Additional Documents-WUO_ERR'!A219 = "", "Validated", HYPERLINK("#" &amp; ADDRESS(219, 'Additional Documents-WUO_TRK'!A219),_xlfn.TEXTAFTER('Additional Documents-WUO_ERR'!A219, ":"))))</f>
        <v/>
      </c>
    </row>
    <row r="220">
      <c r="A220" s="38">
        <f>IF('Additional Documents'!B220 = "", "", IF('Additional Documents-WUO_ERR'!A220 = "", "Validated", HYPERLINK("#" &amp; ADDRESS(220, 'Additional Documents-WUO_TRK'!A220),_xlfn.TEXTAFTER('Additional Documents-WUO_ERR'!A220, ":"))))</f>
        <v/>
      </c>
    </row>
    <row r="221">
      <c r="A221" s="38">
        <f>IF('Additional Documents'!B221 = "", "", IF('Additional Documents-WUO_ERR'!A221 = "", "Validated", HYPERLINK("#" &amp; ADDRESS(221, 'Additional Documents-WUO_TRK'!A221),_xlfn.TEXTAFTER('Additional Documents-WUO_ERR'!A221, ":"))))</f>
        <v/>
      </c>
    </row>
    <row r="222">
      <c r="A222" s="38">
        <f>IF('Additional Documents'!B222 = "", "", IF('Additional Documents-WUO_ERR'!A222 = "", "Validated", HYPERLINK("#" &amp; ADDRESS(222, 'Additional Documents-WUO_TRK'!A222),_xlfn.TEXTAFTER('Additional Documents-WUO_ERR'!A222, ":"))))</f>
        <v/>
      </c>
    </row>
    <row r="223">
      <c r="A223" s="38">
        <f>IF('Additional Documents'!B223 = "", "", IF('Additional Documents-WUO_ERR'!A223 = "", "Validated", HYPERLINK("#" &amp; ADDRESS(223, 'Additional Documents-WUO_TRK'!A223),_xlfn.TEXTAFTER('Additional Documents-WUO_ERR'!A223, ":"))))</f>
        <v/>
      </c>
    </row>
    <row r="224">
      <c r="A224" s="38">
        <f>IF('Additional Documents'!B224 = "", "", IF('Additional Documents-WUO_ERR'!A224 = "", "Validated", HYPERLINK("#" &amp; ADDRESS(224, 'Additional Documents-WUO_TRK'!A224),_xlfn.TEXTAFTER('Additional Documents-WUO_ERR'!A224, ":"))))</f>
        <v/>
      </c>
    </row>
    <row r="225">
      <c r="A225" s="38">
        <f>IF('Additional Documents'!B225 = "", "", IF('Additional Documents-WUO_ERR'!A225 = "", "Validated", HYPERLINK("#" &amp; ADDRESS(225, 'Additional Documents-WUO_TRK'!A225),_xlfn.TEXTAFTER('Additional Documents-WUO_ERR'!A225, ":"))))</f>
        <v/>
      </c>
    </row>
    <row r="226">
      <c r="A226" s="38">
        <f>IF('Additional Documents'!B226 = "", "", IF('Additional Documents-WUO_ERR'!A226 = "", "Validated", HYPERLINK("#" &amp; ADDRESS(226, 'Additional Documents-WUO_TRK'!A226),_xlfn.TEXTAFTER('Additional Documents-WUO_ERR'!A226, ":"))))</f>
        <v/>
      </c>
    </row>
    <row r="227">
      <c r="A227" s="38">
        <f>IF('Additional Documents'!B227 = "", "", IF('Additional Documents-WUO_ERR'!A227 = "", "Validated", HYPERLINK("#" &amp; ADDRESS(227, 'Additional Documents-WUO_TRK'!A227),_xlfn.TEXTAFTER('Additional Documents-WUO_ERR'!A227, ":"))))</f>
        <v/>
      </c>
    </row>
    <row r="228">
      <c r="A228" s="38">
        <f>IF('Additional Documents'!B228 = "", "", IF('Additional Documents-WUO_ERR'!A228 = "", "Validated", HYPERLINK("#" &amp; ADDRESS(228, 'Additional Documents-WUO_TRK'!A228),_xlfn.TEXTAFTER('Additional Documents-WUO_ERR'!A228, ":"))))</f>
        <v/>
      </c>
    </row>
    <row r="229">
      <c r="A229" s="38">
        <f>IF('Additional Documents'!B229 = "", "", IF('Additional Documents-WUO_ERR'!A229 = "", "Validated", HYPERLINK("#" &amp; ADDRESS(229, 'Additional Documents-WUO_TRK'!A229),_xlfn.TEXTAFTER('Additional Documents-WUO_ERR'!A229, ":"))))</f>
        <v/>
      </c>
    </row>
    <row r="230">
      <c r="A230" s="38">
        <f>IF('Additional Documents'!B230 = "", "", IF('Additional Documents-WUO_ERR'!A230 = "", "Validated", HYPERLINK("#" &amp; ADDRESS(230, 'Additional Documents-WUO_TRK'!A230),_xlfn.TEXTAFTER('Additional Documents-WUO_ERR'!A230, ":"))))</f>
        <v/>
      </c>
    </row>
    <row r="231">
      <c r="A231" s="38">
        <f>IF('Additional Documents'!B231 = "", "", IF('Additional Documents-WUO_ERR'!A231 = "", "Validated", HYPERLINK("#" &amp; ADDRESS(231, 'Additional Documents-WUO_TRK'!A231),_xlfn.TEXTAFTER('Additional Documents-WUO_ERR'!A231, ":"))))</f>
        <v/>
      </c>
    </row>
    <row r="232">
      <c r="A232" s="38">
        <f>IF('Additional Documents'!B232 = "", "", IF('Additional Documents-WUO_ERR'!A232 = "", "Validated", HYPERLINK("#" &amp; ADDRESS(232, 'Additional Documents-WUO_TRK'!A232),_xlfn.TEXTAFTER('Additional Documents-WUO_ERR'!A232, ":"))))</f>
        <v/>
      </c>
    </row>
    <row r="233">
      <c r="A233" s="38">
        <f>IF('Additional Documents'!B233 = "", "", IF('Additional Documents-WUO_ERR'!A233 = "", "Validated", HYPERLINK("#" &amp; ADDRESS(233, 'Additional Documents-WUO_TRK'!A233),_xlfn.TEXTAFTER('Additional Documents-WUO_ERR'!A233, ":"))))</f>
        <v/>
      </c>
    </row>
    <row r="234">
      <c r="A234" s="38">
        <f>IF('Additional Documents'!B234 = "", "", IF('Additional Documents-WUO_ERR'!A234 = "", "Validated", HYPERLINK("#" &amp; ADDRESS(234, 'Additional Documents-WUO_TRK'!A234),_xlfn.TEXTAFTER('Additional Documents-WUO_ERR'!A234, ":"))))</f>
        <v/>
      </c>
    </row>
    <row r="235">
      <c r="A235" s="38">
        <f>IF('Additional Documents'!B235 = "", "", IF('Additional Documents-WUO_ERR'!A235 = "", "Validated", HYPERLINK("#" &amp; ADDRESS(235, 'Additional Documents-WUO_TRK'!A235),_xlfn.TEXTAFTER('Additional Documents-WUO_ERR'!A235, ":"))))</f>
        <v/>
      </c>
    </row>
    <row r="236">
      <c r="A236" s="38">
        <f>IF('Additional Documents'!B236 = "", "", IF('Additional Documents-WUO_ERR'!A236 = "", "Validated", HYPERLINK("#" &amp; ADDRESS(236, 'Additional Documents-WUO_TRK'!A236),_xlfn.TEXTAFTER('Additional Documents-WUO_ERR'!A236, ":"))))</f>
        <v/>
      </c>
    </row>
    <row r="237">
      <c r="A237" s="38">
        <f>IF('Additional Documents'!B237 = "", "", IF('Additional Documents-WUO_ERR'!A237 = "", "Validated", HYPERLINK("#" &amp; ADDRESS(237, 'Additional Documents-WUO_TRK'!A237),_xlfn.TEXTAFTER('Additional Documents-WUO_ERR'!A237, ":"))))</f>
        <v/>
      </c>
    </row>
    <row r="238">
      <c r="A238" s="38">
        <f>IF('Additional Documents'!B238 = "", "", IF('Additional Documents-WUO_ERR'!A238 = "", "Validated", HYPERLINK("#" &amp; ADDRESS(238, 'Additional Documents-WUO_TRK'!A238),_xlfn.TEXTAFTER('Additional Documents-WUO_ERR'!A238, ":"))))</f>
        <v/>
      </c>
    </row>
    <row r="239">
      <c r="A239" s="38">
        <f>IF('Additional Documents'!B239 = "", "", IF('Additional Documents-WUO_ERR'!A239 = "", "Validated", HYPERLINK("#" &amp; ADDRESS(239, 'Additional Documents-WUO_TRK'!A239),_xlfn.TEXTAFTER('Additional Documents-WUO_ERR'!A239, ":"))))</f>
        <v/>
      </c>
    </row>
    <row r="240">
      <c r="A240" s="38">
        <f>IF('Additional Documents'!B240 = "", "", IF('Additional Documents-WUO_ERR'!A240 = "", "Validated", HYPERLINK("#" &amp; ADDRESS(240, 'Additional Documents-WUO_TRK'!A240),_xlfn.TEXTAFTER('Additional Documents-WUO_ERR'!A240, ":"))))</f>
        <v/>
      </c>
    </row>
    <row r="241">
      <c r="A241" s="38">
        <f>IF('Additional Documents'!B241 = "", "", IF('Additional Documents-WUO_ERR'!A241 = "", "Validated", HYPERLINK("#" &amp; ADDRESS(241, 'Additional Documents-WUO_TRK'!A241),_xlfn.TEXTAFTER('Additional Documents-WUO_ERR'!A241, ":"))))</f>
        <v/>
      </c>
    </row>
    <row r="242">
      <c r="A242" s="38">
        <f>IF('Additional Documents'!B242 = "", "", IF('Additional Documents-WUO_ERR'!A242 = "", "Validated", HYPERLINK("#" &amp; ADDRESS(242, 'Additional Documents-WUO_TRK'!A242),_xlfn.TEXTAFTER('Additional Documents-WUO_ERR'!A242, ":"))))</f>
        <v/>
      </c>
    </row>
    <row r="243">
      <c r="A243" s="38">
        <f>IF('Additional Documents'!B243 = "", "", IF('Additional Documents-WUO_ERR'!A243 = "", "Validated", HYPERLINK("#" &amp; ADDRESS(243, 'Additional Documents-WUO_TRK'!A243),_xlfn.TEXTAFTER('Additional Documents-WUO_ERR'!A243, ":"))))</f>
        <v/>
      </c>
    </row>
    <row r="244">
      <c r="A244" s="38">
        <f>IF('Additional Documents'!B244 = "", "", IF('Additional Documents-WUO_ERR'!A244 = "", "Validated", HYPERLINK("#" &amp; ADDRESS(244, 'Additional Documents-WUO_TRK'!A244),_xlfn.TEXTAFTER('Additional Documents-WUO_ERR'!A244, ":"))))</f>
        <v/>
      </c>
    </row>
    <row r="245">
      <c r="A245" s="38">
        <f>IF('Additional Documents'!B245 = "", "", IF('Additional Documents-WUO_ERR'!A245 = "", "Validated", HYPERLINK("#" &amp; ADDRESS(245, 'Additional Documents-WUO_TRK'!A245),_xlfn.TEXTAFTER('Additional Documents-WUO_ERR'!A245, ":"))))</f>
        <v/>
      </c>
    </row>
    <row r="246">
      <c r="A246" s="38">
        <f>IF('Additional Documents'!B246 = "", "", IF('Additional Documents-WUO_ERR'!A246 = "", "Validated", HYPERLINK("#" &amp; ADDRESS(246, 'Additional Documents-WUO_TRK'!A246),_xlfn.TEXTAFTER('Additional Documents-WUO_ERR'!A246, ":"))))</f>
        <v/>
      </c>
    </row>
    <row r="247">
      <c r="A247" s="38">
        <f>IF('Additional Documents'!B247 = "", "", IF('Additional Documents-WUO_ERR'!A247 = "", "Validated", HYPERLINK("#" &amp; ADDRESS(247, 'Additional Documents-WUO_TRK'!A247),_xlfn.TEXTAFTER('Additional Documents-WUO_ERR'!A247, ":"))))</f>
        <v/>
      </c>
    </row>
    <row r="248">
      <c r="A248" s="38">
        <f>IF('Additional Documents'!B248 = "", "", IF('Additional Documents-WUO_ERR'!A248 = "", "Validated", HYPERLINK("#" &amp; ADDRESS(248, 'Additional Documents-WUO_TRK'!A248),_xlfn.TEXTAFTER('Additional Documents-WUO_ERR'!A248, ":"))))</f>
        <v/>
      </c>
    </row>
    <row r="249">
      <c r="A249" s="38">
        <f>IF('Additional Documents'!B249 = "", "", IF('Additional Documents-WUO_ERR'!A249 = "", "Validated", HYPERLINK("#" &amp; ADDRESS(249, 'Additional Documents-WUO_TRK'!A249),_xlfn.TEXTAFTER('Additional Documents-WUO_ERR'!A249, ":"))))</f>
        <v/>
      </c>
    </row>
    <row r="250">
      <c r="A250" s="38">
        <f>IF('Additional Documents'!B250 = "", "", IF('Additional Documents-WUO_ERR'!A250 = "", "Validated", HYPERLINK("#" &amp; ADDRESS(250, 'Additional Documents-WUO_TRK'!A250),_xlfn.TEXTAFTER('Additional Documents-WUO_ERR'!A250, ":"))))</f>
        <v/>
      </c>
    </row>
    <row r="251">
      <c r="A251" s="38">
        <f>IF('Additional Documents'!B251 = "", "", IF('Additional Documents-WUO_ERR'!A251 = "", "Validated", HYPERLINK("#" &amp; ADDRESS(251, 'Additional Documents-WUO_TRK'!A251),_xlfn.TEXTAFTER('Additional Documents-WUO_ERR'!A251, ":"))))</f>
        <v/>
      </c>
    </row>
    <row r="252">
      <c r="A252" s="38">
        <f>IF('Additional Documents'!B252 = "", "", IF('Additional Documents-WUO_ERR'!A252 = "", "Validated", HYPERLINK("#" &amp; ADDRESS(252, 'Additional Documents-WUO_TRK'!A252),_xlfn.TEXTAFTER('Additional Documents-WUO_ERR'!A252, ":"))))</f>
        <v/>
      </c>
    </row>
    <row r="253">
      <c r="A253" s="38">
        <f>IF('Additional Documents'!B253 = "", "", IF('Additional Documents-WUO_ERR'!A253 = "", "Validated", HYPERLINK("#" &amp; ADDRESS(253, 'Additional Documents-WUO_TRK'!A253),_xlfn.TEXTAFTER('Additional Documents-WUO_ERR'!A253, ":"))))</f>
        <v/>
      </c>
    </row>
    <row r="254">
      <c r="A254" s="38">
        <f>IF('Additional Documents'!B254 = "", "", IF('Additional Documents-WUO_ERR'!A254 = "", "Validated", HYPERLINK("#" &amp; ADDRESS(254, 'Additional Documents-WUO_TRK'!A254),_xlfn.TEXTAFTER('Additional Documents-WUO_ERR'!A254, ":"))))</f>
        <v/>
      </c>
    </row>
    <row r="255">
      <c r="A255" s="38">
        <f>IF('Additional Documents'!B255 = "", "", IF('Additional Documents-WUO_ERR'!A255 = "", "Validated", HYPERLINK("#" &amp; ADDRESS(255, 'Additional Documents-WUO_TRK'!A255),_xlfn.TEXTAFTER('Additional Documents-WUO_ERR'!A255, ":"))))</f>
        <v/>
      </c>
    </row>
    <row r="256">
      <c r="A256" s="38">
        <f>IF('Additional Documents'!B256 = "", "", IF('Additional Documents-WUO_ERR'!A256 = "", "Validated", HYPERLINK("#" &amp; ADDRESS(256, 'Additional Documents-WUO_TRK'!A256),_xlfn.TEXTAFTER('Additional Documents-WUO_ERR'!A256, ":"))))</f>
        <v/>
      </c>
    </row>
    <row r="257">
      <c r="A257" s="38">
        <f>IF('Additional Documents'!B257 = "", "", IF('Additional Documents-WUO_ERR'!A257 = "", "Validated", HYPERLINK("#" &amp; ADDRESS(257, 'Additional Documents-WUO_TRK'!A257),_xlfn.TEXTAFTER('Additional Documents-WUO_ERR'!A257, ":"))))</f>
        <v/>
      </c>
    </row>
    <row r="258">
      <c r="A258" s="38">
        <f>IF('Additional Documents'!B258 = "", "", IF('Additional Documents-WUO_ERR'!A258 = "", "Validated", HYPERLINK("#" &amp; ADDRESS(258, 'Additional Documents-WUO_TRK'!A258),_xlfn.TEXTAFTER('Additional Documents-WUO_ERR'!A258, ":"))))</f>
        <v/>
      </c>
    </row>
    <row r="259">
      <c r="A259" s="38">
        <f>IF('Additional Documents'!B259 = "", "", IF('Additional Documents-WUO_ERR'!A259 = "", "Validated", HYPERLINK("#" &amp; ADDRESS(259, 'Additional Documents-WUO_TRK'!A259),_xlfn.TEXTAFTER('Additional Documents-WUO_ERR'!A259, ":"))))</f>
        <v/>
      </c>
    </row>
    <row r="260">
      <c r="A260" s="38">
        <f>IF('Additional Documents'!B260 = "", "", IF('Additional Documents-WUO_ERR'!A260 = "", "Validated", HYPERLINK("#" &amp; ADDRESS(260, 'Additional Documents-WUO_TRK'!A260),_xlfn.TEXTAFTER('Additional Documents-WUO_ERR'!A260, ":"))))</f>
        <v/>
      </c>
    </row>
    <row r="261">
      <c r="A261" s="38">
        <f>IF('Additional Documents'!B261 = "", "", IF('Additional Documents-WUO_ERR'!A261 = "", "Validated", HYPERLINK("#" &amp; ADDRESS(261, 'Additional Documents-WUO_TRK'!A261),_xlfn.TEXTAFTER('Additional Documents-WUO_ERR'!A261, ":"))))</f>
        <v/>
      </c>
    </row>
    <row r="262">
      <c r="A262" s="38">
        <f>IF('Additional Documents'!B262 = "", "", IF('Additional Documents-WUO_ERR'!A262 = "", "Validated", HYPERLINK("#" &amp; ADDRESS(262, 'Additional Documents-WUO_TRK'!A262),_xlfn.TEXTAFTER('Additional Documents-WUO_ERR'!A262, ":"))))</f>
        <v/>
      </c>
    </row>
    <row r="263">
      <c r="A263" s="38">
        <f>IF('Additional Documents'!B263 = "", "", IF('Additional Documents-WUO_ERR'!A263 = "", "Validated", HYPERLINK("#" &amp; ADDRESS(263, 'Additional Documents-WUO_TRK'!A263),_xlfn.TEXTAFTER('Additional Documents-WUO_ERR'!A263, ":"))))</f>
        <v/>
      </c>
    </row>
    <row r="264">
      <c r="A264" s="38">
        <f>IF('Additional Documents'!B264 = "", "", IF('Additional Documents-WUO_ERR'!A264 = "", "Validated", HYPERLINK("#" &amp; ADDRESS(264, 'Additional Documents-WUO_TRK'!A264),_xlfn.TEXTAFTER('Additional Documents-WUO_ERR'!A264, ":"))))</f>
        <v/>
      </c>
    </row>
    <row r="265">
      <c r="A265" s="38">
        <f>IF('Additional Documents'!B265 = "", "", IF('Additional Documents-WUO_ERR'!A265 = "", "Validated", HYPERLINK("#" &amp; ADDRESS(265, 'Additional Documents-WUO_TRK'!A265),_xlfn.TEXTAFTER('Additional Documents-WUO_ERR'!A265, ":"))))</f>
        <v/>
      </c>
    </row>
    <row r="266">
      <c r="A266" s="38">
        <f>IF('Additional Documents'!B266 = "", "", IF('Additional Documents-WUO_ERR'!A266 = "", "Validated", HYPERLINK("#" &amp; ADDRESS(266, 'Additional Documents-WUO_TRK'!A266),_xlfn.TEXTAFTER('Additional Documents-WUO_ERR'!A266, ":"))))</f>
        <v/>
      </c>
    </row>
    <row r="267">
      <c r="A267" s="38">
        <f>IF('Additional Documents'!B267 = "", "", IF('Additional Documents-WUO_ERR'!A267 = "", "Validated", HYPERLINK("#" &amp; ADDRESS(267, 'Additional Documents-WUO_TRK'!A267),_xlfn.TEXTAFTER('Additional Documents-WUO_ERR'!A267, ":"))))</f>
        <v/>
      </c>
    </row>
    <row r="268">
      <c r="A268" s="38">
        <f>IF('Additional Documents'!B268 = "", "", IF('Additional Documents-WUO_ERR'!A268 = "", "Validated", HYPERLINK("#" &amp; ADDRESS(268, 'Additional Documents-WUO_TRK'!A268),_xlfn.TEXTAFTER('Additional Documents-WUO_ERR'!A268, ":"))))</f>
        <v/>
      </c>
    </row>
    <row r="269">
      <c r="A269" s="38">
        <f>IF('Additional Documents'!B269 = "", "", IF('Additional Documents-WUO_ERR'!A269 = "", "Validated", HYPERLINK("#" &amp; ADDRESS(269, 'Additional Documents-WUO_TRK'!A269),_xlfn.TEXTAFTER('Additional Documents-WUO_ERR'!A269, ":"))))</f>
        <v/>
      </c>
    </row>
    <row r="270">
      <c r="A270" s="38">
        <f>IF('Additional Documents'!B270 = "", "", IF('Additional Documents-WUO_ERR'!A270 = "", "Validated", HYPERLINK("#" &amp; ADDRESS(270, 'Additional Documents-WUO_TRK'!A270),_xlfn.TEXTAFTER('Additional Documents-WUO_ERR'!A270, ":"))))</f>
        <v/>
      </c>
    </row>
    <row r="271">
      <c r="A271" s="38">
        <f>IF('Additional Documents'!B271 = "", "", IF('Additional Documents-WUO_ERR'!A271 = "", "Validated", HYPERLINK("#" &amp; ADDRESS(271, 'Additional Documents-WUO_TRK'!A271),_xlfn.TEXTAFTER('Additional Documents-WUO_ERR'!A271, ":"))))</f>
        <v/>
      </c>
    </row>
    <row r="272">
      <c r="A272" s="38">
        <f>IF('Additional Documents'!B272 = "", "", IF('Additional Documents-WUO_ERR'!A272 = "", "Validated", HYPERLINK("#" &amp; ADDRESS(272, 'Additional Documents-WUO_TRK'!A272),_xlfn.TEXTAFTER('Additional Documents-WUO_ERR'!A272, ":"))))</f>
        <v/>
      </c>
    </row>
    <row r="273">
      <c r="A273" s="38">
        <f>IF('Additional Documents'!B273 = "", "", IF('Additional Documents-WUO_ERR'!A273 = "", "Validated", HYPERLINK("#" &amp; ADDRESS(273, 'Additional Documents-WUO_TRK'!A273),_xlfn.TEXTAFTER('Additional Documents-WUO_ERR'!A273, ":"))))</f>
        <v/>
      </c>
    </row>
    <row r="274">
      <c r="A274" s="38">
        <f>IF('Additional Documents'!B274 = "", "", IF('Additional Documents-WUO_ERR'!A274 = "", "Validated", HYPERLINK("#" &amp; ADDRESS(274, 'Additional Documents-WUO_TRK'!A274),_xlfn.TEXTAFTER('Additional Documents-WUO_ERR'!A274, ":"))))</f>
        <v/>
      </c>
    </row>
    <row r="275">
      <c r="A275" s="38">
        <f>IF('Additional Documents'!B275 = "", "", IF('Additional Documents-WUO_ERR'!A275 = "", "Validated", HYPERLINK("#" &amp; ADDRESS(275, 'Additional Documents-WUO_TRK'!A275),_xlfn.TEXTAFTER('Additional Documents-WUO_ERR'!A275, ":"))))</f>
        <v/>
      </c>
    </row>
    <row r="276">
      <c r="A276" s="38">
        <f>IF('Additional Documents'!B276 = "", "", IF('Additional Documents-WUO_ERR'!A276 = "", "Validated", HYPERLINK("#" &amp; ADDRESS(276, 'Additional Documents-WUO_TRK'!A276),_xlfn.TEXTAFTER('Additional Documents-WUO_ERR'!A276, ":"))))</f>
        <v/>
      </c>
    </row>
    <row r="277">
      <c r="A277" s="38">
        <f>IF('Additional Documents'!B277 = "", "", IF('Additional Documents-WUO_ERR'!A277 = "", "Validated", HYPERLINK("#" &amp; ADDRESS(277, 'Additional Documents-WUO_TRK'!A277),_xlfn.TEXTAFTER('Additional Documents-WUO_ERR'!A277, ":"))))</f>
        <v/>
      </c>
    </row>
    <row r="278">
      <c r="A278" s="38">
        <f>IF('Additional Documents'!B278 = "", "", IF('Additional Documents-WUO_ERR'!A278 = "", "Validated", HYPERLINK("#" &amp; ADDRESS(278, 'Additional Documents-WUO_TRK'!A278),_xlfn.TEXTAFTER('Additional Documents-WUO_ERR'!A278, ":"))))</f>
        <v/>
      </c>
    </row>
    <row r="279">
      <c r="A279" s="38">
        <f>IF('Additional Documents'!B279 = "", "", IF('Additional Documents-WUO_ERR'!A279 = "", "Validated", HYPERLINK("#" &amp; ADDRESS(279, 'Additional Documents-WUO_TRK'!A279),_xlfn.TEXTAFTER('Additional Documents-WUO_ERR'!A279, ":"))))</f>
        <v/>
      </c>
    </row>
    <row r="280">
      <c r="A280" s="38">
        <f>IF('Additional Documents'!B280 = "", "", IF('Additional Documents-WUO_ERR'!A280 = "", "Validated", HYPERLINK("#" &amp; ADDRESS(280, 'Additional Documents-WUO_TRK'!A280),_xlfn.TEXTAFTER('Additional Documents-WUO_ERR'!A280, ":"))))</f>
        <v/>
      </c>
    </row>
    <row r="281">
      <c r="A281" s="38">
        <f>IF('Additional Documents'!B281 = "", "", IF('Additional Documents-WUO_ERR'!A281 = "", "Validated", HYPERLINK("#" &amp; ADDRESS(281, 'Additional Documents-WUO_TRK'!A281),_xlfn.TEXTAFTER('Additional Documents-WUO_ERR'!A281, ":"))))</f>
        <v/>
      </c>
    </row>
    <row r="282">
      <c r="A282" s="38">
        <f>IF('Additional Documents'!B282 = "", "", IF('Additional Documents-WUO_ERR'!A282 = "", "Validated", HYPERLINK("#" &amp; ADDRESS(282, 'Additional Documents-WUO_TRK'!A282),_xlfn.TEXTAFTER('Additional Documents-WUO_ERR'!A282, ":"))))</f>
        <v/>
      </c>
    </row>
    <row r="283">
      <c r="A283" s="38">
        <f>IF('Additional Documents'!B283 = "", "", IF('Additional Documents-WUO_ERR'!A283 = "", "Validated", HYPERLINK("#" &amp; ADDRESS(283, 'Additional Documents-WUO_TRK'!A283),_xlfn.TEXTAFTER('Additional Documents-WUO_ERR'!A283, ":"))))</f>
        <v/>
      </c>
    </row>
    <row r="284">
      <c r="A284" s="38">
        <f>IF('Additional Documents'!B284 = "", "", IF('Additional Documents-WUO_ERR'!A284 = "", "Validated", HYPERLINK("#" &amp; ADDRESS(284, 'Additional Documents-WUO_TRK'!A284),_xlfn.TEXTAFTER('Additional Documents-WUO_ERR'!A284, ":"))))</f>
        <v/>
      </c>
    </row>
    <row r="285">
      <c r="A285" s="38">
        <f>IF('Additional Documents'!B285 = "", "", IF('Additional Documents-WUO_ERR'!A285 = "", "Validated", HYPERLINK("#" &amp; ADDRESS(285, 'Additional Documents-WUO_TRK'!A285),_xlfn.TEXTAFTER('Additional Documents-WUO_ERR'!A285, ":"))))</f>
        <v/>
      </c>
    </row>
    <row r="286">
      <c r="A286" s="38">
        <f>IF('Additional Documents'!B286 = "", "", IF('Additional Documents-WUO_ERR'!A286 = "", "Validated", HYPERLINK("#" &amp; ADDRESS(286, 'Additional Documents-WUO_TRK'!A286),_xlfn.TEXTAFTER('Additional Documents-WUO_ERR'!A286, ":"))))</f>
        <v/>
      </c>
    </row>
    <row r="287">
      <c r="A287" s="38">
        <f>IF('Additional Documents'!B287 = "", "", IF('Additional Documents-WUO_ERR'!A287 = "", "Validated", HYPERLINK("#" &amp; ADDRESS(287, 'Additional Documents-WUO_TRK'!A287),_xlfn.TEXTAFTER('Additional Documents-WUO_ERR'!A287, ":"))))</f>
        <v/>
      </c>
    </row>
    <row r="288">
      <c r="A288" s="38">
        <f>IF('Additional Documents'!B288 = "", "", IF('Additional Documents-WUO_ERR'!A288 = "", "Validated", HYPERLINK("#" &amp; ADDRESS(288, 'Additional Documents-WUO_TRK'!A288),_xlfn.TEXTAFTER('Additional Documents-WUO_ERR'!A288, ":"))))</f>
        <v/>
      </c>
    </row>
    <row r="289">
      <c r="A289" s="38">
        <f>IF('Additional Documents'!B289 = "", "", IF('Additional Documents-WUO_ERR'!A289 = "", "Validated", HYPERLINK("#" &amp; ADDRESS(289, 'Additional Documents-WUO_TRK'!A289),_xlfn.TEXTAFTER('Additional Documents-WUO_ERR'!A289, ":"))))</f>
        <v/>
      </c>
    </row>
    <row r="290">
      <c r="A290" s="38">
        <f>IF('Additional Documents'!B290 = "", "", IF('Additional Documents-WUO_ERR'!A290 = "", "Validated", HYPERLINK("#" &amp; ADDRESS(290, 'Additional Documents-WUO_TRK'!A290),_xlfn.TEXTAFTER('Additional Documents-WUO_ERR'!A290, ":"))))</f>
        <v/>
      </c>
    </row>
    <row r="291">
      <c r="A291" s="38">
        <f>IF('Additional Documents'!B291 = "", "", IF('Additional Documents-WUO_ERR'!A291 = "", "Validated", HYPERLINK("#" &amp; ADDRESS(291, 'Additional Documents-WUO_TRK'!A291),_xlfn.TEXTAFTER('Additional Documents-WUO_ERR'!A291, ":"))))</f>
        <v/>
      </c>
    </row>
    <row r="292">
      <c r="A292" s="38">
        <f>IF('Additional Documents'!B292 = "", "", IF('Additional Documents-WUO_ERR'!A292 = "", "Validated", HYPERLINK("#" &amp; ADDRESS(292, 'Additional Documents-WUO_TRK'!A292),_xlfn.TEXTAFTER('Additional Documents-WUO_ERR'!A292, ":"))))</f>
        <v/>
      </c>
    </row>
    <row r="293">
      <c r="A293" s="38">
        <f>IF('Additional Documents'!B293 = "", "", IF('Additional Documents-WUO_ERR'!A293 = "", "Validated", HYPERLINK("#" &amp; ADDRESS(293, 'Additional Documents-WUO_TRK'!A293),_xlfn.TEXTAFTER('Additional Documents-WUO_ERR'!A293, ":"))))</f>
        <v/>
      </c>
    </row>
    <row r="294">
      <c r="A294" s="38">
        <f>IF('Additional Documents'!B294 = "", "", IF('Additional Documents-WUO_ERR'!A294 = "", "Validated", HYPERLINK("#" &amp; ADDRESS(294, 'Additional Documents-WUO_TRK'!A294),_xlfn.TEXTAFTER('Additional Documents-WUO_ERR'!A294, ":"))))</f>
        <v/>
      </c>
    </row>
    <row r="295">
      <c r="A295" s="38">
        <f>IF('Additional Documents'!B295 = "", "", IF('Additional Documents-WUO_ERR'!A295 = "", "Validated", HYPERLINK("#" &amp; ADDRESS(295, 'Additional Documents-WUO_TRK'!A295),_xlfn.TEXTAFTER('Additional Documents-WUO_ERR'!A295, ":"))))</f>
        <v/>
      </c>
    </row>
    <row r="296">
      <c r="A296" s="38">
        <f>IF('Additional Documents'!B296 = "", "", IF('Additional Documents-WUO_ERR'!A296 = "", "Validated", HYPERLINK("#" &amp; ADDRESS(296, 'Additional Documents-WUO_TRK'!A296),_xlfn.TEXTAFTER('Additional Documents-WUO_ERR'!A296, ":"))))</f>
        <v/>
      </c>
    </row>
    <row r="297">
      <c r="A297" s="38">
        <f>IF('Additional Documents'!B297 = "", "", IF('Additional Documents-WUO_ERR'!A297 = "", "Validated", HYPERLINK("#" &amp; ADDRESS(297, 'Additional Documents-WUO_TRK'!A297),_xlfn.TEXTAFTER('Additional Documents-WUO_ERR'!A297, ":"))))</f>
        <v/>
      </c>
    </row>
    <row r="298">
      <c r="A298" s="38">
        <f>IF('Additional Documents'!B298 = "", "", IF('Additional Documents-WUO_ERR'!A298 = "", "Validated", HYPERLINK("#" &amp; ADDRESS(298, 'Additional Documents-WUO_TRK'!A298),_xlfn.TEXTAFTER('Additional Documents-WUO_ERR'!A298, ":"))))</f>
        <v/>
      </c>
    </row>
    <row r="299">
      <c r="A299" s="38">
        <f>IF('Additional Documents'!B299 = "", "", IF('Additional Documents-WUO_ERR'!A299 = "", "Validated", HYPERLINK("#" &amp; ADDRESS(299, 'Additional Documents-WUO_TRK'!A299),_xlfn.TEXTAFTER('Additional Documents-WUO_ERR'!A299, ":"))))</f>
        <v/>
      </c>
    </row>
    <row r="300">
      <c r="A300" s="38">
        <f>IF('Additional Documents'!B300 = "", "", IF('Additional Documents-WUO_ERR'!A300 = "", "Validated", HYPERLINK("#" &amp; ADDRESS(300, 'Additional Documents-WUO_TRK'!A300),_xlfn.TEXTAFTER('Additional Documents-WUO_ERR'!A300, ":"))))</f>
        <v/>
      </c>
    </row>
    <row r="301">
      <c r="A301" s="38">
        <f>IF('Additional Documents'!B301 = "", "", IF('Additional Documents-WUO_ERR'!A301 = "", "Validated", HYPERLINK("#" &amp; ADDRESS(301, 'Additional Documents-WUO_TRK'!A301),_xlfn.TEXTAFTER('Additional Documents-WUO_ERR'!A301, ":"))))</f>
        <v/>
      </c>
    </row>
    <row r="302">
      <c r="A302" s="38">
        <f>IF('Additional Documents'!B302 = "", "", IF('Additional Documents-WUO_ERR'!A302 = "", "Validated", HYPERLINK("#" &amp; ADDRESS(302, 'Additional Documents-WUO_TRK'!A302),_xlfn.TEXTAFTER('Additional Documents-WUO_ERR'!A302, ":"))))</f>
        <v/>
      </c>
    </row>
    <row r="303">
      <c r="A303" s="38">
        <f>IF('Additional Documents'!B303 = "", "", IF('Additional Documents-WUO_ERR'!A303 = "", "Validated", HYPERLINK("#" &amp; ADDRESS(303, 'Additional Documents-WUO_TRK'!A303),_xlfn.TEXTAFTER('Additional Documents-WUO_ERR'!A303, ":"))))</f>
        <v/>
      </c>
    </row>
    <row r="304">
      <c r="A304" s="38">
        <f>IF('Additional Documents'!B304 = "", "", IF('Additional Documents-WUO_ERR'!A304 = "", "Validated", HYPERLINK("#" &amp; ADDRESS(304, 'Additional Documents-WUO_TRK'!A304),_xlfn.TEXTAFTER('Additional Documents-WUO_ERR'!A304, ":"))))</f>
        <v/>
      </c>
    </row>
    <row r="305">
      <c r="A305" s="38">
        <f>IF('Additional Documents'!B305 = "", "", IF('Additional Documents-WUO_ERR'!A305 = "", "Validated", HYPERLINK("#" &amp; ADDRESS(305, 'Additional Documents-WUO_TRK'!A305),_xlfn.TEXTAFTER('Additional Documents-WUO_ERR'!A305, ":"))))</f>
        <v/>
      </c>
    </row>
    <row r="306">
      <c r="A306" s="38">
        <f>IF('Additional Documents'!B306 = "", "", IF('Additional Documents-WUO_ERR'!A306 = "", "Validated", HYPERLINK("#" &amp; ADDRESS(306, 'Additional Documents-WUO_TRK'!A306),_xlfn.TEXTAFTER('Additional Documents-WUO_ERR'!A306, ":"))))</f>
        <v/>
      </c>
    </row>
    <row r="307">
      <c r="A307" s="38">
        <f>IF('Additional Documents'!B307 = "", "", IF('Additional Documents-WUO_ERR'!A307 = "", "Validated", HYPERLINK("#" &amp; ADDRESS(307, 'Additional Documents-WUO_TRK'!A307),_xlfn.TEXTAFTER('Additional Documents-WUO_ERR'!A307, ":"))))</f>
        <v/>
      </c>
    </row>
    <row r="308">
      <c r="A308" s="38">
        <f>IF('Additional Documents'!B308 = "", "", IF('Additional Documents-WUO_ERR'!A308 = "", "Validated", HYPERLINK("#" &amp; ADDRESS(308, 'Additional Documents-WUO_TRK'!A308),_xlfn.TEXTAFTER('Additional Documents-WUO_ERR'!A308, ":"))))</f>
        <v/>
      </c>
    </row>
    <row r="309">
      <c r="A309" s="38">
        <f>IF('Additional Documents'!B309 = "", "", IF('Additional Documents-WUO_ERR'!A309 = "", "Validated", HYPERLINK("#" &amp; ADDRESS(309, 'Additional Documents-WUO_TRK'!A309),_xlfn.TEXTAFTER('Additional Documents-WUO_ERR'!A309, ":"))))</f>
        <v/>
      </c>
    </row>
    <row r="310">
      <c r="A310" s="38">
        <f>IF('Additional Documents'!B310 = "", "", IF('Additional Documents-WUO_ERR'!A310 = "", "Validated", HYPERLINK("#" &amp; ADDRESS(310, 'Additional Documents-WUO_TRK'!A310),_xlfn.TEXTAFTER('Additional Documents-WUO_ERR'!A310, ":"))))</f>
        <v/>
      </c>
    </row>
    <row r="311">
      <c r="A311" s="38">
        <f>IF('Additional Documents'!B311 = "", "", IF('Additional Documents-WUO_ERR'!A311 = "", "Validated", HYPERLINK("#" &amp; ADDRESS(311, 'Additional Documents-WUO_TRK'!A311),_xlfn.TEXTAFTER('Additional Documents-WUO_ERR'!A311, ":"))))</f>
        <v/>
      </c>
    </row>
    <row r="312">
      <c r="A312" s="38">
        <f>IF('Additional Documents'!B312 = "", "", IF('Additional Documents-WUO_ERR'!A312 = "", "Validated", HYPERLINK("#" &amp; ADDRESS(312, 'Additional Documents-WUO_TRK'!A312),_xlfn.TEXTAFTER('Additional Documents-WUO_ERR'!A312, ":"))))</f>
        <v/>
      </c>
    </row>
    <row r="313">
      <c r="A313" s="38">
        <f>IF('Additional Documents'!B313 = "", "", IF('Additional Documents-WUO_ERR'!A313 = "", "Validated", HYPERLINK("#" &amp; ADDRESS(313, 'Additional Documents-WUO_TRK'!A313),_xlfn.TEXTAFTER('Additional Documents-WUO_ERR'!A313, ":"))))</f>
        <v/>
      </c>
    </row>
    <row r="314">
      <c r="A314" s="38">
        <f>IF('Additional Documents'!B314 = "", "", IF('Additional Documents-WUO_ERR'!A314 = "", "Validated", HYPERLINK("#" &amp; ADDRESS(314, 'Additional Documents-WUO_TRK'!A314),_xlfn.TEXTAFTER('Additional Documents-WUO_ERR'!A314, ":"))))</f>
        <v/>
      </c>
    </row>
    <row r="315">
      <c r="A315" s="38">
        <f>IF('Additional Documents'!B315 = "", "", IF('Additional Documents-WUO_ERR'!A315 = "", "Validated", HYPERLINK("#" &amp; ADDRESS(315, 'Additional Documents-WUO_TRK'!A315),_xlfn.TEXTAFTER('Additional Documents-WUO_ERR'!A315, ":"))))</f>
        <v/>
      </c>
    </row>
    <row r="316">
      <c r="A316" s="38">
        <f>IF('Additional Documents'!B316 = "", "", IF('Additional Documents-WUO_ERR'!A316 = "", "Validated", HYPERLINK("#" &amp; ADDRESS(316, 'Additional Documents-WUO_TRK'!A316),_xlfn.TEXTAFTER('Additional Documents-WUO_ERR'!A316, ":"))))</f>
        <v/>
      </c>
    </row>
    <row r="317">
      <c r="A317" s="38">
        <f>IF('Additional Documents'!B317 = "", "", IF('Additional Documents-WUO_ERR'!A317 = "", "Validated", HYPERLINK("#" &amp; ADDRESS(317, 'Additional Documents-WUO_TRK'!A317),_xlfn.TEXTAFTER('Additional Documents-WUO_ERR'!A317, ":"))))</f>
        <v/>
      </c>
    </row>
    <row r="318">
      <c r="A318" s="38">
        <f>IF('Additional Documents'!B318 = "", "", IF('Additional Documents-WUO_ERR'!A318 = "", "Validated", HYPERLINK("#" &amp; ADDRESS(318, 'Additional Documents-WUO_TRK'!A318),_xlfn.TEXTAFTER('Additional Documents-WUO_ERR'!A318, ":"))))</f>
        <v/>
      </c>
    </row>
    <row r="319">
      <c r="A319" s="38">
        <f>IF('Additional Documents'!B319 = "", "", IF('Additional Documents-WUO_ERR'!A319 = "", "Validated", HYPERLINK("#" &amp; ADDRESS(319, 'Additional Documents-WUO_TRK'!A319),_xlfn.TEXTAFTER('Additional Documents-WUO_ERR'!A319, ":"))))</f>
        <v/>
      </c>
    </row>
    <row r="320">
      <c r="A320" s="38">
        <f>IF('Additional Documents'!B320 = "", "", IF('Additional Documents-WUO_ERR'!A320 = "", "Validated", HYPERLINK("#" &amp; ADDRESS(320, 'Additional Documents-WUO_TRK'!A320),_xlfn.TEXTAFTER('Additional Documents-WUO_ERR'!A320, ":"))))</f>
        <v/>
      </c>
    </row>
    <row r="321">
      <c r="A321" s="38">
        <f>IF('Additional Documents'!B321 = "", "", IF('Additional Documents-WUO_ERR'!A321 = "", "Validated", HYPERLINK("#" &amp; ADDRESS(321, 'Additional Documents-WUO_TRK'!A321),_xlfn.TEXTAFTER('Additional Documents-WUO_ERR'!A321, ":"))))</f>
        <v/>
      </c>
    </row>
    <row r="322">
      <c r="A322" s="38">
        <f>IF('Additional Documents'!B322 = "", "", IF('Additional Documents-WUO_ERR'!A322 = "", "Validated", HYPERLINK("#" &amp; ADDRESS(322, 'Additional Documents-WUO_TRK'!A322),_xlfn.TEXTAFTER('Additional Documents-WUO_ERR'!A322, ":"))))</f>
        <v/>
      </c>
    </row>
    <row r="323">
      <c r="A323" s="38">
        <f>IF('Additional Documents'!B323 = "", "", IF('Additional Documents-WUO_ERR'!A323 = "", "Validated", HYPERLINK("#" &amp; ADDRESS(323, 'Additional Documents-WUO_TRK'!A323),_xlfn.TEXTAFTER('Additional Documents-WUO_ERR'!A323, ":"))))</f>
        <v/>
      </c>
    </row>
    <row r="324">
      <c r="A324" s="38">
        <f>IF('Additional Documents'!B324 = "", "", IF('Additional Documents-WUO_ERR'!A324 = "", "Validated", HYPERLINK("#" &amp; ADDRESS(324, 'Additional Documents-WUO_TRK'!A324),_xlfn.TEXTAFTER('Additional Documents-WUO_ERR'!A324, ":"))))</f>
        <v/>
      </c>
    </row>
    <row r="325">
      <c r="A325" s="38">
        <f>IF('Additional Documents'!B325 = "", "", IF('Additional Documents-WUO_ERR'!A325 = "", "Validated", HYPERLINK("#" &amp; ADDRESS(325, 'Additional Documents-WUO_TRK'!A325),_xlfn.TEXTAFTER('Additional Documents-WUO_ERR'!A325, ":"))))</f>
        <v/>
      </c>
    </row>
    <row r="326">
      <c r="A326" s="38">
        <f>IF('Additional Documents'!B326 = "", "", IF('Additional Documents-WUO_ERR'!A326 = "", "Validated", HYPERLINK("#" &amp; ADDRESS(326, 'Additional Documents-WUO_TRK'!A326),_xlfn.TEXTAFTER('Additional Documents-WUO_ERR'!A326, ":"))))</f>
        <v/>
      </c>
    </row>
    <row r="327">
      <c r="A327" s="38">
        <f>IF('Additional Documents'!B327 = "", "", IF('Additional Documents-WUO_ERR'!A327 = "", "Validated", HYPERLINK("#" &amp; ADDRESS(327, 'Additional Documents-WUO_TRK'!A327),_xlfn.TEXTAFTER('Additional Documents-WUO_ERR'!A327, ":"))))</f>
        <v/>
      </c>
    </row>
    <row r="328">
      <c r="A328" s="38">
        <f>IF('Additional Documents'!B328 = "", "", IF('Additional Documents-WUO_ERR'!A328 = "", "Validated", HYPERLINK("#" &amp; ADDRESS(328, 'Additional Documents-WUO_TRK'!A328),_xlfn.TEXTAFTER('Additional Documents-WUO_ERR'!A328, ":"))))</f>
        <v/>
      </c>
    </row>
    <row r="329">
      <c r="A329" s="38">
        <f>IF('Additional Documents'!B329 = "", "", IF('Additional Documents-WUO_ERR'!A329 = "", "Validated", HYPERLINK("#" &amp; ADDRESS(329, 'Additional Documents-WUO_TRK'!A329),_xlfn.TEXTAFTER('Additional Documents-WUO_ERR'!A329, ":"))))</f>
        <v/>
      </c>
    </row>
    <row r="330">
      <c r="A330" s="38">
        <f>IF('Additional Documents'!B330 = "", "", IF('Additional Documents-WUO_ERR'!A330 = "", "Validated", HYPERLINK("#" &amp; ADDRESS(330, 'Additional Documents-WUO_TRK'!A330),_xlfn.TEXTAFTER('Additional Documents-WUO_ERR'!A330, ":"))))</f>
        <v/>
      </c>
    </row>
    <row r="331">
      <c r="A331" s="38">
        <f>IF('Additional Documents'!B331 = "", "", IF('Additional Documents-WUO_ERR'!A331 = "", "Validated", HYPERLINK("#" &amp; ADDRESS(331, 'Additional Documents-WUO_TRK'!A331),_xlfn.TEXTAFTER('Additional Documents-WUO_ERR'!A331, ":"))))</f>
        <v/>
      </c>
    </row>
    <row r="332">
      <c r="A332" s="38">
        <f>IF('Additional Documents'!B332 = "", "", IF('Additional Documents-WUO_ERR'!A332 = "", "Validated", HYPERLINK("#" &amp; ADDRESS(332, 'Additional Documents-WUO_TRK'!A332),_xlfn.TEXTAFTER('Additional Documents-WUO_ERR'!A332, ":"))))</f>
        <v/>
      </c>
    </row>
    <row r="333">
      <c r="A333" s="38">
        <f>IF('Additional Documents'!B333 = "", "", IF('Additional Documents-WUO_ERR'!A333 = "", "Validated", HYPERLINK("#" &amp; ADDRESS(333, 'Additional Documents-WUO_TRK'!A333),_xlfn.TEXTAFTER('Additional Documents-WUO_ERR'!A333, ":"))))</f>
        <v/>
      </c>
    </row>
    <row r="334">
      <c r="A334" s="38">
        <f>IF('Additional Documents'!B334 = "", "", IF('Additional Documents-WUO_ERR'!A334 = "", "Validated", HYPERLINK("#" &amp; ADDRESS(334, 'Additional Documents-WUO_TRK'!A334),_xlfn.TEXTAFTER('Additional Documents-WUO_ERR'!A334, ":"))))</f>
        <v/>
      </c>
    </row>
    <row r="335">
      <c r="A335" s="38">
        <f>IF('Additional Documents'!B335 = "", "", IF('Additional Documents-WUO_ERR'!A335 = "", "Validated", HYPERLINK("#" &amp; ADDRESS(335, 'Additional Documents-WUO_TRK'!A335),_xlfn.TEXTAFTER('Additional Documents-WUO_ERR'!A335, ":"))))</f>
        <v/>
      </c>
    </row>
    <row r="336">
      <c r="A336" s="38">
        <f>IF('Additional Documents'!B336 = "", "", IF('Additional Documents-WUO_ERR'!A336 = "", "Validated", HYPERLINK("#" &amp; ADDRESS(336, 'Additional Documents-WUO_TRK'!A336),_xlfn.TEXTAFTER('Additional Documents-WUO_ERR'!A336, ":"))))</f>
        <v/>
      </c>
    </row>
    <row r="337">
      <c r="A337" s="38">
        <f>IF('Additional Documents'!B337 = "", "", IF('Additional Documents-WUO_ERR'!A337 = "", "Validated", HYPERLINK("#" &amp; ADDRESS(337, 'Additional Documents-WUO_TRK'!A337),_xlfn.TEXTAFTER('Additional Documents-WUO_ERR'!A337, ":"))))</f>
        <v/>
      </c>
    </row>
    <row r="338">
      <c r="A338" s="38">
        <f>IF('Additional Documents'!B338 = "", "", IF('Additional Documents-WUO_ERR'!A338 = "", "Validated", HYPERLINK("#" &amp; ADDRESS(338, 'Additional Documents-WUO_TRK'!A338),_xlfn.TEXTAFTER('Additional Documents-WUO_ERR'!A338, ":"))))</f>
        <v/>
      </c>
    </row>
    <row r="339">
      <c r="A339" s="38">
        <f>IF('Additional Documents'!B339 = "", "", IF('Additional Documents-WUO_ERR'!A339 = "", "Validated", HYPERLINK("#" &amp; ADDRESS(339, 'Additional Documents-WUO_TRK'!A339),_xlfn.TEXTAFTER('Additional Documents-WUO_ERR'!A339, ":"))))</f>
        <v/>
      </c>
    </row>
    <row r="340">
      <c r="A340" s="38">
        <f>IF('Additional Documents'!B340 = "", "", IF('Additional Documents-WUO_ERR'!A340 = "", "Validated", HYPERLINK("#" &amp; ADDRESS(340, 'Additional Documents-WUO_TRK'!A340),_xlfn.TEXTAFTER('Additional Documents-WUO_ERR'!A340, ":"))))</f>
        <v/>
      </c>
    </row>
    <row r="341">
      <c r="A341" s="38">
        <f>IF('Additional Documents'!B341 = "", "", IF('Additional Documents-WUO_ERR'!A341 = "", "Validated", HYPERLINK("#" &amp; ADDRESS(341, 'Additional Documents-WUO_TRK'!A341),_xlfn.TEXTAFTER('Additional Documents-WUO_ERR'!A341, ":"))))</f>
        <v/>
      </c>
    </row>
    <row r="342">
      <c r="A342" s="38">
        <f>IF('Additional Documents'!B342 = "", "", IF('Additional Documents-WUO_ERR'!A342 = "", "Validated", HYPERLINK("#" &amp; ADDRESS(342, 'Additional Documents-WUO_TRK'!A342),_xlfn.TEXTAFTER('Additional Documents-WUO_ERR'!A342, ":"))))</f>
        <v/>
      </c>
    </row>
    <row r="343">
      <c r="A343" s="38">
        <f>IF('Additional Documents'!B343 = "", "", IF('Additional Documents-WUO_ERR'!A343 = "", "Validated", HYPERLINK("#" &amp; ADDRESS(343, 'Additional Documents-WUO_TRK'!A343),_xlfn.TEXTAFTER('Additional Documents-WUO_ERR'!A343, ":"))))</f>
        <v/>
      </c>
    </row>
    <row r="344">
      <c r="A344" s="38">
        <f>IF('Additional Documents'!B344 = "", "", IF('Additional Documents-WUO_ERR'!A344 = "", "Validated", HYPERLINK("#" &amp; ADDRESS(344, 'Additional Documents-WUO_TRK'!A344),_xlfn.TEXTAFTER('Additional Documents-WUO_ERR'!A344, ":"))))</f>
        <v/>
      </c>
    </row>
    <row r="345">
      <c r="A345" s="38">
        <f>IF('Additional Documents'!B345 = "", "", IF('Additional Documents-WUO_ERR'!A345 = "", "Validated", HYPERLINK("#" &amp; ADDRESS(345, 'Additional Documents-WUO_TRK'!A345),_xlfn.TEXTAFTER('Additional Documents-WUO_ERR'!A345, ":"))))</f>
        <v/>
      </c>
    </row>
    <row r="346">
      <c r="A346" s="38">
        <f>IF('Additional Documents'!B346 = "", "", IF('Additional Documents-WUO_ERR'!A346 = "", "Validated", HYPERLINK("#" &amp; ADDRESS(346, 'Additional Documents-WUO_TRK'!A346),_xlfn.TEXTAFTER('Additional Documents-WUO_ERR'!A346, ":"))))</f>
        <v/>
      </c>
    </row>
    <row r="347">
      <c r="A347" s="38">
        <f>IF('Additional Documents'!B347 = "", "", IF('Additional Documents-WUO_ERR'!A347 = "", "Validated", HYPERLINK("#" &amp; ADDRESS(347, 'Additional Documents-WUO_TRK'!A347),_xlfn.TEXTAFTER('Additional Documents-WUO_ERR'!A347, ":"))))</f>
        <v/>
      </c>
    </row>
    <row r="348">
      <c r="A348" s="38">
        <f>IF('Additional Documents'!B348 = "", "", IF('Additional Documents-WUO_ERR'!A348 = "", "Validated", HYPERLINK("#" &amp; ADDRESS(348, 'Additional Documents-WUO_TRK'!A348),_xlfn.TEXTAFTER('Additional Documents-WUO_ERR'!A348, ":"))))</f>
        <v/>
      </c>
    </row>
    <row r="349">
      <c r="A349" s="38">
        <f>IF('Additional Documents'!B349 = "", "", IF('Additional Documents-WUO_ERR'!A349 = "", "Validated", HYPERLINK("#" &amp; ADDRESS(349, 'Additional Documents-WUO_TRK'!A349),_xlfn.TEXTAFTER('Additional Documents-WUO_ERR'!A349, ":"))))</f>
        <v/>
      </c>
    </row>
    <row r="350">
      <c r="A350" s="38">
        <f>IF('Additional Documents'!B350 = "", "", IF('Additional Documents-WUO_ERR'!A350 = "", "Validated", HYPERLINK("#" &amp; ADDRESS(350, 'Additional Documents-WUO_TRK'!A350),_xlfn.TEXTAFTER('Additional Documents-WUO_ERR'!A350, ":"))))</f>
        <v/>
      </c>
    </row>
    <row r="351">
      <c r="A351" s="38">
        <f>IF('Additional Documents'!B351 = "", "", IF('Additional Documents-WUO_ERR'!A351 = "", "Validated", HYPERLINK("#" &amp; ADDRESS(351, 'Additional Documents-WUO_TRK'!A351),_xlfn.TEXTAFTER('Additional Documents-WUO_ERR'!A351, ":"))))</f>
        <v/>
      </c>
    </row>
    <row r="352">
      <c r="A352" s="38">
        <f>IF('Additional Documents'!B352 = "", "", IF('Additional Documents-WUO_ERR'!A352 = "", "Validated", HYPERLINK("#" &amp; ADDRESS(352, 'Additional Documents-WUO_TRK'!A352),_xlfn.TEXTAFTER('Additional Documents-WUO_ERR'!A352, ":"))))</f>
        <v/>
      </c>
    </row>
    <row r="353">
      <c r="A353" s="38">
        <f>IF('Additional Documents'!B353 = "", "", IF('Additional Documents-WUO_ERR'!A353 = "", "Validated", HYPERLINK("#" &amp; ADDRESS(353, 'Additional Documents-WUO_TRK'!A353),_xlfn.TEXTAFTER('Additional Documents-WUO_ERR'!A353, ":"))))</f>
        <v/>
      </c>
    </row>
    <row r="354">
      <c r="A354" s="38">
        <f>IF('Additional Documents'!B354 = "", "", IF('Additional Documents-WUO_ERR'!A354 = "", "Validated", HYPERLINK("#" &amp; ADDRESS(354, 'Additional Documents-WUO_TRK'!A354),_xlfn.TEXTAFTER('Additional Documents-WUO_ERR'!A354, ":"))))</f>
        <v/>
      </c>
    </row>
    <row r="355">
      <c r="A355" s="38">
        <f>IF('Additional Documents'!B355 = "", "", IF('Additional Documents-WUO_ERR'!A355 = "", "Validated", HYPERLINK("#" &amp; ADDRESS(355, 'Additional Documents-WUO_TRK'!A355),_xlfn.TEXTAFTER('Additional Documents-WUO_ERR'!A355, ":"))))</f>
        <v/>
      </c>
    </row>
    <row r="356">
      <c r="A356" s="38">
        <f>IF('Additional Documents'!B356 = "", "", IF('Additional Documents-WUO_ERR'!A356 = "", "Validated", HYPERLINK("#" &amp; ADDRESS(356, 'Additional Documents-WUO_TRK'!A356),_xlfn.TEXTAFTER('Additional Documents-WUO_ERR'!A356, ":"))))</f>
        <v/>
      </c>
    </row>
    <row r="357">
      <c r="A357" s="38">
        <f>IF('Additional Documents'!B357 = "", "", IF('Additional Documents-WUO_ERR'!A357 = "", "Validated", HYPERLINK("#" &amp; ADDRESS(357, 'Additional Documents-WUO_TRK'!A357),_xlfn.TEXTAFTER('Additional Documents-WUO_ERR'!A357, ":"))))</f>
        <v/>
      </c>
    </row>
    <row r="358">
      <c r="A358" s="38">
        <f>IF('Additional Documents'!B358 = "", "", IF('Additional Documents-WUO_ERR'!A358 = "", "Validated", HYPERLINK("#" &amp; ADDRESS(358, 'Additional Documents-WUO_TRK'!A358),_xlfn.TEXTAFTER('Additional Documents-WUO_ERR'!A358, ":"))))</f>
        <v/>
      </c>
    </row>
    <row r="359">
      <c r="A359" s="38">
        <f>IF('Additional Documents'!B359 = "", "", IF('Additional Documents-WUO_ERR'!A359 = "", "Validated", HYPERLINK("#" &amp; ADDRESS(359, 'Additional Documents-WUO_TRK'!A359),_xlfn.TEXTAFTER('Additional Documents-WUO_ERR'!A359, ":"))))</f>
        <v/>
      </c>
    </row>
    <row r="360">
      <c r="A360" s="38">
        <f>IF('Additional Documents'!B360 = "", "", IF('Additional Documents-WUO_ERR'!A360 = "", "Validated", HYPERLINK("#" &amp; ADDRESS(360, 'Additional Documents-WUO_TRK'!A360),_xlfn.TEXTAFTER('Additional Documents-WUO_ERR'!A360, ":"))))</f>
        <v/>
      </c>
    </row>
    <row r="361">
      <c r="A361" s="38">
        <f>IF('Additional Documents'!B361 = "", "", IF('Additional Documents-WUO_ERR'!A361 = "", "Validated", HYPERLINK("#" &amp; ADDRESS(361, 'Additional Documents-WUO_TRK'!A361),_xlfn.TEXTAFTER('Additional Documents-WUO_ERR'!A361, ":"))))</f>
        <v/>
      </c>
    </row>
    <row r="362">
      <c r="A362" s="38">
        <f>IF('Additional Documents'!B362 = "", "", IF('Additional Documents-WUO_ERR'!A362 = "", "Validated", HYPERLINK("#" &amp; ADDRESS(362, 'Additional Documents-WUO_TRK'!A362),_xlfn.TEXTAFTER('Additional Documents-WUO_ERR'!A362, ":"))))</f>
        <v/>
      </c>
    </row>
    <row r="363">
      <c r="A363" s="38">
        <f>IF('Additional Documents'!B363 = "", "", IF('Additional Documents-WUO_ERR'!A363 = "", "Validated", HYPERLINK("#" &amp; ADDRESS(363, 'Additional Documents-WUO_TRK'!A363),_xlfn.TEXTAFTER('Additional Documents-WUO_ERR'!A363, ":"))))</f>
        <v/>
      </c>
    </row>
    <row r="364">
      <c r="A364" s="38">
        <f>IF('Additional Documents'!B364 = "", "", IF('Additional Documents-WUO_ERR'!A364 = "", "Validated", HYPERLINK("#" &amp; ADDRESS(364, 'Additional Documents-WUO_TRK'!A364),_xlfn.TEXTAFTER('Additional Documents-WUO_ERR'!A364, ":"))))</f>
        <v/>
      </c>
    </row>
    <row r="365">
      <c r="A365" s="38">
        <f>IF('Additional Documents'!B365 = "", "", IF('Additional Documents-WUO_ERR'!A365 = "", "Validated", HYPERLINK("#" &amp; ADDRESS(365, 'Additional Documents-WUO_TRK'!A365),_xlfn.TEXTAFTER('Additional Documents-WUO_ERR'!A365, ":"))))</f>
        <v/>
      </c>
    </row>
    <row r="366">
      <c r="A366" s="38">
        <f>IF('Additional Documents'!B366 = "", "", IF('Additional Documents-WUO_ERR'!A366 = "", "Validated", HYPERLINK("#" &amp; ADDRESS(366, 'Additional Documents-WUO_TRK'!A366),_xlfn.TEXTAFTER('Additional Documents-WUO_ERR'!A366, ":"))))</f>
        <v/>
      </c>
    </row>
    <row r="367">
      <c r="A367" s="38">
        <f>IF('Additional Documents'!B367 = "", "", IF('Additional Documents-WUO_ERR'!A367 = "", "Validated", HYPERLINK("#" &amp; ADDRESS(367, 'Additional Documents-WUO_TRK'!A367),_xlfn.TEXTAFTER('Additional Documents-WUO_ERR'!A367, ":"))))</f>
        <v/>
      </c>
    </row>
    <row r="368">
      <c r="A368" s="38">
        <f>IF('Additional Documents'!B368 = "", "", IF('Additional Documents-WUO_ERR'!A368 = "", "Validated", HYPERLINK("#" &amp; ADDRESS(368, 'Additional Documents-WUO_TRK'!A368),_xlfn.TEXTAFTER('Additional Documents-WUO_ERR'!A368, ":"))))</f>
        <v/>
      </c>
    </row>
    <row r="369">
      <c r="A369" s="38">
        <f>IF('Additional Documents'!B369 = "", "", IF('Additional Documents-WUO_ERR'!A369 = "", "Validated", HYPERLINK("#" &amp; ADDRESS(369, 'Additional Documents-WUO_TRK'!A369),_xlfn.TEXTAFTER('Additional Documents-WUO_ERR'!A369, ":"))))</f>
        <v/>
      </c>
    </row>
    <row r="370">
      <c r="A370" s="38">
        <f>IF('Additional Documents'!B370 = "", "", IF('Additional Documents-WUO_ERR'!A370 = "", "Validated", HYPERLINK("#" &amp; ADDRESS(370, 'Additional Documents-WUO_TRK'!A370),_xlfn.TEXTAFTER('Additional Documents-WUO_ERR'!A370, ":"))))</f>
        <v/>
      </c>
    </row>
    <row r="371">
      <c r="A371" s="38">
        <f>IF('Additional Documents'!B371 = "", "", IF('Additional Documents-WUO_ERR'!A371 = "", "Validated", HYPERLINK("#" &amp; ADDRESS(371, 'Additional Documents-WUO_TRK'!A371),_xlfn.TEXTAFTER('Additional Documents-WUO_ERR'!A371, ":"))))</f>
        <v/>
      </c>
    </row>
    <row r="372">
      <c r="A372" s="38">
        <f>IF('Additional Documents'!B372 = "", "", IF('Additional Documents-WUO_ERR'!A372 = "", "Validated", HYPERLINK("#" &amp; ADDRESS(372, 'Additional Documents-WUO_TRK'!A372),_xlfn.TEXTAFTER('Additional Documents-WUO_ERR'!A372, ":"))))</f>
        <v/>
      </c>
    </row>
    <row r="373">
      <c r="A373" s="38">
        <f>IF('Additional Documents'!B373 = "", "", IF('Additional Documents-WUO_ERR'!A373 = "", "Validated", HYPERLINK("#" &amp; ADDRESS(373, 'Additional Documents-WUO_TRK'!A373),_xlfn.TEXTAFTER('Additional Documents-WUO_ERR'!A373, ":"))))</f>
        <v/>
      </c>
    </row>
    <row r="374">
      <c r="A374" s="38">
        <f>IF('Additional Documents'!B374 = "", "", IF('Additional Documents-WUO_ERR'!A374 = "", "Validated", HYPERLINK("#" &amp; ADDRESS(374, 'Additional Documents-WUO_TRK'!A374),_xlfn.TEXTAFTER('Additional Documents-WUO_ERR'!A374, ":"))))</f>
        <v/>
      </c>
    </row>
    <row r="375">
      <c r="A375" s="38">
        <f>IF('Additional Documents'!B375 = "", "", IF('Additional Documents-WUO_ERR'!A375 = "", "Validated", HYPERLINK("#" &amp; ADDRESS(375, 'Additional Documents-WUO_TRK'!A375),_xlfn.TEXTAFTER('Additional Documents-WUO_ERR'!A375, ":"))))</f>
        <v/>
      </c>
    </row>
    <row r="376">
      <c r="A376" s="38">
        <f>IF('Additional Documents'!B376 = "", "", IF('Additional Documents-WUO_ERR'!A376 = "", "Validated", HYPERLINK("#" &amp; ADDRESS(376, 'Additional Documents-WUO_TRK'!A376),_xlfn.TEXTAFTER('Additional Documents-WUO_ERR'!A376, ":"))))</f>
        <v/>
      </c>
    </row>
    <row r="377">
      <c r="A377" s="38">
        <f>IF('Additional Documents'!B377 = "", "", IF('Additional Documents-WUO_ERR'!A377 = "", "Validated", HYPERLINK("#" &amp; ADDRESS(377, 'Additional Documents-WUO_TRK'!A377),_xlfn.TEXTAFTER('Additional Documents-WUO_ERR'!A377, ":"))))</f>
        <v/>
      </c>
    </row>
    <row r="378">
      <c r="A378" s="38">
        <f>IF('Additional Documents'!B378 = "", "", IF('Additional Documents-WUO_ERR'!A378 = "", "Validated", HYPERLINK("#" &amp; ADDRESS(378, 'Additional Documents-WUO_TRK'!A378),_xlfn.TEXTAFTER('Additional Documents-WUO_ERR'!A378, ":"))))</f>
        <v/>
      </c>
    </row>
    <row r="379">
      <c r="A379" s="38">
        <f>IF('Additional Documents'!B379 = "", "", IF('Additional Documents-WUO_ERR'!A379 = "", "Validated", HYPERLINK("#" &amp; ADDRESS(379, 'Additional Documents-WUO_TRK'!A379),_xlfn.TEXTAFTER('Additional Documents-WUO_ERR'!A379, ":"))))</f>
        <v/>
      </c>
    </row>
    <row r="380">
      <c r="A380" s="38">
        <f>IF('Additional Documents'!B380 = "", "", IF('Additional Documents-WUO_ERR'!A380 = "", "Validated", HYPERLINK("#" &amp; ADDRESS(380, 'Additional Documents-WUO_TRK'!A380),_xlfn.TEXTAFTER('Additional Documents-WUO_ERR'!A380, ":"))))</f>
        <v/>
      </c>
    </row>
    <row r="381">
      <c r="A381" s="38">
        <f>IF('Additional Documents'!B381 = "", "", IF('Additional Documents-WUO_ERR'!A381 = "", "Validated", HYPERLINK("#" &amp; ADDRESS(381, 'Additional Documents-WUO_TRK'!A381),_xlfn.TEXTAFTER('Additional Documents-WUO_ERR'!A381, ":"))))</f>
        <v/>
      </c>
    </row>
    <row r="382">
      <c r="A382" s="38">
        <f>IF('Additional Documents'!B382 = "", "", IF('Additional Documents-WUO_ERR'!A382 = "", "Validated", HYPERLINK("#" &amp; ADDRESS(382, 'Additional Documents-WUO_TRK'!A382),_xlfn.TEXTAFTER('Additional Documents-WUO_ERR'!A382, ":"))))</f>
        <v/>
      </c>
    </row>
    <row r="383">
      <c r="A383" s="38">
        <f>IF('Additional Documents'!B383 = "", "", IF('Additional Documents-WUO_ERR'!A383 = "", "Validated", HYPERLINK("#" &amp; ADDRESS(383, 'Additional Documents-WUO_TRK'!A383),_xlfn.TEXTAFTER('Additional Documents-WUO_ERR'!A383, ":"))))</f>
        <v/>
      </c>
    </row>
    <row r="384">
      <c r="A384" s="38">
        <f>IF('Additional Documents'!B384 = "", "", IF('Additional Documents-WUO_ERR'!A384 = "", "Validated", HYPERLINK("#" &amp; ADDRESS(384, 'Additional Documents-WUO_TRK'!A384),_xlfn.TEXTAFTER('Additional Documents-WUO_ERR'!A384, ":"))))</f>
        <v/>
      </c>
    </row>
    <row r="385">
      <c r="A385" s="38">
        <f>IF('Additional Documents'!B385 = "", "", IF('Additional Documents-WUO_ERR'!A385 = "", "Validated", HYPERLINK("#" &amp; ADDRESS(385, 'Additional Documents-WUO_TRK'!A385),_xlfn.TEXTAFTER('Additional Documents-WUO_ERR'!A385, ":"))))</f>
        <v/>
      </c>
    </row>
    <row r="386">
      <c r="A386" s="38">
        <f>IF('Additional Documents'!B386 = "", "", IF('Additional Documents-WUO_ERR'!A386 = "", "Validated", HYPERLINK("#" &amp; ADDRESS(386, 'Additional Documents-WUO_TRK'!A386),_xlfn.TEXTAFTER('Additional Documents-WUO_ERR'!A386, ":"))))</f>
        <v/>
      </c>
    </row>
    <row r="387">
      <c r="A387" s="38">
        <f>IF('Additional Documents'!B387 = "", "", IF('Additional Documents-WUO_ERR'!A387 = "", "Validated", HYPERLINK("#" &amp; ADDRESS(387, 'Additional Documents-WUO_TRK'!A387),_xlfn.TEXTAFTER('Additional Documents-WUO_ERR'!A387, ":"))))</f>
        <v/>
      </c>
    </row>
    <row r="388">
      <c r="A388" s="38">
        <f>IF('Additional Documents'!B388 = "", "", IF('Additional Documents-WUO_ERR'!A388 = "", "Validated", HYPERLINK("#" &amp; ADDRESS(388, 'Additional Documents-WUO_TRK'!A388),_xlfn.TEXTAFTER('Additional Documents-WUO_ERR'!A388, ":"))))</f>
        <v/>
      </c>
    </row>
    <row r="389">
      <c r="A389" s="38">
        <f>IF('Additional Documents'!B389 = "", "", IF('Additional Documents-WUO_ERR'!A389 = "", "Validated", HYPERLINK("#" &amp; ADDRESS(389, 'Additional Documents-WUO_TRK'!A389),_xlfn.TEXTAFTER('Additional Documents-WUO_ERR'!A389, ":"))))</f>
        <v/>
      </c>
    </row>
    <row r="390">
      <c r="A390" s="38">
        <f>IF('Additional Documents'!B390 = "", "", IF('Additional Documents-WUO_ERR'!A390 = "", "Validated", HYPERLINK("#" &amp; ADDRESS(390, 'Additional Documents-WUO_TRK'!A390),_xlfn.TEXTAFTER('Additional Documents-WUO_ERR'!A390, ":"))))</f>
        <v/>
      </c>
    </row>
    <row r="391">
      <c r="A391" s="38">
        <f>IF('Additional Documents'!B391 = "", "", IF('Additional Documents-WUO_ERR'!A391 = "", "Validated", HYPERLINK("#" &amp; ADDRESS(391, 'Additional Documents-WUO_TRK'!A391),_xlfn.TEXTAFTER('Additional Documents-WUO_ERR'!A391, ":"))))</f>
        <v/>
      </c>
    </row>
    <row r="392">
      <c r="A392" s="38">
        <f>IF('Additional Documents'!B392 = "", "", IF('Additional Documents-WUO_ERR'!A392 = "", "Validated", HYPERLINK("#" &amp; ADDRESS(392, 'Additional Documents-WUO_TRK'!A392),_xlfn.TEXTAFTER('Additional Documents-WUO_ERR'!A392, ":"))))</f>
        <v/>
      </c>
    </row>
    <row r="393">
      <c r="A393" s="38">
        <f>IF('Additional Documents'!B393 = "", "", IF('Additional Documents-WUO_ERR'!A393 = "", "Validated", HYPERLINK("#" &amp; ADDRESS(393, 'Additional Documents-WUO_TRK'!A393),_xlfn.TEXTAFTER('Additional Documents-WUO_ERR'!A393, ":"))))</f>
        <v/>
      </c>
    </row>
    <row r="394">
      <c r="A394" s="38">
        <f>IF('Additional Documents'!B394 = "", "", IF('Additional Documents-WUO_ERR'!A394 = "", "Validated", HYPERLINK("#" &amp; ADDRESS(394, 'Additional Documents-WUO_TRK'!A394),_xlfn.TEXTAFTER('Additional Documents-WUO_ERR'!A394, ":"))))</f>
        <v/>
      </c>
    </row>
    <row r="395">
      <c r="A395" s="38">
        <f>IF('Additional Documents'!B395 = "", "", IF('Additional Documents-WUO_ERR'!A395 = "", "Validated", HYPERLINK("#" &amp; ADDRESS(395, 'Additional Documents-WUO_TRK'!A395),_xlfn.TEXTAFTER('Additional Documents-WUO_ERR'!A395, ":"))))</f>
        <v/>
      </c>
    </row>
    <row r="396">
      <c r="A396" s="38">
        <f>IF('Additional Documents'!B396 = "", "", IF('Additional Documents-WUO_ERR'!A396 = "", "Validated", HYPERLINK("#" &amp; ADDRESS(396, 'Additional Documents-WUO_TRK'!A396),_xlfn.TEXTAFTER('Additional Documents-WUO_ERR'!A396, ":"))))</f>
        <v/>
      </c>
    </row>
    <row r="397">
      <c r="A397" s="38">
        <f>IF('Additional Documents'!B397 = "", "", IF('Additional Documents-WUO_ERR'!A397 = "", "Validated", HYPERLINK("#" &amp; ADDRESS(397, 'Additional Documents-WUO_TRK'!A397),_xlfn.TEXTAFTER('Additional Documents-WUO_ERR'!A397, ":"))))</f>
        <v/>
      </c>
    </row>
    <row r="398">
      <c r="A398" s="38">
        <f>IF('Additional Documents'!B398 = "", "", IF('Additional Documents-WUO_ERR'!A398 = "", "Validated", HYPERLINK("#" &amp; ADDRESS(398, 'Additional Documents-WUO_TRK'!A398),_xlfn.TEXTAFTER('Additional Documents-WUO_ERR'!A398, ":"))))</f>
        <v/>
      </c>
    </row>
    <row r="399">
      <c r="A399" s="38">
        <f>IF('Additional Documents'!B399 = "", "", IF('Additional Documents-WUO_ERR'!A399 = "", "Validated", HYPERLINK("#" &amp; ADDRESS(399, 'Additional Documents-WUO_TRK'!A399),_xlfn.TEXTAFTER('Additional Documents-WUO_ERR'!A399, ":"))))</f>
        <v/>
      </c>
    </row>
    <row r="400">
      <c r="A400" s="38">
        <f>IF('Additional Documents'!B400 = "", "", IF('Additional Documents-WUO_ERR'!A400 = "", "Validated", HYPERLINK("#" &amp; ADDRESS(400, 'Additional Documents-WUO_TRK'!A400),_xlfn.TEXTAFTER('Additional Documents-WUO_ERR'!A400, ":"))))</f>
        <v/>
      </c>
    </row>
    <row r="401">
      <c r="A401" s="38">
        <f>IF('Additional Documents'!B401 = "", "", IF('Additional Documents-WUO_ERR'!A401 = "", "Validated", HYPERLINK("#" &amp; ADDRESS(401, 'Additional Documents-WUO_TRK'!A401),_xlfn.TEXTAFTER('Additional Documents-WUO_ERR'!A401, ":"))))</f>
        <v/>
      </c>
    </row>
    <row r="402">
      <c r="A402" s="38">
        <f>IF('Additional Documents'!B402 = "", "", IF('Additional Documents-WUO_ERR'!A402 = "", "Validated", HYPERLINK("#" &amp; ADDRESS(402, 'Additional Documents-WUO_TRK'!A402),_xlfn.TEXTAFTER('Additional Documents-WUO_ERR'!A402, ":"))))</f>
        <v/>
      </c>
    </row>
    <row r="403">
      <c r="A403" s="38">
        <f>IF('Additional Documents'!B403 = "", "", IF('Additional Documents-WUO_ERR'!A403 = "", "Validated", HYPERLINK("#" &amp; ADDRESS(403, 'Additional Documents-WUO_TRK'!A403),_xlfn.TEXTAFTER('Additional Documents-WUO_ERR'!A403, ":"))))</f>
        <v/>
      </c>
    </row>
    <row r="404">
      <c r="A404" s="38">
        <f>IF('Additional Documents'!B404 = "", "", IF('Additional Documents-WUO_ERR'!A404 = "", "Validated", HYPERLINK("#" &amp; ADDRESS(404, 'Additional Documents-WUO_TRK'!A404),_xlfn.TEXTAFTER('Additional Documents-WUO_ERR'!A404, ":"))))</f>
        <v/>
      </c>
    </row>
    <row r="405">
      <c r="A405" s="38">
        <f>IF('Additional Documents'!B405 = "", "", IF('Additional Documents-WUO_ERR'!A405 = "", "Validated", HYPERLINK("#" &amp; ADDRESS(405, 'Additional Documents-WUO_TRK'!A405),_xlfn.TEXTAFTER('Additional Documents-WUO_ERR'!A405, ":"))))</f>
        <v/>
      </c>
    </row>
    <row r="406">
      <c r="A406" s="38">
        <f>IF('Additional Documents'!B406 = "", "", IF('Additional Documents-WUO_ERR'!A406 = "", "Validated", HYPERLINK("#" &amp; ADDRESS(406, 'Additional Documents-WUO_TRK'!A406),_xlfn.TEXTAFTER('Additional Documents-WUO_ERR'!A406, ":"))))</f>
        <v/>
      </c>
    </row>
    <row r="407">
      <c r="A407" s="38">
        <f>IF('Additional Documents'!B407 = "", "", IF('Additional Documents-WUO_ERR'!A407 = "", "Validated", HYPERLINK("#" &amp; ADDRESS(407, 'Additional Documents-WUO_TRK'!A407),_xlfn.TEXTAFTER('Additional Documents-WUO_ERR'!A407, ":"))))</f>
        <v/>
      </c>
    </row>
    <row r="408">
      <c r="A408" s="38">
        <f>IF('Additional Documents'!B408 = "", "", IF('Additional Documents-WUO_ERR'!A408 = "", "Validated", HYPERLINK("#" &amp; ADDRESS(408, 'Additional Documents-WUO_TRK'!A408),_xlfn.TEXTAFTER('Additional Documents-WUO_ERR'!A408, ":"))))</f>
        <v/>
      </c>
    </row>
    <row r="409">
      <c r="A409" s="38">
        <f>IF('Additional Documents'!B409 = "", "", IF('Additional Documents-WUO_ERR'!A409 = "", "Validated", HYPERLINK("#" &amp; ADDRESS(409, 'Additional Documents-WUO_TRK'!A409),_xlfn.TEXTAFTER('Additional Documents-WUO_ERR'!A409, ":"))))</f>
        <v/>
      </c>
    </row>
    <row r="410">
      <c r="A410" s="38">
        <f>IF('Additional Documents'!B410 = "", "", IF('Additional Documents-WUO_ERR'!A410 = "", "Validated", HYPERLINK("#" &amp; ADDRESS(410, 'Additional Documents-WUO_TRK'!A410),_xlfn.TEXTAFTER('Additional Documents-WUO_ERR'!A410, ":"))))</f>
        <v/>
      </c>
    </row>
    <row r="411">
      <c r="A411" s="38">
        <f>IF('Additional Documents'!B411 = "", "", IF('Additional Documents-WUO_ERR'!A411 = "", "Validated", HYPERLINK("#" &amp; ADDRESS(411, 'Additional Documents-WUO_TRK'!A411),_xlfn.TEXTAFTER('Additional Documents-WUO_ERR'!A411, ":"))))</f>
        <v/>
      </c>
    </row>
    <row r="412">
      <c r="A412" s="38">
        <f>IF('Additional Documents'!B412 = "", "", IF('Additional Documents-WUO_ERR'!A412 = "", "Validated", HYPERLINK("#" &amp; ADDRESS(412, 'Additional Documents-WUO_TRK'!A412),_xlfn.TEXTAFTER('Additional Documents-WUO_ERR'!A412, ":"))))</f>
        <v/>
      </c>
    </row>
    <row r="413">
      <c r="A413" s="38">
        <f>IF('Additional Documents'!B413 = "", "", IF('Additional Documents-WUO_ERR'!A413 = "", "Validated", HYPERLINK("#" &amp; ADDRESS(413, 'Additional Documents-WUO_TRK'!A413),_xlfn.TEXTAFTER('Additional Documents-WUO_ERR'!A413, ":"))))</f>
        <v/>
      </c>
    </row>
    <row r="414">
      <c r="A414" s="38">
        <f>IF('Additional Documents'!B414 = "", "", IF('Additional Documents-WUO_ERR'!A414 = "", "Validated", HYPERLINK("#" &amp; ADDRESS(414, 'Additional Documents-WUO_TRK'!A414),_xlfn.TEXTAFTER('Additional Documents-WUO_ERR'!A414, ":"))))</f>
        <v/>
      </c>
    </row>
    <row r="415">
      <c r="A415" s="38">
        <f>IF('Additional Documents'!B415 = "", "", IF('Additional Documents-WUO_ERR'!A415 = "", "Validated", HYPERLINK("#" &amp; ADDRESS(415, 'Additional Documents-WUO_TRK'!A415),_xlfn.TEXTAFTER('Additional Documents-WUO_ERR'!A415, ":"))))</f>
        <v/>
      </c>
    </row>
    <row r="416">
      <c r="A416" s="38">
        <f>IF('Additional Documents'!B416 = "", "", IF('Additional Documents-WUO_ERR'!A416 = "", "Validated", HYPERLINK("#" &amp; ADDRESS(416, 'Additional Documents-WUO_TRK'!A416),_xlfn.TEXTAFTER('Additional Documents-WUO_ERR'!A416, ":"))))</f>
        <v/>
      </c>
    </row>
    <row r="417">
      <c r="A417" s="38">
        <f>IF('Additional Documents'!B417 = "", "", IF('Additional Documents-WUO_ERR'!A417 = "", "Validated", HYPERLINK("#" &amp; ADDRESS(417, 'Additional Documents-WUO_TRK'!A417),_xlfn.TEXTAFTER('Additional Documents-WUO_ERR'!A417, ":"))))</f>
        <v/>
      </c>
    </row>
    <row r="418">
      <c r="A418" s="38">
        <f>IF('Additional Documents'!B418 = "", "", IF('Additional Documents-WUO_ERR'!A418 = "", "Validated", HYPERLINK("#" &amp; ADDRESS(418, 'Additional Documents-WUO_TRK'!A418),_xlfn.TEXTAFTER('Additional Documents-WUO_ERR'!A418, ":"))))</f>
        <v/>
      </c>
    </row>
    <row r="419">
      <c r="A419" s="38">
        <f>IF('Additional Documents'!B419 = "", "", IF('Additional Documents-WUO_ERR'!A419 = "", "Validated", HYPERLINK("#" &amp; ADDRESS(419, 'Additional Documents-WUO_TRK'!A419),_xlfn.TEXTAFTER('Additional Documents-WUO_ERR'!A419, ":"))))</f>
        <v/>
      </c>
    </row>
    <row r="420">
      <c r="A420" s="38">
        <f>IF('Additional Documents'!B420 = "", "", IF('Additional Documents-WUO_ERR'!A420 = "", "Validated", HYPERLINK("#" &amp; ADDRESS(420, 'Additional Documents-WUO_TRK'!A420),_xlfn.TEXTAFTER('Additional Documents-WUO_ERR'!A420, ":"))))</f>
        <v/>
      </c>
    </row>
    <row r="421">
      <c r="A421" s="38">
        <f>IF('Additional Documents'!B421 = "", "", IF('Additional Documents-WUO_ERR'!A421 = "", "Validated", HYPERLINK("#" &amp; ADDRESS(421, 'Additional Documents-WUO_TRK'!A421),_xlfn.TEXTAFTER('Additional Documents-WUO_ERR'!A421, ":"))))</f>
        <v/>
      </c>
    </row>
    <row r="422">
      <c r="A422" s="38">
        <f>IF('Additional Documents'!B422 = "", "", IF('Additional Documents-WUO_ERR'!A422 = "", "Validated", HYPERLINK("#" &amp; ADDRESS(422, 'Additional Documents-WUO_TRK'!A422),_xlfn.TEXTAFTER('Additional Documents-WUO_ERR'!A422, ":"))))</f>
        <v/>
      </c>
    </row>
    <row r="423">
      <c r="A423" s="38">
        <f>IF('Additional Documents'!B423 = "", "", IF('Additional Documents-WUO_ERR'!A423 = "", "Validated", HYPERLINK("#" &amp; ADDRESS(423, 'Additional Documents-WUO_TRK'!A423),_xlfn.TEXTAFTER('Additional Documents-WUO_ERR'!A423, ":"))))</f>
        <v/>
      </c>
    </row>
    <row r="424">
      <c r="A424" s="38">
        <f>IF('Additional Documents'!B424 = "", "", IF('Additional Documents-WUO_ERR'!A424 = "", "Validated", HYPERLINK("#" &amp; ADDRESS(424, 'Additional Documents-WUO_TRK'!A424),_xlfn.TEXTAFTER('Additional Documents-WUO_ERR'!A424, ":"))))</f>
        <v/>
      </c>
    </row>
    <row r="425">
      <c r="A425" s="38">
        <f>IF('Additional Documents'!B425 = "", "", IF('Additional Documents-WUO_ERR'!A425 = "", "Validated", HYPERLINK("#" &amp; ADDRESS(425, 'Additional Documents-WUO_TRK'!A425),_xlfn.TEXTAFTER('Additional Documents-WUO_ERR'!A425, ":"))))</f>
        <v/>
      </c>
    </row>
    <row r="426">
      <c r="A426" s="38">
        <f>IF('Additional Documents'!B426 = "", "", IF('Additional Documents-WUO_ERR'!A426 = "", "Validated", HYPERLINK("#" &amp; ADDRESS(426, 'Additional Documents-WUO_TRK'!A426),_xlfn.TEXTAFTER('Additional Documents-WUO_ERR'!A426, ":"))))</f>
        <v/>
      </c>
    </row>
    <row r="427">
      <c r="A427" s="38">
        <f>IF('Additional Documents'!B427 = "", "", IF('Additional Documents-WUO_ERR'!A427 = "", "Validated", HYPERLINK("#" &amp; ADDRESS(427, 'Additional Documents-WUO_TRK'!A427),_xlfn.TEXTAFTER('Additional Documents-WUO_ERR'!A427, ":"))))</f>
        <v/>
      </c>
    </row>
    <row r="428">
      <c r="A428" s="38">
        <f>IF('Additional Documents'!B428 = "", "", IF('Additional Documents-WUO_ERR'!A428 = "", "Validated", HYPERLINK("#" &amp; ADDRESS(428, 'Additional Documents-WUO_TRK'!A428),_xlfn.TEXTAFTER('Additional Documents-WUO_ERR'!A428, ":"))))</f>
        <v/>
      </c>
    </row>
    <row r="429">
      <c r="A429" s="38">
        <f>IF('Additional Documents'!B429 = "", "", IF('Additional Documents-WUO_ERR'!A429 = "", "Validated", HYPERLINK("#" &amp; ADDRESS(429, 'Additional Documents-WUO_TRK'!A429),_xlfn.TEXTAFTER('Additional Documents-WUO_ERR'!A429, ":"))))</f>
        <v/>
      </c>
    </row>
    <row r="430">
      <c r="A430" s="38">
        <f>IF('Additional Documents'!B430 = "", "", IF('Additional Documents-WUO_ERR'!A430 = "", "Validated", HYPERLINK("#" &amp; ADDRESS(430, 'Additional Documents-WUO_TRK'!A430),_xlfn.TEXTAFTER('Additional Documents-WUO_ERR'!A430, ":"))))</f>
        <v/>
      </c>
    </row>
    <row r="431">
      <c r="A431" s="38">
        <f>IF('Additional Documents'!B431 = "", "", IF('Additional Documents-WUO_ERR'!A431 = "", "Validated", HYPERLINK("#" &amp; ADDRESS(431, 'Additional Documents-WUO_TRK'!A431),_xlfn.TEXTAFTER('Additional Documents-WUO_ERR'!A431, ":"))))</f>
        <v/>
      </c>
    </row>
    <row r="432">
      <c r="A432" s="38">
        <f>IF('Additional Documents'!B432 = "", "", IF('Additional Documents-WUO_ERR'!A432 = "", "Validated", HYPERLINK("#" &amp; ADDRESS(432, 'Additional Documents-WUO_TRK'!A432),_xlfn.TEXTAFTER('Additional Documents-WUO_ERR'!A432, ":"))))</f>
        <v/>
      </c>
    </row>
    <row r="433">
      <c r="A433" s="38">
        <f>IF('Additional Documents'!B433 = "", "", IF('Additional Documents-WUO_ERR'!A433 = "", "Validated", HYPERLINK("#" &amp; ADDRESS(433, 'Additional Documents-WUO_TRK'!A433),_xlfn.TEXTAFTER('Additional Documents-WUO_ERR'!A433, ":"))))</f>
        <v/>
      </c>
    </row>
    <row r="434">
      <c r="A434" s="38">
        <f>IF('Additional Documents'!B434 = "", "", IF('Additional Documents-WUO_ERR'!A434 = "", "Validated", HYPERLINK("#" &amp; ADDRESS(434, 'Additional Documents-WUO_TRK'!A434),_xlfn.TEXTAFTER('Additional Documents-WUO_ERR'!A434, ":"))))</f>
        <v/>
      </c>
    </row>
    <row r="435">
      <c r="A435" s="38">
        <f>IF('Additional Documents'!B435 = "", "", IF('Additional Documents-WUO_ERR'!A435 = "", "Validated", HYPERLINK("#" &amp; ADDRESS(435, 'Additional Documents-WUO_TRK'!A435),_xlfn.TEXTAFTER('Additional Documents-WUO_ERR'!A435, ":"))))</f>
        <v/>
      </c>
    </row>
    <row r="436">
      <c r="A436" s="38">
        <f>IF('Additional Documents'!B436 = "", "", IF('Additional Documents-WUO_ERR'!A436 = "", "Validated", HYPERLINK("#" &amp; ADDRESS(436, 'Additional Documents-WUO_TRK'!A436),_xlfn.TEXTAFTER('Additional Documents-WUO_ERR'!A436, ":"))))</f>
        <v/>
      </c>
    </row>
    <row r="437">
      <c r="A437" s="38">
        <f>IF('Additional Documents'!B437 = "", "", IF('Additional Documents-WUO_ERR'!A437 = "", "Validated", HYPERLINK("#" &amp; ADDRESS(437, 'Additional Documents-WUO_TRK'!A437),_xlfn.TEXTAFTER('Additional Documents-WUO_ERR'!A437, ":"))))</f>
        <v/>
      </c>
    </row>
    <row r="438">
      <c r="A438" s="38">
        <f>IF('Additional Documents'!B438 = "", "", IF('Additional Documents-WUO_ERR'!A438 = "", "Validated", HYPERLINK("#" &amp; ADDRESS(438, 'Additional Documents-WUO_TRK'!A438),_xlfn.TEXTAFTER('Additional Documents-WUO_ERR'!A438, ":"))))</f>
        <v/>
      </c>
    </row>
    <row r="439">
      <c r="A439" s="38">
        <f>IF('Additional Documents'!B439 = "", "", IF('Additional Documents-WUO_ERR'!A439 = "", "Validated", HYPERLINK("#" &amp; ADDRESS(439, 'Additional Documents-WUO_TRK'!A439),_xlfn.TEXTAFTER('Additional Documents-WUO_ERR'!A439, ":"))))</f>
        <v/>
      </c>
    </row>
    <row r="440">
      <c r="A440" s="38">
        <f>IF('Additional Documents'!B440 = "", "", IF('Additional Documents-WUO_ERR'!A440 = "", "Validated", HYPERLINK("#" &amp; ADDRESS(440, 'Additional Documents-WUO_TRK'!A440),_xlfn.TEXTAFTER('Additional Documents-WUO_ERR'!A440, ":"))))</f>
        <v/>
      </c>
    </row>
    <row r="441">
      <c r="A441" s="38">
        <f>IF('Additional Documents'!B441 = "", "", IF('Additional Documents-WUO_ERR'!A441 = "", "Validated", HYPERLINK("#" &amp; ADDRESS(441, 'Additional Documents-WUO_TRK'!A441),_xlfn.TEXTAFTER('Additional Documents-WUO_ERR'!A441, ":"))))</f>
        <v/>
      </c>
    </row>
    <row r="442">
      <c r="A442" s="38">
        <f>IF('Additional Documents'!B442 = "", "", IF('Additional Documents-WUO_ERR'!A442 = "", "Validated", HYPERLINK("#" &amp; ADDRESS(442, 'Additional Documents-WUO_TRK'!A442),_xlfn.TEXTAFTER('Additional Documents-WUO_ERR'!A442, ":"))))</f>
        <v/>
      </c>
    </row>
    <row r="443">
      <c r="A443" s="38">
        <f>IF('Additional Documents'!B443 = "", "", IF('Additional Documents-WUO_ERR'!A443 = "", "Validated", HYPERLINK("#" &amp; ADDRESS(443, 'Additional Documents-WUO_TRK'!A443),_xlfn.TEXTAFTER('Additional Documents-WUO_ERR'!A443, ":"))))</f>
        <v/>
      </c>
    </row>
    <row r="444">
      <c r="A444" s="38">
        <f>IF('Additional Documents'!B444 = "", "", IF('Additional Documents-WUO_ERR'!A444 = "", "Validated", HYPERLINK("#" &amp; ADDRESS(444, 'Additional Documents-WUO_TRK'!A444),_xlfn.TEXTAFTER('Additional Documents-WUO_ERR'!A444, ":"))))</f>
        <v/>
      </c>
    </row>
    <row r="445">
      <c r="A445" s="38">
        <f>IF('Additional Documents'!B445 = "", "", IF('Additional Documents-WUO_ERR'!A445 = "", "Validated", HYPERLINK("#" &amp; ADDRESS(445, 'Additional Documents-WUO_TRK'!A445),_xlfn.TEXTAFTER('Additional Documents-WUO_ERR'!A445, ":"))))</f>
        <v/>
      </c>
    </row>
    <row r="446">
      <c r="A446" s="38">
        <f>IF('Additional Documents'!B446 = "", "", IF('Additional Documents-WUO_ERR'!A446 = "", "Validated", HYPERLINK("#" &amp; ADDRESS(446, 'Additional Documents-WUO_TRK'!A446),_xlfn.TEXTAFTER('Additional Documents-WUO_ERR'!A446, ":"))))</f>
        <v/>
      </c>
    </row>
    <row r="447">
      <c r="A447" s="38">
        <f>IF('Additional Documents'!B447 = "", "", IF('Additional Documents-WUO_ERR'!A447 = "", "Validated", HYPERLINK("#" &amp; ADDRESS(447, 'Additional Documents-WUO_TRK'!A447),_xlfn.TEXTAFTER('Additional Documents-WUO_ERR'!A447, ":"))))</f>
        <v/>
      </c>
    </row>
    <row r="448">
      <c r="A448" s="38">
        <f>IF('Additional Documents'!B448 = "", "", IF('Additional Documents-WUO_ERR'!A448 = "", "Validated", HYPERLINK("#" &amp; ADDRESS(448, 'Additional Documents-WUO_TRK'!A448),_xlfn.TEXTAFTER('Additional Documents-WUO_ERR'!A448, ":"))))</f>
        <v/>
      </c>
    </row>
    <row r="449">
      <c r="A449" s="38">
        <f>IF('Additional Documents'!B449 = "", "", IF('Additional Documents-WUO_ERR'!A449 = "", "Validated", HYPERLINK("#" &amp; ADDRESS(449, 'Additional Documents-WUO_TRK'!A449),_xlfn.TEXTAFTER('Additional Documents-WUO_ERR'!A449, ":"))))</f>
        <v/>
      </c>
    </row>
    <row r="450">
      <c r="A450" s="38">
        <f>IF('Additional Documents'!B450 = "", "", IF('Additional Documents-WUO_ERR'!A450 = "", "Validated", HYPERLINK("#" &amp; ADDRESS(450, 'Additional Documents-WUO_TRK'!A450),_xlfn.TEXTAFTER('Additional Documents-WUO_ERR'!A450, ":"))))</f>
        <v/>
      </c>
    </row>
    <row r="451">
      <c r="A451" s="38">
        <f>IF('Additional Documents'!B451 = "", "", IF('Additional Documents-WUO_ERR'!A451 = "", "Validated", HYPERLINK("#" &amp; ADDRESS(451, 'Additional Documents-WUO_TRK'!A451),_xlfn.TEXTAFTER('Additional Documents-WUO_ERR'!A451, ":"))))</f>
        <v/>
      </c>
    </row>
    <row r="452">
      <c r="A452" s="38">
        <f>IF('Additional Documents'!B452 = "", "", IF('Additional Documents-WUO_ERR'!A452 = "", "Validated", HYPERLINK("#" &amp; ADDRESS(452, 'Additional Documents-WUO_TRK'!A452),_xlfn.TEXTAFTER('Additional Documents-WUO_ERR'!A452, ":"))))</f>
        <v/>
      </c>
    </row>
    <row r="453">
      <c r="A453" s="38">
        <f>IF('Additional Documents'!B453 = "", "", IF('Additional Documents-WUO_ERR'!A453 = "", "Validated", HYPERLINK("#" &amp; ADDRESS(453, 'Additional Documents-WUO_TRK'!A453),_xlfn.TEXTAFTER('Additional Documents-WUO_ERR'!A453, ":"))))</f>
        <v/>
      </c>
    </row>
    <row r="454">
      <c r="A454" s="38">
        <f>IF('Additional Documents'!B454 = "", "", IF('Additional Documents-WUO_ERR'!A454 = "", "Validated", HYPERLINK("#" &amp; ADDRESS(454, 'Additional Documents-WUO_TRK'!A454),_xlfn.TEXTAFTER('Additional Documents-WUO_ERR'!A454, ":"))))</f>
        <v/>
      </c>
    </row>
    <row r="455">
      <c r="A455" s="38">
        <f>IF('Additional Documents'!B455 = "", "", IF('Additional Documents-WUO_ERR'!A455 = "", "Validated", HYPERLINK("#" &amp; ADDRESS(455, 'Additional Documents-WUO_TRK'!A455),_xlfn.TEXTAFTER('Additional Documents-WUO_ERR'!A455, ":"))))</f>
        <v/>
      </c>
    </row>
    <row r="456">
      <c r="A456" s="38">
        <f>IF('Additional Documents'!B456 = "", "", IF('Additional Documents-WUO_ERR'!A456 = "", "Validated", HYPERLINK("#" &amp; ADDRESS(456, 'Additional Documents-WUO_TRK'!A456),_xlfn.TEXTAFTER('Additional Documents-WUO_ERR'!A456, ":"))))</f>
        <v/>
      </c>
    </row>
    <row r="457">
      <c r="A457" s="38">
        <f>IF('Additional Documents'!B457 = "", "", IF('Additional Documents-WUO_ERR'!A457 = "", "Validated", HYPERLINK("#" &amp; ADDRESS(457, 'Additional Documents-WUO_TRK'!A457),_xlfn.TEXTAFTER('Additional Documents-WUO_ERR'!A457, ":"))))</f>
        <v/>
      </c>
    </row>
    <row r="458">
      <c r="A458" s="38">
        <f>IF('Additional Documents'!B458 = "", "", IF('Additional Documents-WUO_ERR'!A458 = "", "Validated", HYPERLINK("#" &amp; ADDRESS(458, 'Additional Documents-WUO_TRK'!A458),_xlfn.TEXTAFTER('Additional Documents-WUO_ERR'!A458, ":"))))</f>
        <v/>
      </c>
    </row>
    <row r="459">
      <c r="A459" s="38">
        <f>IF('Additional Documents'!B459 = "", "", IF('Additional Documents-WUO_ERR'!A459 = "", "Validated", HYPERLINK("#" &amp; ADDRESS(459, 'Additional Documents-WUO_TRK'!A459),_xlfn.TEXTAFTER('Additional Documents-WUO_ERR'!A459, ":"))))</f>
        <v/>
      </c>
    </row>
    <row r="460">
      <c r="A460" s="38">
        <f>IF('Additional Documents'!B460 = "", "", IF('Additional Documents-WUO_ERR'!A460 = "", "Validated", HYPERLINK("#" &amp; ADDRESS(460, 'Additional Documents-WUO_TRK'!A460),_xlfn.TEXTAFTER('Additional Documents-WUO_ERR'!A460, ":"))))</f>
        <v/>
      </c>
    </row>
    <row r="461">
      <c r="A461" s="38">
        <f>IF('Additional Documents'!B461 = "", "", IF('Additional Documents-WUO_ERR'!A461 = "", "Validated", HYPERLINK("#" &amp; ADDRESS(461, 'Additional Documents-WUO_TRK'!A461),_xlfn.TEXTAFTER('Additional Documents-WUO_ERR'!A461, ":"))))</f>
        <v/>
      </c>
    </row>
    <row r="462">
      <c r="A462" s="38">
        <f>IF('Additional Documents'!B462 = "", "", IF('Additional Documents-WUO_ERR'!A462 = "", "Validated", HYPERLINK("#" &amp; ADDRESS(462, 'Additional Documents-WUO_TRK'!A462),_xlfn.TEXTAFTER('Additional Documents-WUO_ERR'!A462, ":"))))</f>
        <v/>
      </c>
    </row>
    <row r="463">
      <c r="A463" s="38">
        <f>IF('Additional Documents'!B463 = "", "", IF('Additional Documents-WUO_ERR'!A463 = "", "Validated", HYPERLINK("#" &amp; ADDRESS(463, 'Additional Documents-WUO_TRK'!A463),_xlfn.TEXTAFTER('Additional Documents-WUO_ERR'!A463, ":"))))</f>
        <v/>
      </c>
    </row>
    <row r="464">
      <c r="A464" s="38">
        <f>IF('Additional Documents'!B464 = "", "", IF('Additional Documents-WUO_ERR'!A464 = "", "Validated", HYPERLINK("#" &amp; ADDRESS(464, 'Additional Documents-WUO_TRK'!A464),_xlfn.TEXTAFTER('Additional Documents-WUO_ERR'!A464, ":"))))</f>
        <v/>
      </c>
    </row>
    <row r="465">
      <c r="A465" s="38">
        <f>IF('Additional Documents'!B465 = "", "", IF('Additional Documents-WUO_ERR'!A465 = "", "Validated", HYPERLINK("#" &amp; ADDRESS(465, 'Additional Documents-WUO_TRK'!A465),_xlfn.TEXTAFTER('Additional Documents-WUO_ERR'!A465, ":"))))</f>
        <v/>
      </c>
    </row>
    <row r="466">
      <c r="A466" s="38">
        <f>IF('Additional Documents'!B466 = "", "", IF('Additional Documents-WUO_ERR'!A466 = "", "Validated", HYPERLINK("#" &amp; ADDRESS(466, 'Additional Documents-WUO_TRK'!A466),_xlfn.TEXTAFTER('Additional Documents-WUO_ERR'!A466, ":"))))</f>
        <v/>
      </c>
    </row>
    <row r="467">
      <c r="A467" s="38">
        <f>IF('Additional Documents'!B467 = "", "", IF('Additional Documents-WUO_ERR'!A467 = "", "Validated", HYPERLINK("#" &amp; ADDRESS(467, 'Additional Documents-WUO_TRK'!A467),_xlfn.TEXTAFTER('Additional Documents-WUO_ERR'!A467, ":"))))</f>
        <v/>
      </c>
    </row>
    <row r="468">
      <c r="A468" s="38">
        <f>IF('Additional Documents'!B468 = "", "", IF('Additional Documents-WUO_ERR'!A468 = "", "Validated", HYPERLINK("#" &amp; ADDRESS(468, 'Additional Documents-WUO_TRK'!A468),_xlfn.TEXTAFTER('Additional Documents-WUO_ERR'!A468, ":"))))</f>
        <v/>
      </c>
    </row>
    <row r="469">
      <c r="A469" s="38">
        <f>IF('Additional Documents'!B469 = "", "", IF('Additional Documents-WUO_ERR'!A469 = "", "Validated", HYPERLINK("#" &amp; ADDRESS(469, 'Additional Documents-WUO_TRK'!A469),_xlfn.TEXTAFTER('Additional Documents-WUO_ERR'!A469, ":"))))</f>
        <v/>
      </c>
    </row>
    <row r="470">
      <c r="A470" s="38">
        <f>IF('Additional Documents'!B470 = "", "", IF('Additional Documents-WUO_ERR'!A470 = "", "Validated", HYPERLINK("#" &amp; ADDRESS(470, 'Additional Documents-WUO_TRK'!A470),_xlfn.TEXTAFTER('Additional Documents-WUO_ERR'!A470, ":"))))</f>
        <v/>
      </c>
    </row>
    <row r="471">
      <c r="A471" s="38">
        <f>IF('Additional Documents'!B471 = "", "", IF('Additional Documents-WUO_ERR'!A471 = "", "Validated", HYPERLINK("#" &amp; ADDRESS(471, 'Additional Documents-WUO_TRK'!A471),_xlfn.TEXTAFTER('Additional Documents-WUO_ERR'!A471, ":"))))</f>
        <v/>
      </c>
    </row>
    <row r="472">
      <c r="A472" s="38">
        <f>IF('Additional Documents'!B472 = "", "", IF('Additional Documents-WUO_ERR'!A472 = "", "Validated", HYPERLINK("#" &amp; ADDRESS(472, 'Additional Documents-WUO_TRK'!A472),_xlfn.TEXTAFTER('Additional Documents-WUO_ERR'!A472, ":"))))</f>
        <v/>
      </c>
    </row>
    <row r="473">
      <c r="A473" s="38">
        <f>IF('Additional Documents'!B473 = "", "", IF('Additional Documents-WUO_ERR'!A473 = "", "Validated", HYPERLINK("#" &amp; ADDRESS(473, 'Additional Documents-WUO_TRK'!A473),_xlfn.TEXTAFTER('Additional Documents-WUO_ERR'!A473, ":"))))</f>
        <v/>
      </c>
    </row>
    <row r="474">
      <c r="A474" s="38">
        <f>IF('Additional Documents'!B474 = "", "", IF('Additional Documents-WUO_ERR'!A474 = "", "Validated", HYPERLINK("#" &amp; ADDRESS(474, 'Additional Documents-WUO_TRK'!A474),_xlfn.TEXTAFTER('Additional Documents-WUO_ERR'!A474, ":"))))</f>
        <v/>
      </c>
    </row>
    <row r="475">
      <c r="A475" s="38">
        <f>IF('Additional Documents'!B475 = "", "", IF('Additional Documents-WUO_ERR'!A475 = "", "Validated", HYPERLINK("#" &amp; ADDRESS(475, 'Additional Documents-WUO_TRK'!A475),_xlfn.TEXTAFTER('Additional Documents-WUO_ERR'!A475, ":"))))</f>
        <v/>
      </c>
    </row>
    <row r="476">
      <c r="A476" s="38">
        <f>IF('Additional Documents'!B476 = "", "", IF('Additional Documents-WUO_ERR'!A476 = "", "Validated", HYPERLINK("#" &amp; ADDRESS(476, 'Additional Documents-WUO_TRK'!A476),_xlfn.TEXTAFTER('Additional Documents-WUO_ERR'!A476, ":"))))</f>
        <v/>
      </c>
    </row>
    <row r="477">
      <c r="A477" s="38">
        <f>IF('Additional Documents'!B477 = "", "", IF('Additional Documents-WUO_ERR'!A477 = "", "Validated", HYPERLINK("#" &amp; ADDRESS(477, 'Additional Documents-WUO_TRK'!A477),_xlfn.TEXTAFTER('Additional Documents-WUO_ERR'!A477, ":"))))</f>
        <v/>
      </c>
    </row>
    <row r="478">
      <c r="A478" s="38">
        <f>IF('Additional Documents'!B478 = "", "", IF('Additional Documents-WUO_ERR'!A478 = "", "Validated", HYPERLINK("#" &amp; ADDRESS(478, 'Additional Documents-WUO_TRK'!A478),_xlfn.TEXTAFTER('Additional Documents-WUO_ERR'!A478, ":"))))</f>
        <v/>
      </c>
    </row>
    <row r="479">
      <c r="A479" s="38">
        <f>IF('Additional Documents'!B479 = "", "", IF('Additional Documents-WUO_ERR'!A479 = "", "Validated", HYPERLINK("#" &amp; ADDRESS(479, 'Additional Documents-WUO_TRK'!A479),_xlfn.TEXTAFTER('Additional Documents-WUO_ERR'!A479, ":"))))</f>
        <v/>
      </c>
    </row>
    <row r="480">
      <c r="A480" s="38">
        <f>IF('Additional Documents'!B480 = "", "", IF('Additional Documents-WUO_ERR'!A480 = "", "Validated", HYPERLINK("#" &amp; ADDRESS(480, 'Additional Documents-WUO_TRK'!A480),_xlfn.TEXTAFTER('Additional Documents-WUO_ERR'!A480, ":"))))</f>
        <v/>
      </c>
    </row>
    <row r="481">
      <c r="A481" s="38">
        <f>IF('Additional Documents'!B481 = "", "", IF('Additional Documents-WUO_ERR'!A481 = "", "Validated", HYPERLINK("#" &amp; ADDRESS(481, 'Additional Documents-WUO_TRK'!A481),_xlfn.TEXTAFTER('Additional Documents-WUO_ERR'!A481, ":"))))</f>
        <v/>
      </c>
    </row>
    <row r="482">
      <c r="A482" s="38">
        <f>IF('Additional Documents'!B482 = "", "", IF('Additional Documents-WUO_ERR'!A482 = "", "Validated", HYPERLINK("#" &amp; ADDRESS(482, 'Additional Documents-WUO_TRK'!A482),_xlfn.TEXTAFTER('Additional Documents-WUO_ERR'!A482, ":"))))</f>
        <v/>
      </c>
    </row>
    <row r="483">
      <c r="A483" s="38">
        <f>IF('Additional Documents'!B483 = "", "", IF('Additional Documents-WUO_ERR'!A483 = "", "Validated", HYPERLINK("#" &amp; ADDRESS(483, 'Additional Documents-WUO_TRK'!A483),_xlfn.TEXTAFTER('Additional Documents-WUO_ERR'!A483, ":"))))</f>
        <v/>
      </c>
    </row>
    <row r="484">
      <c r="A484" s="38">
        <f>IF('Additional Documents'!B484 = "", "", IF('Additional Documents-WUO_ERR'!A484 = "", "Validated", HYPERLINK("#" &amp; ADDRESS(484, 'Additional Documents-WUO_TRK'!A484),_xlfn.TEXTAFTER('Additional Documents-WUO_ERR'!A484, ":"))))</f>
        <v/>
      </c>
    </row>
    <row r="485">
      <c r="A485" s="38">
        <f>IF('Additional Documents'!B485 = "", "", IF('Additional Documents-WUO_ERR'!A485 = "", "Validated", HYPERLINK("#" &amp; ADDRESS(485, 'Additional Documents-WUO_TRK'!A485),_xlfn.TEXTAFTER('Additional Documents-WUO_ERR'!A485, ":"))))</f>
        <v/>
      </c>
    </row>
    <row r="486">
      <c r="A486" s="38">
        <f>IF('Additional Documents'!B486 = "", "", IF('Additional Documents-WUO_ERR'!A486 = "", "Validated", HYPERLINK("#" &amp; ADDRESS(486, 'Additional Documents-WUO_TRK'!A486),_xlfn.TEXTAFTER('Additional Documents-WUO_ERR'!A486, ":"))))</f>
        <v/>
      </c>
    </row>
    <row r="487">
      <c r="A487" s="38">
        <f>IF('Additional Documents'!B487 = "", "", IF('Additional Documents-WUO_ERR'!A487 = "", "Validated", HYPERLINK("#" &amp; ADDRESS(487, 'Additional Documents-WUO_TRK'!A487),_xlfn.TEXTAFTER('Additional Documents-WUO_ERR'!A487, ":"))))</f>
        <v/>
      </c>
    </row>
    <row r="488">
      <c r="A488" s="38">
        <f>IF('Additional Documents'!B488 = "", "", IF('Additional Documents-WUO_ERR'!A488 = "", "Validated", HYPERLINK("#" &amp; ADDRESS(488, 'Additional Documents-WUO_TRK'!A488),_xlfn.TEXTAFTER('Additional Documents-WUO_ERR'!A488, ":"))))</f>
        <v/>
      </c>
    </row>
    <row r="489">
      <c r="A489" s="38">
        <f>IF('Additional Documents'!B489 = "", "", IF('Additional Documents-WUO_ERR'!A489 = "", "Validated", HYPERLINK("#" &amp; ADDRESS(489, 'Additional Documents-WUO_TRK'!A489),_xlfn.TEXTAFTER('Additional Documents-WUO_ERR'!A489, ":"))))</f>
        <v/>
      </c>
    </row>
    <row r="490">
      <c r="A490" s="38">
        <f>IF('Additional Documents'!B490 = "", "", IF('Additional Documents-WUO_ERR'!A490 = "", "Validated", HYPERLINK("#" &amp; ADDRESS(490, 'Additional Documents-WUO_TRK'!A490),_xlfn.TEXTAFTER('Additional Documents-WUO_ERR'!A490, ":"))))</f>
        <v/>
      </c>
    </row>
    <row r="491">
      <c r="A491" s="38">
        <f>IF('Additional Documents'!B491 = "", "", IF('Additional Documents-WUO_ERR'!A491 = "", "Validated", HYPERLINK("#" &amp; ADDRESS(491, 'Additional Documents-WUO_TRK'!A491),_xlfn.TEXTAFTER('Additional Documents-WUO_ERR'!A491, ":"))))</f>
        <v/>
      </c>
    </row>
    <row r="492">
      <c r="A492" s="38">
        <f>IF('Additional Documents'!B492 = "", "", IF('Additional Documents-WUO_ERR'!A492 = "", "Validated", HYPERLINK("#" &amp; ADDRESS(492, 'Additional Documents-WUO_TRK'!A492),_xlfn.TEXTAFTER('Additional Documents-WUO_ERR'!A492, ":"))))</f>
        <v/>
      </c>
    </row>
    <row r="493">
      <c r="A493" s="38">
        <f>IF('Additional Documents'!B493 = "", "", IF('Additional Documents-WUO_ERR'!A493 = "", "Validated", HYPERLINK("#" &amp; ADDRESS(493, 'Additional Documents-WUO_TRK'!A493),_xlfn.TEXTAFTER('Additional Documents-WUO_ERR'!A493, ":"))))</f>
        <v/>
      </c>
    </row>
    <row r="494">
      <c r="A494" s="38">
        <f>IF('Additional Documents'!B494 = "", "", IF('Additional Documents-WUO_ERR'!A494 = "", "Validated", HYPERLINK("#" &amp; ADDRESS(494, 'Additional Documents-WUO_TRK'!A494),_xlfn.TEXTAFTER('Additional Documents-WUO_ERR'!A494, ":"))))</f>
        <v/>
      </c>
    </row>
    <row r="495">
      <c r="A495" s="38">
        <f>IF('Additional Documents'!B495 = "", "", IF('Additional Documents-WUO_ERR'!A495 = "", "Validated", HYPERLINK("#" &amp; ADDRESS(495, 'Additional Documents-WUO_TRK'!A495),_xlfn.TEXTAFTER('Additional Documents-WUO_ERR'!A495, ":"))))</f>
        <v/>
      </c>
    </row>
    <row r="496">
      <c r="A496" s="38">
        <f>IF('Additional Documents'!B496 = "", "", IF('Additional Documents-WUO_ERR'!A496 = "", "Validated", HYPERLINK("#" &amp; ADDRESS(496, 'Additional Documents-WUO_TRK'!A496),_xlfn.TEXTAFTER('Additional Documents-WUO_ERR'!A496, ":"))))</f>
        <v/>
      </c>
    </row>
    <row r="497">
      <c r="A497" s="38">
        <f>IF('Additional Documents'!B497 = "", "", IF('Additional Documents-WUO_ERR'!A497 = "", "Validated", HYPERLINK("#" &amp; ADDRESS(497, 'Additional Documents-WUO_TRK'!A497),_xlfn.TEXTAFTER('Additional Documents-WUO_ERR'!A497, ":"))))</f>
        <v/>
      </c>
    </row>
    <row r="498">
      <c r="A498" s="38">
        <f>IF('Additional Documents'!B498 = "", "", IF('Additional Documents-WUO_ERR'!A498 = "", "Validated", HYPERLINK("#" &amp; ADDRESS(498, 'Additional Documents-WUO_TRK'!A498),_xlfn.TEXTAFTER('Additional Documents-WUO_ERR'!A498, ":"))))</f>
        <v/>
      </c>
    </row>
    <row r="499">
      <c r="A499" s="38">
        <f>IF('Additional Documents'!B499 = "", "", IF('Additional Documents-WUO_ERR'!A499 = "", "Validated", HYPERLINK("#" &amp; ADDRESS(499, 'Additional Documents-WUO_TRK'!A499),_xlfn.TEXTAFTER('Additional Documents-WUO_ERR'!A499, ":"))))</f>
        <v/>
      </c>
    </row>
    <row r="500">
      <c r="A500" s="38">
        <f>IF('Additional Documents'!B500 = "", "", IF('Additional Documents-WUO_ERR'!A500 = "", "Validated", HYPERLINK("#" &amp; ADDRESS(500, 'Additional Documents-WUO_TRK'!A500),_xlfn.TEXTAFTER('Additional Documents-WUO_ERR'!A500, ":"))))</f>
        <v/>
      </c>
    </row>
    <row r="501">
      <c r="A501" s="38">
        <f>IF('Additional Documents'!B501 = "", "", IF('Additional Documents-WUO_ERR'!A501 = "", "Validated", HYPERLINK("#" &amp; ADDRESS(501, 'Additional Documents-WUO_TRK'!A501),_xlfn.TEXTAFTER('Additional Documents-WUO_ERR'!A501, ":"))))</f>
        <v/>
      </c>
    </row>
    <row r="502">
      <c r="A502" s="38">
        <f>IF('Additional Documents'!B502 = "", "", IF('Additional Documents-WUO_ERR'!A502 = "", "Validated", HYPERLINK("#" &amp; ADDRESS(502, 'Additional Documents-WUO_TRK'!A502),_xlfn.TEXTAFTER('Additional Documents-WUO_ERR'!A502, ":"))))</f>
        <v/>
      </c>
    </row>
    <row r="503">
      <c r="A503" s="38">
        <f>IF('Additional Documents'!B503 = "", "", IF('Additional Documents-WUO_ERR'!A503 = "", "Validated", HYPERLINK("#" &amp; ADDRESS(503, 'Additional Documents-WUO_TRK'!A503),_xlfn.TEXTAFTER('Additional Documents-WUO_ERR'!A503, ":"))))</f>
        <v/>
      </c>
    </row>
    <row r="504">
      <c r="A504" s="38">
        <f>IF('Additional Documents'!B504 = "", "", IF('Additional Documents-WUO_ERR'!A504 = "", "Validated", HYPERLINK("#" &amp; ADDRESS(504, 'Additional Documents-WUO_TRK'!A504),_xlfn.TEXTAFTER('Additional Documents-WUO_ERR'!A504, ":"))))</f>
        <v/>
      </c>
    </row>
    <row r="505">
      <c r="A505" s="38">
        <f>IF('Additional Documents'!B505 = "", "", IF('Additional Documents-WUO_ERR'!A505 = "", "Validated", HYPERLINK("#" &amp; ADDRESS(505, 'Additional Documents-WUO_TRK'!A505),_xlfn.TEXTAFTER('Additional Documents-WUO_ERR'!A505, ":"))))</f>
        <v/>
      </c>
    </row>
    <row r="506">
      <c r="A506" s="38">
        <f>IF('Additional Documents'!B506 = "", "", IF('Additional Documents-WUO_ERR'!A506 = "", "Validated", HYPERLINK("#" &amp; ADDRESS(506, 'Additional Documents-WUO_TRK'!A506),_xlfn.TEXTAFTER('Additional Documents-WUO_ERR'!A506, ":"))))</f>
        <v/>
      </c>
    </row>
    <row r="507">
      <c r="A507" s="38">
        <f>IF('Additional Documents'!B507 = "", "", IF('Additional Documents-WUO_ERR'!A507 = "", "Validated", HYPERLINK("#" &amp; ADDRESS(507, 'Additional Documents-WUO_TRK'!A507),_xlfn.TEXTAFTER('Additional Documents-WUO_ERR'!A507, ":"))))</f>
        <v/>
      </c>
    </row>
  </sheetData>
  <sheetProtection selectLockedCells="0" selectUnlockedCells="0" sheet="1" objects="1" insertRows="1" insertHyperlinks="1" autoFilter="1" scenarios="1" formatColumns="0" deleteColumns="1" insertColumns="1" pivotTables="1" deleteRows="1" formatCells="1" formatRows="0" sort="1" password="9EF4"/>
  <mergeCells count="1">
    <mergeCell ref="C2:G2"/>
  </mergeCells>
  <conditionalFormatting sqref="A7:A50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50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dataValidations count="3">
    <dataValidation sqref="C7:C250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F7:F250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G7:G250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s>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style="22" min="2" max="2"/>
    <col width="30.7109375" customWidth="1" style="22" min="3" max="3"/>
    <col width="18.7109375" customWidth="1" style="22" min="4" max="4"/>
    <col width="24.7109375" customWidth="1" style="22" min="5" max="5"/>
    <col width="20.7109375" customWidth="1" style="22" min="6" max="6"/>
    <col width="22.7109375" customWidth="1" style="22" min="7" max="7"/>
  </cols>
  <sheetData>
    <row r="1" hidden="1">
      <c r="B1" s="22" t="inlineStr">
        <is>
          <t>core::supplierPartNumber</t>
        </is>
      </c>
      <c r="C1" s="22" t="inlineStr">
        <is>
          <t>media::documentValue</t>
        </is>
      </c>
      <c r="D1" s="22" t="inlineStr">
        <is>
          <t>media::documentType</t>
        </is>
      </c>
      <c r="E1" s="22" t="inlineStr">
        <is>
          <t>media::legalDocumentType</t>
        </is>
      </c>
      <c r="F1" s="22" t="inlineStr">
        <is>
          <t>media::regionType</t>
        </is>
      </c>
      <c r="G1" s="22" t="inlineStr">
        <is>
          <t>media::language</t>
        </is>
      </c>
    </row>
    <row r="3">
      <c r="B3" s="31" t="inlineStr">
        <is>
          <t>Required</t>
        </is>
      </c>
      <c r="C3" s="31" t="inlineStr">
        <is>
          <t>Conditional</t>
        </is>
      </c>
      <c r="D3" s="31" t="inlineStr">
        <is>
          <t>Conditional</t>
        </is>
      </c>
      <c r="E3" s="31" t="inlineStr">
        <is>
          <t>Conditional</t>
        </is>
      </c>
      <c r="F3" s="31" t="inlineStr">
        <is>
          <t>Conditional</t>
        </is>
      </c>
      <c r="G3" s="31"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Provide the document’s file name with extension for separate uploads or a direct public URL. Do not exceed 10 documents per product.</t>
        </is>
      </c>
      <c r="D5" s="34" t="inlineStr">
        <is>
          <t>Select one or more values from the provided list that best describe the document’s purpose. This classification helps customers easily find information like “Installation &amp; Assembly” guides, “Warranty Information,” or “Specifications.</t>
        </is>
      </c>
      <c r="E5" s="34" t="inlineStr">
        <is>
          <t>If the document serves as a legal notice or certification (e.g., “ASTM F2057 - 19,” “ANSI A117.1 Compliant”), select the specific type(s) from the provided list. This is used for compliance and to display certifications to customers.</t>
        </is>
      </c>
      <c r="F5" s="34" t="inlineStr">
        <is>
          <t>Select the country or region where this document is legally applicable. This is crucial for compliance-related documents that may differ across locations.</t>
        </is>
      </c>
      <c r="G5" s="34" t="inlineStr">
        <is>
          <t>Select the language in which the document is written.</t>
        </is>
      </c>
    </row>
    <row r="6" ht="50" customHeight="1">
      <c r="B6" s="34" t="inlineStr">
        <is>
          <t>Text</t>
        </is>
      </c>
      <c r="C6" s="34" t="inlineStr">
        <is>
          <t>Text</t>
        </is>
      </c>
      <c r="D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5" t="inlineStr">
        <is>
          <t>Select</t>
        </is>
      </c>
      <c r="G6" s="35" t="inlineStr">
        <is>
          <t>Select</t>
        </is>
      </c>
    </row>
    <row r="7">
      <c r="A7">
        <f t="array" ref="A7">_xlfn.BYROW(B7:H507, _xlfn.LAMBDA(_xlpm.r, _xlfn.LET(_xlpm.high_priority, IFERROR(INDEX(_xlpm.r, MATCH(TRUE, (_xlpm.r &lt;&gt; "") * ((LEFT(_xlpm.r, 2) = "1:") + (LEFT(_xlpm.r, 2) = "3:")) &gt; 0, 0)), ""), IF(_xlpm.high_priority &lt;&gt; "", _xlpm.high_priority, IFERROR(INDEX(_xlpm.r, MATCH(TRUE, (_xlpm.r &lt;&gt; "") * (LEFT(_xlpm.r, 2) = "4:") &gt; 0, 0)), "")))))</f>
        <v/>
      </c>
      <c r="B7" s="22">
        <f t="array" ref="B7">_xlfn.MAP('Additional Documents'!B7:B507, 'Additional Documents'!B7:B507,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s="22">
        <f t="array" ref="C7">_xlfn.MAP('Additional Documents'!B7:B507, 'Additional Documents'!C7:C507, 'Additional Documents'!D7:D507, 'Additional Documents'!E7:E507, 'Additional Documents'!F7:F507, 'Additional Documents'!G7:G507,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s="22">
        <f t="array" ref="D7">_xlfn.MAP('Additional Documents'!B7:B507, 'Additional Documents'!D7:D507,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s="22">
        <f t="array" ref="E7">_xlfn.MAP('Additional Documents'!B7:B507, 'Additional Documents'!E7:E507,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s="22">
        <f t="array" ref="F7">_xlfn.MAP('Additional Documents'!B7:B507, 'Additional Documents'!F7:F507, _xlfn.LAMBDA(_xlpm.part, _xlpm.val, IF(_xlpm.part = "", "", IF(AND(_xlpm.val = "", F$3="Required"), "3:Document Region - Value is required", ""))))</f>
        <v/>
      </c>
      <c r="G7" s="22">
        <f t="array" ref="G7">_xlfn.MAP('Additional Documents'!B7:B507, 'Additional Documents'!G7:G507,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style="22" min="2" max="2"/>
    <col width="30.7109375" customWidth="1" style="22" min="3" max="3"/>
    <col width="18.7109375" customWidth="1" style="22" min="4" max="4"/>
    <col width="24.7109375" customWidth="1" style="22" min="5" max="5"/>
    <col width="20.7109375" customWidth="1" style="22" min="6" max="6"/>
    <col width="22.7109375" customWidth="1" style="22" min="7" max="7"/>
  </cols>
  <sheetData>
    <row r="1" hidden="1">
      <c r="B1" s="22" t="inlineStr">
        <is>
          <t>core::supplierPartNumber</t>
        </is>
      </c>
      <c r="C1" s="22" t="inlineStr">
        <is>
          <t>media::documentValue</t>
        </is>
      </c>
      <c r="D1" s="22" t="inlineStr">
        <is>
          <t>media::documentType</t>
        </is>
      </c>
      <c r="E1" s="22" t="inlineStr">
        <is>
          <t>media::legalDocumentType</t>
        </is>
      </c>
      <c r="F1" s="22" t="inlineStr">
        <is>
          <t>media::regionType</t>
        </is>
      </c>
      <c r="G1" s="22" t="inlineStr">
        <is>
          <t>media::language</t>
        </is>
      </c>
    </row>
    <row r="3">
      <c r="B3" s="31" t="inlineStr">
        <is>
          <t>Required</t>
        </is>
      </c>
      <c r="C3" s="31" t="inlineStr">
        <is>
          <t>Conditional</t>
        </is>
      </c>
      <c r="D3" s="31" t="inlineStr">
        <is>
          <t>Conditional</t>
        </is>
      </c>
      <c r="E3" s="31" t="inlineStr">
        <is>
          <t>Conditional</t>
        </is>
      </c>
      <c r="F3" s="31" t="inlineStr">
        <is>
          <t>Conditional</t>
        </is>
      </c>
      <c r="G3" s="31"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4"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4" t="inlineStr">
        <is>
          <t>Provide the document’s file name with extension for separate uploads or a direct public URL. Do not exceed 10 documents per product.</t>
        </is>
      </c>
      <c r="D5" s="34" t="inlineStr">
        <is>
          <t>Select one or more values from the provided list that best describe the document’s purpose. This classification helps customers easily find information like “Installation &amp; Assembly” guides, “Warranty Information,” or “Specifications.</t>
        </is>
      </c>
      <c r="E5" s="34" t="inlineStr">
        <is>
          <t>If the document serves as a legal notice or certification (e.g., “ASTM F2057 - 19,” “ANSI A117.1 Compliant”), select the specific type(s) from the provided list. This is used for compliance and to display certifications to customers.</t>
        </is>
      </c>
      <c r="F5" s="34" t="inlineStr">
        <is>
          <t>Select the country or region where this document is legally applicable. This is crucial for compliance-related documents that may differ across locations.</t>
        </is>
      </c>
      <c r="G5" s="34" t="inlineStr">
        <is>
          <t>Select the language in which the document is written.</t>
        </is>
      </c>
    </row>
    <row r="6" ht="50" customHeight="1">
      <c r="B6" s="34" t="inlineStr">
        <is>
          <t>Text</t>
        </is>
      </c>
      <c r="C6" s="34" t="inlineStr">
        <is>
          <t>Text</t>
        </is>
      </c>
      <c r="D6" s="35"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5"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5" t="inlineStr">
        <is>
          <t>Select</t>
        </is>
      </c>
      <c r="G6" s="35" t="inlineStr">
        <is>
          <t>Select</t>
        </is>
      </c>
    </row>
    <row r="7">
      <c r="A7">
        <f t="array" ref="A7">_xlfn.BYROW(B7:H507, _xlfn.LAMBDA(_xlpm.r, _xlfn.LET(_xlpm.high_priority_idx, IFERROR(MATCH(TRUE, (_xlpm.r = "Error") + (_xlpm.r = "Required") &gt; 0, 0), 0), IF(_xlpm.high_priority_idx &gt; 0, _xlpm.high_priority_idx + 1, IFERROR(MATCH(1, (_xlpm.r = "Warning") * 1, 0) + 1, "")))))</f>
        <v/>
      </c>
      <c r="B7" s="22">
        <f t="array" ref="B7">_xlfn.MAP('Additional Documents'!B7:B507, 'Additional Documents'!B7:B507, 'Additional Documents-WUO_ERR'!B7:B507, _xlfn.LAMBDA(_xlpm.part, _xlpm.val, _xlpm.error, IF(_xlpm.part = "", "", IF(LEN(_xlpm.error), _xlfn.SWITCH(IFERROR(_xlfn.TEXTBEFORE(_xlpm.error,":"), ""), "1", "Error", "2", "Disabled", "3", "Required", "4", "Warning", "Valid"), "Valid"))))</f>
        <v/>
      </c>
      <c r="C7" s="22">
        <f t="array" ref="C7">_xlfn.MAP('Additional Documents'!B7:B507, 'Additional Documents'!C7:C507, 'Additional Documents-WUO_ERR'!C7:C507, _xlfn.LAMBDA(_xlpm.part, _xlpm.val, _xlpm.error, IF(_xlpm.part = "", "", IF(LEN(_xlpm.error), _xlfn.SWITCH(IFERROR(_xlfn.TEXTBEFORE(_xlpm.error,":"), ""), "1", "Error", "2", "Disabled", "3", "Required", "4", "Warning", "Valid"), "Valid"))))</f>
        <v/>
      </c>
      <c r="D7" s="22">
        <f t="array" ref="D7">_xlfn.MAP('Additional Documents'!B7:B507, 'Additional Documents'!D7:D507, 'Additional Documents-WUO_ERR'!D7:D507, _xlfn.LAMBDA(_xlpm.part, _xlpm.val, _xlpm.error, IF(_xlpm.part = "", "", IF(LEN(_xlpm.error), _xlfn.SWITCH(IFERROR(_xlfn.TEXTBEFORE(_xlpm.error,":"), ""), "1", "Error", "2", "Disabled", "3", "Required", "4", "Warning", "Valid"), "Valid"))))</f>
        <v/>
      </c>
      <c r="E7" s="22">
        <f t="array" ref="E7">_xlfn.MAP('Additional Documents'!B7:B507, 'Additional Documents'!E7:E507, 'Additional Documents-WUO_ERR'!E7:E507, _xlfn.LAMBDA(_xlpm.part, _xlpm.val, _xlpm.error, IF(_xlpm.part = "", "", IF(LEN(_xlpm.error), _xlfn.SWITCH(IFERROR(_xlfn.TEXTBEFORE(_xlpm.error,":"), ""), "1", "Error", "2", "Disabled", "3", "Required", "4", "Warning", "Valid"), "Valid"))))</f>
        <v/>
      </c>
      <c r="F7" s="22">
        <f t="array" ref="F7">_xlfn.MAP('Additional Documents'!B7:B507, 'Additional Documents'!F7:F507, 'Additional Documents-WUO_ERR'!F7:F507, _xlfn.LAMBDA(_xlpm.part, _xlpm.val, _xlpm.error, IF(_xlpm.part = "", "", IF(LEN(_xlpm.error), _xlfn.SWITCH(IFERROR(_xlfn.TEXTBEFORE(_xlpm.error,":"), ""), "1", "Error", "2", "Disabled", "3", "Required", "4", "Warning", "Valid"), "Valid"))))</f>
        <v/>
      </c>
      <c r="G7" s="22">
        <f t="array" ref="G7">_xlfn.MAP('Additional Documents'!B7:B507, 'Additional Documents'!G7:G507, 'Additional Documents-WUO_ERR'!G7:G507,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2026-02-24T20:14:25Z</dcterms:created>
  <dcterms:modified xsi:type="dcterms:W3CDTF">2026-02-24T20:19:42Z</dcterms:modified>
</cp:coreProperties>
</file>