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comments/comment1.xml" ContentType="application/vnd.openxmlformats-officedocument.spreadsheetml.comments+xml"/>
  <Override PartName="/xl/worksheets/sheet5.xml" ContentType="application/vnd.openxmlformats-officedocument.spreadsheetml.worksheet+xml"/>
  <Override PartName="/xl/comments/comment2.xml" ContentType="application/vnd.openxmlformats-officedocument.spreadsheetml.comments+xml"/>
  <Override PartName="/xl/worksheets/sheet6.xml" ContentType="application/vnd.openxmlformats-officedocument.spreadsheetml.worksheet+xml"/>
  <Override PartName="/xl/comments/comment3.xml" ContentType="application/vnd.openxmlformats-officedocument.spreadsheetml.comments+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name="Instructions" sheetId="1" state="visible" r:id="rId1"/>
    <sheet name="Error Summary" sheetId="2" state="visible" r:id="rId2"/>
    <sheet name="WAYFAIR_USE_ONLY" sheetId="3" state="hidden" r:id="rId3"/>
    <sheet name="6 - TV Stands &amp; Enterta" sheetId="4" state="visible" r:id="rId4"/>
    <sheet name="6 - TV Stands &amp; Enterta-WUO_ERR" sheetId="5" state="hidden" r:id="rId5"/>
    <sheet name="6 - TV Stands &amp; Enterta-WUO_TRK" sheetId="6" state="hidden" r:id="rId6"/>
    <sheet name="Additional Cartons" sheetId="7" state="visible" r:id="rId7"/>
    <sheet name="Additional Cartons-WUO_ERR" sheetId="8" state="hidden" r:id="rId8"/>
    <sheet name="Additional Cartons-WUO_TRK" sheetId="9" state="hidden" r:id="rId9"/>
    <sheet name="Additional Chemicals" sheetId="10" state="visible" r:id="rId10"/>
    <sheet name="Additional Chemicals-WUO_ERR" sheetId="11" state="hidden" r:id="rId11"/>
    <sheet name="Additional Chemicals-WUO_TRK" sheetId="12" state="hidden" r:id="rId12"/>
    <sheet name="Additional Images" sheetId="13" state="visible" r:id="rId13"/>
    <sheet name="Additional Images-WUO_ERR" sheetId="14" state="hidden" r:id="rId14"/>
    <sheet name="Additional Images-WUO_TRK" sheetId="15" state="hidden" r:id="rId15"/>
    <sheet name="Additional Videos" sheetId="16" state="visible" r:id="rId16"/>
    <sheet name="Additional Videos-WUO_ERR" sheetId="17" state="hidden" r:id="rId17"/>
    <sheet name="Additional Videos-WUO_TRK" sheetId="18" state="hidden" r:id="rId18"/>
    <sheet name="Additional Documents" sheetId="19" state="visible" r:id="rId19"/>
    <sheet name="Additional Documents-WUO_ERR" sheetId="20" state="hidden" r:id="rId20"/>
    <sheet name="Additional Documents-WUO_TRK" sheetId="21" state="hidden" r:id="rId21"/>
    <sheet name="Valid Values" sheetId="22" state="visible" r:id="rId22"/>
  </sheets>
  <definedNames>
    <definedName name="allowed185254">'Valid Values'!$V$2:$V$70</definedName>
    <definedName name="allowed201479">'Valid Values'!$R$2:$R$3</definedName>
    <definedName name="allowed217965">'Valid Values'!$BC$2:$BC$20</definedName>
    <definedName name="allowed220265">'Valid Values'!$AI$2:$AI$16</definedName>
    <definedName name="allowed220267">'Valid Values'!$AH$2:$AH$9</definedName>
    <definedName name="allowed222775">'Valid Values'!$BD$2:$BD$5</definedName>
    <definedName name="allowed222778">'Valid Values'!$BE$2:$BE$61</definedName>
    <definedName name="allowed222860">'Valid Values'!$P$2:$P$12</definedName>
    <definedName name="allowed222861">'Valid Values'!$Q$2:$Q$7</definedName>
    <definedName name="allowed224759">'Valid Values'!$AN$2:$AN$4</definedName>
    <definedName name="allowed224980">'Valid Values'!$AO$2:$AO$4</definedName>
    <definedName name="allowed227966">'Valid Values'!$S$2:$S$3</definedName>
    <definedName name="allowed236083">'Valid Values'!$AQ$2:$AQ$3</definedName>
    <definedName name="allowed244566">'Valid Values'!$T$2:$T$6</definedName>
    <definedName name="allowed251110">'Valid Values'!$AR$2:$AR$5</definedName>
    <definedName name="allowed255305">'Valid Values'!$BG$2:$BG$4</definedName>
    <definedName name="allowed256090">'Valid Values'!$BH$2:$BH$22</definedName>
    <definedName name="allowed292794">'Valid Values'!$AG$2:$AG$17</definedName>
    <definedName name="allowed293480">'Valid Values'!$U$2:$U$20</definedName>
    <definedName name="allowed310560">'Valid Values'!$AS$2:$AS$5</definedName>
    <definedName name="allowed333812">'Valid Values'!$BF$2:$BF$26</definedName>
    <definedName name="allowed340810">'Valid Values'!$AU$2:$AU$17</definedName>
    <definedName name="allowed341070">'Valid Values'!$AV$2:$AV$6</definedName>
    <definedName name="allowed346869">'Valid Values'!$W$2:$W$11</definedName>
    <definedName name="allowed351619">'Valid Values'!$X$2:$X$5</definedName>
    <definedName name="allowed351641">'Valid Values'!$Z$2:$Z$5</definedName>
    <definedName name="allowed351649">'Valid Values'!$AC$2:$AC$6</definedName>
    <definedName name="allowed352342">'Valid Values'!$AB$2:$AB$8</definedName>
    <definedName name="allowed352351">'Valid Values'!$AA$2:$AA$8</definedName>
    <definedName name="allowed364708">'Valid Values'!$AP$2:$AP$5</definedName>
    <definedName name="allowed367149">'Valid Values'!$Y$2:$Y$13</definedName>
    <definedName name="allowed368262">'Valid Values'!$AX$2:$AX$6</definedName>
    <definedName name="allowed368645">'Valid Values'!$AD$2:$AD$100</definedName>
    <definedName name="allowed369614">'Valid Values'!$AW$2:$AW$13</definedName>
    <definedName name="allowed373560">'Valid Values'!$AT$2:$AT$35</definedName>
    <definedName name="allowed375302">'Valid Values'!$AY$2:$AY$13</definedName>
    <definedName name="allowed379875">'Valid Values'!$AF$2:$AF$55</definedName>
    <definedName name="allowed382060">'Valid Values'!$AZ$2:$AZ$5</definedName>
    <definedName name="allowed384286">'Valid Values'!$AJ$2:$AJ$14</definedName>
    <definedName name="allowed385921">'Valid Values'!$BA$2:$BA$4</definedName>
    <definedName name="allowed420139">'Valid Values'!$AK$2:$AK$18</definedName>
    <definedName name="allowed421601">'Valid Values'!$BB$2:$BB$6</definedName>
    <definedName name="allowed5620">'Valid Values'!$M$2:$M$3</definedName>
    <definedName name="allowed5621">'Valid Values'!$N$2:$N$26</definedName>
    <definedName name="allowed5625">'Valid Values'!$O$2:$O$22</definedName>
    <definedName name="allowed5671">'Valid Values'!$AM$2:$AM$4</definedName>
    <definedName name="allowed5910">'Valid Values'!$AE$2:$AE$31</definedName>
    <definedName name="allowed5938">'Valid Values'!$AL$2:$AL$7</definedName>
    <definedName name="allowedcore__manufacturerId">'Valid Values'!$A$2:$A$1</definedName>
    <definedName name="allowedmedia__documentType">'Valid Values'!$I$2:$I$16</definedName>
    <definedName name="allowedmedia__language">'Valid Values'!$L$2:$L$30</definedName>
    <definedName name="allowedmedia__legalDocumentType">'Valid Values'!$J$2:$J$506</definedName>
    <definedName name="allowedmedia__regionType">'Valid Values'!$K$2:$K$5</definedName>
    <definedName name="allowedpropSixtyFive__chemicalId">'Valid Values'!$F$2:$F$902</definedName>
    <definedName name="allowedpropSixtyFive__countryOfManufacturer">'Valid Values'!$H$2:$H$248</definedName>
    <definedName name="allowedpropSixtyFive__toxicity">'Valid Values'!$G$2:$G$3</definedName>
    <definedName name="allowedshippingAndFulfillment__freightClass">'Valid Values'!$C$2:$C$19</definedName>
    <definedName name="allowedshippingAndFulfillment__leadTime">'Valid Values'!$D$2:$D$18</definedName>
    <definedName name="allowedshippingAndFulfillment__replacementLeadTime">'Valid Values'!$E$2:$E$7</definedName>
    <definedName name="allowedshippingAndFulfillment__shipType">'Valid Values'!$B$2:$B$3</definedName>
    <definedName name="Class6Answers">'6 - TV Stands &amp; Enterta'!$B$8:$EU$507</definedName>
    <definedName name="Class6Errors">'6 - TV Stands &amp; Enterta-WUO_ERR'!$B$8:$EU$507</definedName>
    <definedName name="Class6Headers">'6 - TV Stands &amp; Enterta'!$B$4:$EU$4</definedName>
    <definedName name="Class6Tracker">'6 - TV Stands &amp; Enterta-WUO_TRK'!$B$8:$EU$507</definedName>
    <definedName name="GetErrorQuestionDisplayNames">_xlfn.LAMBDA(_xlpm.headers,_xlpm.tracker,_xlpm.errors,   _xlfn.LET(     _xlpm.colSeq, _xlfn.SEQUENCE(1, COLUMNS(_xlpm.tracker)),     _xlpm.colMatrix, _xlfn.MAKEARRAY(ROWS(_xlpm.tracker), COLUMNS(_xlpm.tracker), _xlfn.LAMBDA(_xlpm.r,_xlpm.c, INDEX(_xlpm.colSeq, 1, _xlpm.c))),     _xlpm.filteredCols, _xlfn._xlws.FILTER(       _xlfn.TOCOL(_xlpm.colMatrix),       _xlfn.TOCOL((_xlpm.errors &lt;&gt; "") * (_xlpm.tracker &lt;&gt; "Valid") * (_xlpm.tracker &lt;&gt; "Disabled")),       "QUESTION_PLACEHOLDER"     ),     IF(       AND(ROWS(_xlpm.filteredCols)*COLUMNS(_xlpm.filteredCols)=1, INDEX(_xlpm.filteredCols,1,1)="QUESTION_PLACEHOLDER"),       "",       _xlfn.LET(         _xlpm.cleanColNums, _xlfn.TOCOL(_xlpm.filteredCols, 2),         _xlpm.rawHeaders, INDEX(_xlpm.headers, 1, _xlpm.cleanColNums),         IFERROR(IF(_xlpm.rawHeaders = "", "", _xlpm.rawHeaders), "")       )     )   ) )</definedName>
    <definedName name="GetFilteredProvidedAnswers">_xlfn.LAMBDA(_xlpm.answers,_xlpm.errors,_xlpm.tracker,     _xlfn.LET( _xlpm.filtered, _xlfn._xlws.FILTER(_xlfn.TOCOL(_xlpm.answers), _xlfn.TOCOL((_xlpm.errors &lt;&gt; "") * (_xlpm.tracker &lt;&gt; "Valid") * (_xlpm.tracker &lt;&gt; "Disabled")), "EMPTY_FILTER_PLACEHOLDER"),   _xlpm.final, IF(ROWS(_xlpm.filtered)*COLUMNS(_xlpm.filtered)=1, IF(INDEX(_xlpm.filtered,1,1)="EMPTY_FILTER_PLACEHOLDER", "EMPTY_ERROR", _xlpm.filtered), _xlpm.filtered), _xlpm.result, IF( _xlpm.final="EMPTY_ERROR", "EMPTY_ERROR",  IFERROR(IF(_xlpm.final="", "", _xlpm.final), "EMPTY_ERROR") ),         _xlpm.result     ) )</definedName>
    <definedName name="GetSheetLocationAddresses">_xlfn.LAMBDA(_xlpm.tracker,_xlpm.errors,   _xlfn.LET(     _xlpm.filterCondition, _xlfn.TOCOL((_xlpm.errors &lt;&gt; "") * (_xlpm.tracker &lt;&gt; "Valid") * (_xlpm.tracker &lt;&gt; "Disabled")),     _xlfn._xlws.FILTER(       _xlfn.TOCOL(ADDRESS(_xlfn.SEQUENCE(ROWS(_xlpm.tracker), 1, 8), _xlfn.SEQUENCE(1, COLUMNS(_xlpm.tracker), 2), 4), 2),       _xlpm.filterCondition, ""     )   ) )</definedName>
    <definedName name="GetSheetNameData">_xlfn.LAMBDA(_xlpm.tracker,_xlpm.errors,_xlpm.sheetTitle,   _xlfn.LET(     _xlpm.filterCondition, _xlfn.TOCOL((_xlpm.errors &lt;&gt; "") * (_xlpm.tracker &lt;&gt; "Valid") * (_xlpm.tracker &lt;&gt; "Disabled")),     _xlpm.filteredData, _xlfn._xlws.FILTER(_xlfn.TOCOL(_xlpm.tracker), _xlpm.filterCondition, ""),     IF(_xlpm.filteredData&lt;&gt;"", _xlpm.sheetTitle, "")   ) )</definedName>
    <definedName name="GetSheetProductNames">_xlfn.LAMBDA(_xlpm.tracker,_xlpm.errors,_xlpm.sheetRef,   _xlfn.LET(     _xlpm.filterCondition, _xlfn.TOCOL((_xlpm.errors &lt;&gt; "") * (_xlpm.tracker &lt;&gt; "Valid") * (_xlpm.tracker &lt;&gt; "Disabled")),     _xlpm.rowNumbers, _xlfn._xlws.FILTER(       _xlfn.TOCOL(ROW(_xlpm.tracker) * (COLUMN(_xlpm.tracker) / COLUMN(_xlpm.tracker)), 2),       _xlpm.filterCondition, ""     ),     IF(AND(ROWS(_xlpm.rowNumbers)*COLUMNS(_xlpm.rowNumbers)=1, _xlpm.rowNumbers=""),       "EMPTY_ERROR",       _xlfn.LET(         _xlpm.rawVals, INDEX(_xlpm.sheetRef, _xlpm.rowNumbers),         IFERROR(IF(_xlpm.rawVals = "", "", _xlpm.rawVals), "EMPTY_ERROR")       )     )   ) )</definedName>
    <definedName name="GetSheetStatusData">_xlfn.LAMBDA(_xlpm.tracker,_xlpm.errors,   _xlfn.LET(     _xlpm.filterCondition, _xlfn.TOCOL((_xlpm.errors &lt;&gt; "") * (_xlpm.tracker &lt;&gt; "Valid") * (_xlpm.tracker &lt;&gt; "Disabled")),     _xlfn._xlws.FILTER(_xlfn.TOCOL(_xlpm.tracker), _xlpm.filterCondition, "")   ) )</definedName>
    <definedName name="GetSheetSupplierPartNumbers">_xlfn.LAMBDA(_xlpm.tracker,_xlpm.errors,_xlpm.sheetRef,   _xlfn.LET(     _xlpm.filterCondition, _xlfn.TOCOL((_xlpm.errors &lt;&gt; "") * (_xlpm.tracker &lt;&gt; "Valid") * (_xlpm.tracker &lt;&gt; "Disabled")),     _xlpm.rowNumbers, _xlfn._xlws.FILTER(       _xlfn.TOCOL(ROW(_xlpm.tracker) * (COLUMN(_xlpm.tracker) / COLUMN(_xlpm.tracker)), 2),       _xlpm.filterCondition, ""     ),     IF(AND(ROWS(_xlpm.rowNumbers)*COLUMNS(_xlpm.rowNumbers)=1, _xlpm.rowNumbers=""),       "",       _xlfn.LET(         _xlpm.rawVals, INDEX(_xlpm.sheetRef, _xlpm.rowNumbers),         IFERROR(IF(_xlpm.rawVals = "", "", _xlpm.rawVals), "")       )     )   ) )</definedName>
    <definedName name="media__documentsAnswers">'Additional Documents'!$B$7:$H$507</definedName>
    <definedName name="media__documentsErrors">'Additional Documents-WUO_ERR'!$B$7:$H$507</definedName>
    <definedName name="media__documentsHeaders">'Additional Documents'!$B$4:$H$4</definedName>
    <definedName name="media__documentsTracker">'Additional Documents-WUO_TRK'!$B$7:$H$507</definedName>
    <definedName name="media__imagesAnswers">'Additional Images'!$B$7:$D$507</definedName>
    <definedName name="media__imagesErrors">'Additional Images-WUO_ERR'!$B$7:$D$507</definedName>
    <definedName name="media__imagesHeaders">'Additional Images'!$B$4:$D$4</definedName>
    <definedName name="media__imagesTracker">'Additional Images-WUO_TRK'!$B$7:$D$507</definedName>
    <definedName name="media__videosAnswers">'Additional Videos'!$B$7:$D$507</definedName>
    <definedName name="media__videosErrors">'Additional Videos-WUO_ERR'!$B$7:$D$507</definedName>
    <definedName name="media__videosHeaders">'Additional Videos'!$B$4:$D$4</definedName>
    <definedName name="media__videosTracker">'Additional Videos-WUO_TRK'!$B$7:$D$507</definedName>
    <definedName name="propSixtyFive__chemicalsAnswers">'Additional Chemicals'!$B$7:$E$507</definedName>
    <definedName name="propSixtyFive__chemicalsErrors">'Additional Chemicals-WUO_ERR'!$B$7:$E$507</definedName>
    <definedName name="propSixtyFive__chemicalsHeaders">'Additional Chemicals'!$B$4:$E$4</definedName>
    <definedName name="propSixtyFive__chemicalsTracker">'Additional Chemicals-WUO_TRK'!$B$7:$E$507</definedName>
    <definedName name="shippingAndFulfillment__cartonsAnswers">'Additional Cartons'!$B$7:$G$507</definedName>
    <definedName name="shippingAndFulfillment__cartonsErrors">'Additional Cartons-WUO_ERR'!$B$7:$G$507</definedName>
    <definedName name="shippingAndFulfillment__cartonsHeaders">'Additional Cartons'!$B$4:$G$4</definedName>
    <definedName name="shippingAndFulfillment__cartonsTracker">'Additional Cartons-WUO_TRK'!$B$7:$G$507</definedName>
    <definedName name="_xlnm._FilterDatabase" localSheetId="1" hidden="1">'Error Summary'!$A$2:$H$2</definedName>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Helvetica"/>
      <family val="2"/>
      <b val="1"/>
      <color theme="1"/>
      <sz val="12"/>
    </font>
    <font>
      <name val="Helvetica"/>
      <family val="2"/>
      <color rgb="FF0000FF"/>
      <sz val="11"/>
    </font>
    <font>
      <name val="Helvetica"/>
      <family val="2"/>
      <b val="1"/>
      <color theme="1"/>
      <sz val="11"/>
    </font>
    <font>
      <name val="Helvetica"/>
      <family val="2"/>
      <color theme="1"/>
      <sz val="11"/>
    </font>
    <font>
      <name val="Helvetica"/>
      <family val="2"/>
      <b val="1"/>
      <i val="1"/>
      <color theme="1"/>
      <sz val="11"/>
    </font>
    <font>
      <name val="Helvetica"/>
      <family val="2"/>
      <b val="1"/>
      <color rgb="FF0000FF"/>
      <sz val="11"/>
      <u val="single"/>
    </font>
    <font>
      <name val="Helvetica"/>
      <family val="2"/>
      <b val="1"/>
      <color rgb="FFFFFFFF"/>
      <sz val="11"/>
    </font>
    <font>
      <name val="Calibri"/>
      <family val="2"/>
      <color rgb="FFFFFFFF"/>
      <sz val="11"/>
      <scheme val="minor"/>
    </font>
    <font>
      <name val="Tahoma"/>
      <family val="2"/>
      <color indexed="81"/>
      <sz val="8"/>
    </font>
  </fonts>
  <fills count="20">
    <fill>
      <patternFill/>
    </fill>
    <fill>
      <patternFill patternType="gray125"/>
    </fill>
    <fill>
      <patternFill patternType="solid">
        <fgColor rgb="FFDAE9D3"/>
        <bgColor indexed="64"/>
      </patternFill>
    </fill>
    <fill>
      <patternFill patternType="solid">
        <fgColor rgb="FFD8D8D8"/>
        <bgColor indexed="64"/>
      </patternFill>
    </fill>
    <fill>
      <patternFill patternType="solid">
        <fgColor rgb="FFFFABA7"/>
        <bgColor indexed="64"/>
      </patternFill>
    </fill>
    <fill>
      <patternFill patternType="solid">
        <fgColor rgb="FFFF8080"/>
        <bgColor indexed="64"/>
      </patternFill>
    </fill>
    <fill>
      <patternFill patternType="solid">
        <fgColor rgb="FFD8E4F9"/>
        <bgColor indexed="64"/>
      </patternFill>
    </fill>
    <fill>
      <patternFill patternType="solid">
        <fgColor rgb="FFFFFFCC"/>
        <bgColor indexed="64"/>
      </patternFill>
    </fill>
    <fill>
      <patternFill patternType="solid">
        <fgColor rgb="FFC4BD97"/>
        <bgColor indexed="64"/>
      </patternFill>
    </fill>
    <fill>
      <patternFill patternType="solid">
        <fgColor rgb="FFA3D571"/>
        <bgColor indexed="64"/>
      </patternFill>
    </fill>
    <fill>
      <patternFill patternType="solid">
        <fgColor rgb="FF0EF0AA"/>
        <bgColor indexed="64"/>
      </patternFill>
    </fill>
    <fill>
      <patternFill patternType="solid">
        <fgColor rgb="FFFFCCCC"/>
        <bgColor indexed="64"/>
      </patternFill>
    </fill>
    <fill>
      <patternFill patternType="solid">
        <fgColor rgb="FFFF6699"/>
        <bgColor indexed="64"/>
      </patternFill>
    </fill>
    <fill>
      <patternFill patternType="solid">
        <fgColor rgb="FF9D86FE"/>
        <bgColor indexed="64"/>
      </patternFill>
    </fill>
    <fill>
      <patternFill patternType="solid">
        <fgColor rgb="FFCCFF66"/>
        <bgColor indexed="64"/>
      </patternFill>
    </fill>
    <fill>
      <patternFill patternType="solid">
        <fgColor rgb="FFCC99FF"/>
        <bgColor indexed="64"/>
      </patternFill>
    </fill>
    <fill>
      <patternFill patternType="solid">
        <fgColor rgb="FFEFEFEF"/>
        <bgColor indexed="64"/>
      </patternFill>
    </fill>
    <fill>
      <patternFill patternType="solid">
        <fgColor rgb="FF684C7C"/>
        <bgColor indexed="64"/>
      </patternFill>
    </fill>
    <fill>
      <patternFill patternType="solid">
        <fgColor rgb="FFD0C4DC"/>
        <bgColor indexed="64"/>
      </patternFill>
    </fill>
    <fill>
      <patternFill patternType="solid">
        <fgColor rgb="FF000000"/>
        <bgColor indexed="64"/>
      </patternFill>
    </fill>
  </fills>
  <borders count="15">
    <border>
      <left/>
      <right/>
      <top/>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top/>
      <bottom/>
      <diagonal/>
    </border>
    <border>
      <left style="medium">
        <color auto="1"/>
      </left>
      <right style="medium">
        <color auto="1"/>
      </right>
      <top style="medium">
        <color auto="1"/>
      </top>
      <bottom style="medium">
        <color auto="1"/>
      </bottom>
      <diagonal/>
    </border>
    <border>
      <left style="medium">
        <color rgb="FF000000"/>
      </left>
      <right style="medium">
        <color rgb="FF000000"/>
      </right>
      <top style="medium">
        <color rgb="FF000000"/>
      </top>
      <bottom style="medium">
        <color rgb="FF000000"/>
      </bottom>
      <diagonal/>
    </border>
    <border>
      <left style="thin">
        <color rgb="FF000000"/>
      </left>
      <right style="thin">
        <color rgb="FF000000"/>
      </right>
      <top style="thin">
        <color rgb="FF000000"/>
      </top>
      <bottom style="thin">
        <color rgb="FF000000"/>
      </bottom>
      <diagonal/>
    </border>
    <border>
      <left/>
      <right/>
      <top style="medium">
        <color auto="1"/>
      </top>
      <bottom/>
      <diagonal/>
    </border>
    <border>
      <left/>
      <right style="medium">
        <color auto="1"/>
      </right>
      <top style="medium">
        <color auto="1"/>
      </top>
      <bottom/>
      <diagonal/>
    </border>
    <border>
      <left/>
      <right/>
      <top style="medium">
        <color auto="1"/>
      </top>
      <bottom style="medium">
        <color auto="1"/>
      </bottom>
      <diagonal/>
    </border>
    <border>
      <left/>
      <right style="medium">
        <color auto="1"/>
      </right>
      <top style="medium">
        <color auto="1"/>
      </top>
      <bottom style="medium">
        <color auto="1"/>
      </bottom>
      <diagonal/>
    </border>
  </borders>
  <cellStyleXfs count="1">
    <xf numFmtId="0" fontId="0" fillId="0" borderId="0"/>
  </cellStyleXfs>
  <cellXfs count="42">
    <xf numFmtId="0" fontId="0" fillId="0" borderId="0" pivotButton="0" quotePrefix="0" xfId="0"/>
    <xf numFmtId="0" fontId="1" fillId="2" borderId="0" applyAlignment="1" pivotButton="0" quotePrefix="0" xfId="0">
      <alignment wrapText="1"/>
    </xf>
    <xf numFmtId="0" fontId="2" fillId="0" borderId="0" applyAlignment="1" pivotButton="0" quotePrefix="0" xfId="0">
      <alignment wrapText="1"/>
    </xf>
    <xf numFmtId="0" fontId="3" fillId="0" borderId="0" applyAlignment="1" pivotButton="0" quotePrefix="0" xfId="0">
      <alignment wrapText="1"/>
    </xf>
    <xf numFmtId="0" fontId="4" fillId="0" borderId="0" applyAlignment="1" pivotButton="0" quotePrefix="0" xfId="0">
      <alignment wrapText="1"/>
    </xf>
    <xf numFmtId="0" fontId="1" fillId="3" borderId="0" applyAlignment="1" pivotButton="0" quotePrefix="0" xfId="0">
      <alignment wrapText="1"/>
    </xf>
    <xf numFmtId="0" fontId="3" fillId="3" borderId="1" applyAlignment="1" pivotButton="0" quotePrefix="0" xfId="0">
      <alignment wrapText="1"/>
    </xf>
    <xf numFmtId="0" fontId="4" fillId="3" borderId="2" applyAlignment="1" pivotButton="0" quotePrefix="0" xfId="0">
      <alignment wrapText="1"/>
    </xf>
    <xf numFmtId="0" fontId="4" fillId="4" borderId="3" applyAlignment="1" pivotButton="0" quotePrefix="0" xfId="0">
      <alignment wrapText="1"/>
    </xf>
    <xf numFmtId="0" fontId="4" fillId="0" borderId="4" applyAlignment="1" pivotButton="0" quotePrefix="0" xfId="0">
      <alignment wrapText="1"/>
    </xf>
    <xf numFmtId="0" fontId="4" fillId="3" borderId="3" applyAlignment="1" pivotButton="0" quotePrefix="0" xfId="0">
      <alignment wrapText="1"/>
    </xf>
    <xf numFmtId="0" fontId="4" fillId="5" borderId="3" applyAlignment="1" pivotButton="0" quotePrefix="0" xfId="0">
      <alignment wrapText="1"/>
    </xf>
    <xf numFmtId="0" fontId="4" fillId="6" borderId="3" applyAlignment="1" pivotButton="0" quotePrefix="0" xfId="0">
      <alignment wrapText="1"/>
    </xf>
    <xf numFmtId="0" fontId="4" fillId="7" borderId="3" applyAlignment="1" pivotButton="0" quotePrefix="0" xfId="0">
      <alignment wrapText="1"/>
    </xf>
    <xf numFmtId="0" fontId="4" fillId="0" borderId="5" applyAlignment="1" pivotButton="0" quotePrefix="0" xfId="0">
      <alignment wrapText="1"/>
    </xf>
    <xf numFmtId="0" fontId="4" fillId="0" borderId="6" applyAlignment="1" pivotButton="0" quotePrefix="0" xfId="0">
      <alignment wrapText="1"/>
    </xf>
    <xf numFmtId="0" fontId="5" fillId="0" borderId="0" applyAlignment="1" pivotButton="0" quotePrefix="0" xfId="0">
      <alignment wrapText="1"/>
    </xf>
    <xf numFmtId="0" fontId="4" fillId="0" borderId="7" applyAlignment="1" pivotButton="0" quotePrefix="0" xfId="0">
      <alignment wrapText="1"/>
    </xf>
    <xf numFmtId="0" fontId="3" fillId="0" borderId="8" applyAlignment="1" pivotButton="0" quotePrefix="0" xfId="0">
      <alignment horizontal="center" vertical="center" wrapText="1"/>
    </xf>
    <xf numFmtId="0" fontId="3" fillId="0" borderId="8" applyAlignment="1" pivotButton="0" quotePrefix="0" xfId="0">
      <alignment horizontal="center" vertical="center"/>
    </xf>
    <xf numFmtId="0" fontId="0" fillId="0" borderId="0" applyAlignment="1" applyProtection="1" pivotButton="0" quotePrefix="0" xfId="0">
      <alignment vertical="center" wrapText="1"/>
      <protection locked="1" hidden="1"/>
    </xf>
    <xf numFmtId="0" fontId="6" fillId="0" borderId="0" applyAlignment="1" applyProtection="1" pivotButton="0" quotePrefix="0" xfId="0">
      <alignment vertical="center" wrapText="1"/>
      <protection locked="1" hidden="1"/>
    </xf>
    <xf numFmtId="0" fontId="0" fillId="0" borderId="0" applyProtection="1" pivotButton="0" quotePrefix="0" xfId="0">
      <protection locked="0" hidden="0"/>
    </xf>
    <xf numFmtId="0" fontId="3" fillId="8" borderId="8" pivotButton="0" quotePrefix="0" xfId="0"/>
    <xf numFmtId="0" fontId="3" fillId="9" borderId="8" pivotButton="0" quotePrefix="0" xfId="0"/>
    <xf numFmtId="0" fontId="3" fillId="10" borderId="8" pivotButton="0" quotePrefix="0" xfId="0"/>
    <xf numFmtId="0" fontId="3" fillId="11" borderId="8" pivotButton="0" quotePrefix="0" xfId="0"/>
    <xf numFmtId="0" fontId="3" fillId="12" borderId="8" pivotButton="0" quotePrefix="0" xfId="0"/>
    <xf numFmtId="0" fontId="3" fillId="13" borderId="8" pivotButton="0" quotePrefix="0" xfId="0"/>
    <xf numFmtId="0" fontId="3" fillId="14" borderId="8" pivotButton="0" quotePrefix="0" xfId="0"/>
    <xf numFmtId="0" fontId="3" fillId="15" borderId="8" pivotButton="0" quotePrefix="0" xfId="0"/>
    <xf numFmtId="0" fontId="0" fillId="16" borderId="9" applyAlignment="1" pivotButton="0" quotePrefix="0" xfId="0">
      <alignment horizontal="center" vertical="top" wrapText="1"/>
    </xf>
    <xf numFmtId="0" fontId="7" fillId="17" borderId="8" applyAlignment="1" pivotButton="0" quotePrefix="0" xfId="0">
      <alignment horizontal="center" vertical="center"/>
    </xf>
    <xf numFmtId="0" fontId="3" fillId="18" borderId="8" applyAlignment="1" pivotButton="0" quotePrefix="0" xfId="0">
      <alignment horizontal="center" vertical="center"/>
    </xf>
    <xf numFmtId="0" fontId="3" fillId="0" borderId="9" applyAlignment="1" pivotButton="0" quotePrefix="0" xfId="0">
      <alignment horizontal="center" vertical="top" wrapText="1"/>
    </xf>
    <xf numFmtId="0" fontId="6" fillId="0" borderId="9" applyAlignment="1" pivotButton="0" quotePrefix="0" xfId="0">
      <alignment horizontal="center" vertical="top" wrapText="1"/>
    </xf>
    <xf numFmtId="0" fontId="8" fillId="19" borderId="9" applyAlignment="1" pivotButton="0" quotePrefix="0" xfId="0">
      <alignment horizontal="center"/>
    </xf>
    <xf numFmtId="0" fontId="0" fillId="3" borderId="10" applyProtection="1" pivotButton="0" quotePrefix="0" xfId="0">
      <protection locked="0" hidden="0"/>
    </xf>
    <xf numFmtId="0" fontId="0" fillId="0" borderId="0" applyProtection="1" pivotButton="0" quotePrefix="0" xfId="0">
      <protection locked="1" hidden="1"/>
    </xf>
    <xf numFmtId="0" fontId="6" fillId="18" borderId="9" applyAlignment="1" pivotButton="0" quotePrefix="0" xfId="0">
      <alignment horizontal="center" vertical="center" wrapText="1"/>
    </xf>
    <xf numFmtId="0" fontId="0" fillId="0" borderId="13" pivotButton="0" quotePrefix="0" xfId="0"/>
    <xf numFmtId="0" fontId="0" fillId="0" borderId="14" pivotButton="0" quotePrefix="0" xfId="0"/>
  </cellXfs>
  <cellStyles count="1">
    <cellStyle name="Normal" xfId="0" builtinId="0"/>
  </cellStyles>
  <dxfs count="12">
    <dxf>
      <fill>
        <patternFill>
          <bgColor rgb="FFFF484F"/>
        </patternFill>
      </fill>
    </dxf>
    <dxf>
      <fill>
        <patternFill>
          <bgColor rgb="FFFFABA7"/>
        </patternFill>
      </fill>
    </dxf>
    <dxf>
      <fill>
        <patternFill>
          <bgColor rgb="FFFFFFCC"/>
        </patternFill>
      </fill>
    </dxf>
    <dxf>
      <fill>
        <patternFill>
          <bgColor rgb="FFD9D9D9"/>
        </patternFill>
      </fill>
    </dxf>
    <dxf>
      <font>
        <color rgb="FF000000"/>
      </font>
      <fill>
        <patternFill>
          <bgColor rgb="FFB7E2CD"/>
        </patternFill>
      </fill>
    </dxf>
    <dxf>
      <font>
        <color rgb="FF0000FF"/>
        <u val="single"/>
      </font>
      <fill>
        <patternFill>
          <bgColor rgb="FFF4C7C3"/>
        </patternFill>
      </fill>
    </dxf>
    <dxf>
      <font>
        <color rgb="FF0000FF"/>
        <u val="single"/>
      </font>
      <fill>
        <patternFill>
          <bgColor rgb="FFFFFFCC"/>
        </patternFill>
      </fill>
    </dxf>
    <dxf>
      <fill>
        <patternFill>
          <bgColor rgb="FFD8D8D8"/>
        </patternFill>
      </fill>
      <border>
        <left style="thin">
          <color rgb="FF000000"/>
        </left>
        <right style="thin">
          <color rgb="FF000000"/>
        </right>
        <top style="thin">
          <color rgb="FF000000"/>
        </top>
        <bottom style="thin">
          <color rgb="FF000000"/>
        </bottom>
        <vertical/>
        <horizontal/>
      </border>
    </dxf>
    <dxf>
      <fill>
        <patternFill>
          <bgColor rgb="FFEEECE1"/>
        </patternFill>
      </fill>
      <border>
        <left style="thin">
          <color rgb="FF000000"/>
        </left>
        <right style="thin">
          <color rgb="FF000000"/>
        </right>
        <top style="thin">
          <color rgb="FF000000"/>
        </top>
        <bottom style="thin">
          <color rgb="FF000000"/>
        </bottom>
        <vertical/>
        <horizontal/>
      </border>
    </dxf>
    <dxf>
      <fill>
        <patternFill>
          <bgColor rgb="FFFF484F"/>
        </patternFill>
      </fill>
      <border>
        <left style="thin">
          <color rgb="FF808080"/>
        </left>
        <right style="thin">
          <color rgb="FF808080"/>
        </right>
        <top style="thin">
          <color rgb="FF808080"/>
        </top>
        <bottom style="thin">
          <color rgb="FF808080"/>
        </bottom>
        <vertical/>
        <horizontal/>
      </border>
    </dxf>
    <dxf>
      <fill>
        <patternFill>
          <bgColor rgb="FFFFFFCC"/>
        </patternFill>
      </fill>
      <border>
        <left style="thin">
          <color rgb="FF808080"/>
        </left>
        <right style="thin">
          <color rgb="FF808080"/>
        </right>
        <top style="thin">
          <color rgb="FF808080"/>
        </top>
        <bottom style="thin">
          <color rgb="FF808080"/>
        </bottom>
        <vertical/>
        <horizontal/>
      </border>
    </dxf>
    <dxf>
      <fill>
        <patternFill>
          <bgColor rgb="FFFFABA7"/>
        </patternFill>
      </fill>
      <border>
        <left style="thin">
          <color rgb="FF808080"/>
        </left>
        <right style="thin">
          <color rgb="FF808080"/>
        </right>
        <top style="thin">
          <color rgb="FF808080"/>
        </top>
        <bottom style="thin">
          <color rgb="FF808080"/>
        </bottom>
        <vertical/>
        <horizontal/>
      </border>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styles" Target="styles.xml" Id="rId23" /><Relationship Type="http://schemas.openxmlformats.org/officeDocument/2006/relationships/theme" Target="theme/theme1.xml" Id="rId24" /></Relationships>
</file>

<file path=xl/comments/comment1.xml><?xml version="1.0" encoding="utf-8"?>
<comments xmlns="http://schemas.openxmlformats.org/spreadsheetml/2006/main">
  <authors>
    <author>wayfair</author>
  </authors>
  <commentList>
    <comment ref="B7" authorId="0" shapeId="0">
      <text>
        <t>If all of your products have the same answer to a question, you can set a default value. Any answer you enter in Row 7 will be applied to all of your product in this class automatically.</t>
      </text>
    </comment>
  </commentList>
</comments>
</file>

<file path=xl/comments/comment2.xml><?xml version="1.0" encoding="utf-8"?>
<comments xmlns="http://schemas.openxmlformats.org/spreadsheetml/2006/main">
  <authors>
    <author>wayfair</author>
  </authors>
  <commentList>
    <comment ref="B7" authorId="0" shapeId="0">
      <text>
        <t>If all of your products have the same answer to a question, you can set a default value. Any answer you enter in Row 7 will be applied to all of your product in this class automatically.</t>
      </text>
    </comment>
  </commentList>
</comments>
</file>

<file path=xl/comments/comment3.xml><?xml version="1.0" encoding="utf-8"?>
<comments xmlns="http://schemas.openxmlformats.org/spreadsheetml/2006/main">
  <authors>
    <author>wayfair</author>
  </authors>
  <commentList>
    <comment ref="B7" authorId="0" shapeId="0">
      <text>
        <t>If all of your products have the same answer to a question, you can set a default value. Any answer you enter in Row 7 will be applied to all of your product in this class automatically.</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partners.wayfair.com/help/2/article/3221" TargetMode="External" Id="rId1" /></Relationships>
</file>

<file path=xl/worksheets/_rels/sheet4.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5.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6.xml.rels><Relationships xmlns="http://schemas.openxmlformats.org/package/2006/relationships"><Relationship Type="http://schemas.openxmlformats.org/officeDocument/2006/relationships/comments" Target="/xl/comments/comment3.xml" Id="comments" /><Relationship Type="http://schemas.openxmlformats.org/officeDocument/2006/relationships/vmlDrawing" Target="/xl/drawings/commentsDrawing3.vml" Id="anysvml" /></Relationships>
</file>

<file path=xl/worksheets/sheet1.xml><?xml version="1.0" encoding="utf-8"?>
<worksheet xmlns="http://schemas.openxmlformats.org/spreadsheetml/2006/main">
  <sheetPr>
    <outlinePr summaryBelow="1" summaryRight="1"/>
    <pageSetUpPr/>
  </sheetPr>
  <dimension ref="A1:D40"/>
  <sheetViews>
    <sheetView showGridLines="0" tabSelected="1" workbookViewId="0">
      <selection activeCell="A1" sqref="A1"/>
    </sheetView>
  </sheetViews>
  <sheetFormatPr baseColWidth="8" defaultRowHeight="15"/>
  <cols>
    <col width="149.5703125" bestFit="1" customWidth="1" min="1" max="1"/>
    <col width="15.5703125" bestFit="1" customWidth="1" min="3" max="3"/>
    <col width="105" bestFit="1" customWidth="1" min="4" max="4"/>
  </cols>
  <sheetData>
    <row r="1">
      <c r="A1" s="1" t="inlineStr">
        <is>
          <t>New Features</t>
        </is>
      </c>
      <c r="D1" s="2" t="inlineStr">
        <is>
          <t>For Mandarin translations of product questions, please click here. All answer inputs should still be provided in English.
点击此处查看所有产品相关问题的中文翻译。</t>
        </is>
      </c>
    </row>
    <row r="2">
      <c r="A2" s="3" t="inlineStr">
        <is>
          <t>Conditional Formatting</t>
        </is>
      </c>
    </row>
    <row r="3">
      <c r="A3" s="4" t="inlineStr">
        <is>
          <t>Some answers to questions on the spec sheet are dependent on upstream responses, whether they are related to attributes like material type, existence of features</t>
        </is>
      </c>
      <c r="C3" s="5" t="inlineStr">
        <is>
          <t>Legends</t>
        </is>
      </c>
      <c r="D3" s="5" t="n"/>
    </row>
    <row r="4">
      <c r="A4" s="4" t="inlineStr">
        <is>
          <t>or compliance. Real-time cell coloring per the legend indicates whether an input is required, has an error or has a conditional rule applied.</t>
        </is>
      </c>
      <c r="C4" s="6" t="inlineStr">
        <is>
          <t>Cell Fill Colors</t>
        </is>
      </c>
      <c r="D4" s="7" t="n"/>
    </row>
    <row r="5">
      <c r="A5" s="3" t="inlineStr">
        <is>
          <t>Error Guidance</t>
        </is>
      </c>
      <c r="C5" s="8" t="inlineStr">
        <is>
          <t>Light Red</t>
        </is>
      </c>
      <c r="D5" s="9" t="inlineStr">
        <is>
          <t>Missing required data</t>
        </is>
      </c>
    </row>
    <row r="6">
      <c r="A6" s="4" t="inlineStr">
        <is>
          <t>Errors are highlighted on the Error Summary Tab which shows a summary of all errors across all sheets with high level details and hyperlinks to the corresponding</t>
        </is>
      </c>
      <c r="C6" s="10" t="inlineStr">
        <is>
          <t>Gray</t>
        </is>
      </c>
      <c r="D6" s="9" t="inlineStr">
        <is>
          <t>Not required/will be autofilled*</t>
        </is>
      </c>
    </row>
    <row r="7">
      <c r="A7" s="4" t="inlineStr">
        <is>
          <t>cell where the error occurred. Additionally, a new Error Status Column at the beginning of each class sheet will show the status of each row and will display the first error</t>
        </is>
      </c>
      <c r="C7" s="11" t="inlineStr">
        <is>
          <t>Red</t>
        </is>
      </c>
      <c r="D7" s="9" t="inlineStr">
        <is>
          <t>Error/incorrect answer</t>
        </is>
      </c>
    </row>
    <row r="8">
      <c r="A8" s="4" t="inlineStr">
        <is>
          <t>error message in that row, and will update as errors are resolved from left to right.</t>
        </is>
      </c>
      <c r="C8" s="12" t="inlineStr">
        <is>
          <t>Blue</t>
        </is>
      </c>
      <c r="D8" s="9" t="inlineStr">
        <is>
          <t>Autofill suggested by Wayfair (review needed)</t>
        </is>
      </c>
    </row>
    <row r="9">
      <c r="C9" s="13" t="inlineStr">
        <is>
          <t>Yellow</t>
        </is>
      </c>
      <c r="D9" s="9" t="inlineStr">
        <is>
          <t>Warning</t>
        </is>
      </c>
    </row>
    <row r="10">
      <c r="A10" s="5" t="inlineStr">
        <is>
          <t>Class Sheet Instructions</t>
        </is>
      </c>
      <c r="C10" s="14" t="inlineStr">
        <is>
          <t>No fill</t>
        </is>
      </c>
      <c r="D10" s="15" t="inlineStr">
        <is>
          <t>Validated/no action required</t>
        </is>
      </c>
    </row>
    <row r="11">
      <c r="D11" s="4" t="inlineStr">
        <is>
          <t>* For products that have already been submitted, the entire row will be filled gray and cannot be edited further</t>
        </is>
      </c>
    </row>
    <row r="12">
      <c r="A12" s="4" t="inlineStr">
        <is>
          <t>All data provided in the class sheet feeds directly to the customer-facing Product Details Page (PDP), optimizes search and enables order fulfillment. Please ensure the</t>
        </is>
      </c>
    </row>
    <row r="13">
      <c r="A13" s="4" t="inlineStr">
        <is>
          <t>data provided is accurate and as detailed as possible.</t>
        </is>
      </c>
      <c r="C13" s="6" t="inlineStr">
        <is>
          <t>Data Priority</t>
        </is>
      </c>
      <c r="D13" s="7" t="n"/>
    </row>
    <row r="14">
      <c r="A14" s="16" t="inlineStr">
        <is>
          <t>Notes:</t>
        </is>
      </c>
      <c r="C14" s="17" t="inlineStr">
        <is>
          <t>Required</t>
        </is>
      </c>
      <c r="D14" s="9" t="inlineStr">
        <is>
          <t>Data required for product to be live on site</t>
        </is>
      </c>
    </row>
    <row r="15">
      <c r="A15" s="4" t="inlineStr">
        <is>
          <t xml:space="preserve">  •  Column headers provide additional information on the data required for each column.</t>
        </is>
      </c>
      <c r="C15" s="17" t="inlineStr">
        <is>
          <t>Recommended</t>
        </is>
      </c>
      <c r="D15" s="9" t="inlineStr">
        <is>
          <t>Not required but recommended to improve search and browse</t>
        </is>
      </c>
    </row>
    <row r="16">
      <c r="A16" s="4" t="inlineStr">
        <is>
          <t xml:space="preserve">  •  Completing Recommended and Additional fields further enhances the customer experience and improves the quality of listings for better product discovery.</t>
        </is>
      </c>
      <c r="C16" s="17" t="inlineStr">
        <is>
          <t>Additional</t>
        </is>
      </c>
      <c r="D16" s="9" t="inlineStr">
        <is>
          <t>Optional but enhances listings for customers</t>
        </is>
      </c>
    </row>
    <row r="17">
      <c r="A17" s="4" t="inlineStr">
        <is>
          <t xml:space="preserve">  •  Marketing Copy should provide a compelling, informative overview of the product, ensuring it effectively highlights key features, benefits, and use cases.</t>
        </is>
      </c>
      <c r="C17" s="14" t="inlineStr">
        <is>
          <t>Conditional</t>
        </is>
      </c>
      <c r="D17" s="15" t="inlineStr">
        <is>
          <t>Data may be required based on prior responses</t>
        </is>
      </c>
    </row>
    <row r="18">
      <c r="A18" s="4" t="inlineStr">
        <is>
          <t xml:space="preserve">       Incorporating comprehensive, descriptive language will enable future enhancements for capturing and improving product tagging.</t>
        </is>
      </c>
    </row>
    <row r="19">
      <c r="A19" s="4" t="inlineStr">
        <is>
          <t xml:space="preserve">       ◦  Provide key selling point(s)/feature(s) that differentiate your product and inform customers about your product and encourage purchase.</t>
        </is>
      </c>
      <c r="C19" s="6" t="inlineStr">
        <is>
          <t>Data Type</t>
        </is>
      </c>
      <c r="D19" s="7" t="n"/>
    </row>
    <row r="20">
      <c r="A20" s="4" t="inlineStr">
        <is>
          <t xml:space="preserve">       ◦  Either Marketing Copy OR at least 3 Feature Bullets are required. Feature bullets will be displayed on Wayfair PDP in bulleted form.</t>
        </is>
      </c>
      <c r="C20" s="17" t="inlineStr">
        <is>
          <t>Text</t>
        </is>
      </c>
      <c r="D20" s="9" t="inlineStr">
        <is>
          <t>Enter a text-based response</t>
        </is>
      </c>
    </row>
    <row r="21">
      <c r="A21" s="4" t="inlineStr">
        <is>
          <t xml:space="preserve">  •  The order in which media is input may not be reflected in order of imagery on the product page.</t>
        </is>
      </c>
      <c r="C21" s="17" t="inlineStr">
        <is>
          <t>Single-Select</t>
        </is>
      </c>
      <c r="D21" s="9" t="inlineStr">
        <is>
          <t>Select one option from a list of provided options (listed in a dropdown on the cell)</t>
        </is>
      </c>
    </row>
    <row r="22">
      <c r="A22" s="4" t="inlineStr">
        <is>
          <t xml:space="preserve">  •  If all products in a class have the same answer to a question, a default value can be set. An answer entered in the Default Answer row will be applied to all products</t>
        </is>
      </c>
      <c r="C22" s="17" t="inlineStr">
        <is>
          <t>Multi-Select</t>
        </is>
      </c>
      <c r="D22" s="9" t="inlineStr">
        <is>
          <t>Enter one or more options from a list of provided options, separated using a semi-colon (;)</t>
        </is>
      </c>
    </row>
    <row r="23">
      <c r="A23" s="4" t="inlineStr">
        <is>
          <t xml:space="preserve">      in that class automatically. Additional products added to this class in the future will have the same default value applied as well. For any products that have a</t>
        </is>
      </c>
      <c r="C23" s="17" t="inlineStr">
        <is>
          <t>Number*</t>
        </is>
      </c>
      <c r="D23" s="9" t="inlineStr">
        <is>
          <t>Enter a decimal numeric response with up to 2 decimal points</t>
        </is>
      </c>
    </row>
    <row r="24">
      <c r="A24" s="4" t="inlineStr">
        <is>
          <t xml:space="preserve">      different answer than others in the class, enter the answer manually to the applicable row to bypass the default just for that question and product.</t>
        </is>
      </c>
      <c r="C24" s="17" t="inlineStr">
        <is>
          <t>Whole Number*</t>
        </is>
      </c>
      <c r="D24" s="9" t="inlineStr">
        <is>
          <t>Enter an integer (whole number) numeric response</t>
        </is>
      </c>
    </row>
    <row r="25">
      <c r="C25" s="14" t="inlineStr">
        <is>
          <t>Yes or No</t>
        </is>
      </c>
      <c r="D25" s="15" t="inlineStr">
        <is>
          <t>Enter a Yes, No or Does Not Apply response (listed in a dropdown on the cell)</t>
        </is>
      </c>
    </row>
    <row r="26">
      <c r="A26" s="5" t="inlineStr">
        <is>
          <t>Additional Tabs Instructions</t>
        </is>
      </c>
      <c r="D26" s="4" t="inlineStr">
        <is>
          <t>* Does Not Apply is a valid response when applicable</t>
        </is>
      </c>
    </row>
    <row r="27">
      <c r="A27" s="3" t="inlineStr">
        <is>
          <t>Additional Cartons</t>
        </is>
      </c>
    </row>
    <row r="28">
      <c r="A28" s="4" t="inlineStr">
        <is>
          <t>If a product ships in more than 5 cartons, use the Additional Cartons tab to submit data for cartons 6 and beyond. To add additional cartons, provide the Supplier Part</t>
        </is>
      </c>
    </row>
    <row r="29">
      <c r="A29" s="4" t="inlineStr">
        <is>
          <t>Number followed by corresponding data for each carton.</t>
        </is>
      </c>
    </row>
    <row r="30">
      <c r="A30" s="3" t="inlineStr">
        <is>
          <t>Additional Chemicals</t>
        </is>
      </c>
    </row>
    <row r="31">
      <c r="A31" s="4" t="inlineStr">
        <is>
          <t>If your product contains more than 5 chemicals that need to be reported for Proposition 65, use the Additional Chemicals tab to add additional data.</t>
        </is>
      </c>
    </row>
    <row r="32">
      <c r="A32" s="3" t="inlineStr">
        <is>
          <t>Additional Media</t>
        </is>
      </c>
    </row>
    <row r="33">
      <c r="A33" s="4" t="inlineStr">
        <is>
          <t>If a product has more media files than there are columns for in the class sheet, use the Additional Images, Videos or Documents tabs to add additional data.</t>
        </is>
      </c>
    </row>
    <row r="34">
      <c r="A34" s="16" t="inlineStr">
        <is>
          <t>Notes:</t>
        </is>
      </c>
    </row>
    <row r="35">
      <c r="A35" s="4" t="inlineStr">
        <is>
          <t xml:space="preserve">  •  A maximum of 3 videos can be shown on a product display page in the media tray. Additional videos can be showcased within Waymore content.</t>
        </is>
      </c>
    </row>
    <row r="36">
      <c r="A36" s="3" t="inlineStr">
        <is>
          <t>Valid Values</t>
        </is>
      </c>
    </row>
    <row r="37">
      <c r="A37" s="4" t="inlineStr">
        <is>
          <t>The Valid Values tab shows all acceptable answers to single- and multi-select questions. Hyperlinks below each column header will bring you to the corresponding</t>
        </is>
      </c>
    </row>
    <row r="38">
      <c r="A38" s="4" t="inlineStr">
        <is>
          <t>values list on this tab.</t>
        </is>
      </c>
    </row>
    <row r="39">
      <c r="A39" s="3" t="inlineStr">
        <is>
          <t>Failed Products</t>
        </is>
      </c>
    </row>
    <row r="40">
      <c r="A40" s="4" t="inlineStr">
        <is>
          <t>The Failed Products tab will only show if products in your template failed to upload. These products will need to be added to a new template and uploaded again.</t>
        </is>
      </c>
    </row>
  </sheetData>
  <sheetProtection selectLockedCells="0" selectUnlockedCells="0" sheet="1" objects="1" insertRows="1" insertHyperlinks="1" autoFilter="1" scenarios="1" formatColumns="1" deleteColumns="1" insertColumns="1" pivotTables="1" deleteRows="1" formatCells="1" formatRows="1" sort="1" password="B33F"/>
  <hyperlinks>
    <hyperlink xmlns:r="http://schemas.openxmlformats.org/officeDocument/2006/relationships" ref="D1" r:id="rId1"/>
  </hyperlink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J6002"/>
  <sheetViews>
    <sheetView workbookViewId="0">
      <selection activeCell="A1" sqref="A1"/>
    </sheetView>
  </sheetViews>
  <sheetFormatPr baseColWidth="8" defaultRowHeight="15"/>
  <cols>
    <col width="30.7109375" customWidth="1" min="1" max="2"/>
    <col width="20.7109375" customWidth="1" min="3" max="3"/>
    <col width="30.7109375" customWidth="1" min="4" max="6"/>
    <col width="50.7109375" customWidth="1" min="7" max="8"/>
    <col hidden="1" min="10" max="10"/>
  </cols>
  <sheetData>
    <row r="1" ht="50" customHeight="1">
      <c r="A1" s="18" t="inlineStr">
        <is>
          <t>This Error Summary tab lists all errors and warnings in the spec sheet. Each entry includes a link to the specific cell and detailed information about the issue.</t>
        </is>
      </c>
      <c r="B1" s="40" t="n"/>
      <c r="C1" s="40" t="n"/>
      <c r="D1" s="40" t="n"/>
      <c r="E1" s="40" t="n"/>
      <c r="F1" s="40" t="n"/>
      <c r="G1" s="40" t="n"/>
      <c r="H1" s="41" t="n"/>
    </row>
    <row r="2" ht="50" customHeight="1">
      <c r="A2" s="19" t="inlineStr">
        <is>
          <t>Status</t>
        </is>
      </c>
      <c r="B2" s="19" t="inlineStr">
        <is>
          <t>Location</t>
        </is>
      </c>
      <c r="C2" s="19" t="inlineStr">
        <is>
          <t>Sheet Name</t>
        </is>
      </c>
      <c r="D2" s="19" t="inlineStr">
        <is>
          <t>Supplier Part Number</t>
        </is>
      </c>
      <c r="E2" s="19" t="inlineStr">
        <is>
          <t>Product Name</t>
        </is>
      </c>
      <c r="F2" s="19" t="inlineStr">
        <is>
          <t>Field</t>
        </is>
      </c>
      <c r="G2" s="19" t="inlineStr">
        <is>
          <t>Provided Answer</t>
        </is>
      </c>
      <c r="H2" s="19" t="inlineStr">
        <is>
          <t>Error Message</t>
        </is>
      </c>
    </row>
    <row r="3">
      <c r="A3" s="20">
        <f t="array" ref="A3">_xlfn.LET(_xlpm.class6Data, GetSheetStatusData(Class6Tracker, Class6Errors), _xlpm.shippingAndFulfillment__cartonsData, GetSheetStatusData(shippingAndFulfillment__cartonsTracker, shippingAndFulfillment__cartonsErrors), _xlpm.propSixtyFive__chemicalsData, GetSheetStatusData(propSixtyFive__chemicalsTracker, propSixtyFive__chemicalsErrors), _xlpm.media__imagesData, GetSheetStatusData(media__imagesTracker, media__imagesErrors), _xlpm.media__videosData, GetSheetStatusData(media__videosTracker, media__videosErrors), _xlpm.media__documentsData, GetSheetStatusData(media__documentsTracker, media__documentsErrors), _xlpm.stackedData, _xlfn.VSTACK(_xlpm.class6Data, _xlpm.shippingAndFulfillment__cartonsData, _xlpm.propSixtyFive__chemicalsData, _xlpm.media__imagesData, _xlpm.media__videosData, _xlpm.media__documentsData), _xlfn._xlws.FILTER(_xlpm.stackedData, _xlpm.stackedData&lt;&gt;"", ""))</f>
        <v/>
      </c>
      <c r="B3" s="21">
        <f>IF(AND(C3&lt;&gt;"", J3&lt;&gt;""), HYPERLINK("#'" &amp; C3 &amp; "'!" &amp; J3, J3), "")</f>
        <v/>
      </c>
      <c r="C3" s="20">
        <f t="array" ref="C3">_xlfn.LET(_xlpm.class6Data, GetSheetNameData(Class6Tracker, Class6Errors, "6 - TV Stands &amp; Enterta"), _xlpm.shippingAndFulfillment__cartonsData, GetSheetNameData(shippingAndFulfillment__cartonsTracker, shippingAndFulfillment__cartonsErrors, "Additional Cartons"), _xlpm.propSixtyFive__chemicalsData, GetSheetNameData(propSixtyFive__chemicalsTracker, propSixtyFive__chemicalsErrors, "Additional Chemicals"), _xlpm.media__imagesData, GetSheetNameData(media__imagesTracker, media__imagesErrors, "Additional Images"), _xlpm.media__videosData, GetSheetNameData(media__videosTracker, media__videosErrors, "Additional Videos"), _xlpm.media__documentsData, GetSheetNameData(media__documentsTracker, media__documentsErrors, "Additional Documents"), _xlpm.stackedData, _xlfn.VSTACK(_xlpm.class6Data, _xlpm.shippingAndFulfillment__cartonsData, _xlpm.propSixtyFive__chemicalsData, _xlpm.media__imagesData, _xlpm.media__videosData, _xlpm.media__documentsData), _xlfn._xlws.FILTER(_xlpm.stackedData, _xlpm.stackedData&lt;&gt;"", ""))</f>
        <v/>
      </c>
      <c r="D3" s="20">
        <f t="array" ref="D3">_xlfn.LET(_xlpm.class6PartNumbers, GetSheetSupplierPartNumbers(Class6Tracker, Class6Errors, '6 - TV Stands &amp; Enterta'!B:B), _xlpm.shippingAndFulfillment__cartonsPartNumbers, GetSheetSupplierPartNumbers(shippingAndFulfillment__cartonsTracker, shippingAndFulfillment__cartonsErrors, 'Additional Cartons'!B:B), _xlpm.propSixtyFive__chemicalsPartNumbers, GetSheetSupplierPartNumbers(propSixtyFive__chemicalsTracker, propSixtyFive__chemicalsErrors, 'Additional Chemicals'!B:B), _xlpm.media__imagesPartNumbers, GetSheetSupplierPartNumbers(media__imagesTracker, media__imagesErrors, 'Additional Images'!B:B), _xlpm.media__videosPartNumbers, GetSheetSupplierPartNumbers(media__videosTracker, media__videosErrors, 'Additional Videos'!B:B), _xlpm.media__documentsPartNumbers, GetSheetSupplierPartNumbers(media__documentsTracker, media__documentsErrors, 'Additional Documents'!B:B), _xlpm.stackedPartNumbers, _xlfn.VSTACK(_xlpm.class6PartNumbers, _xlpm.shippingAndFulfillment__cartonsPartNumbers, _xlpm.propSixtyFive__chemicalsPartNumbers, _xlpm.media__imagesPartNumbers, _xlpm.media__videosPartNumbers, _xlpm.media__documentsPartNumbers), _xlfn._xlws.FILTER(_xlpm.stackedPartNumbers, _xlpm.stackedPartNumbers&lt;&gt;"", ""))</f>
        <v/>
      </c>
      <c r="E3" s="20">
        <f t="array" ref="E3">_xlfn.LET(_xlpm.class6ProductNames, GetSheetProductNames(Class6Tracker, Class6Errors, '6 - TV Stands &amp; Enterta'!G:G), _xlpm.shippingAndFulfillment__cartonsProductNames, GetSheetProductNames(shippingAndFulfillment__cartonsTracker, shippingAndFulfillment__cartonsErrors, 'Additional Cartons'!Z:Z), _xlpm.propSixtyFive__chemicalsProductNames, GetSheetProductNames(propSixtyFive__chemicalsTracker, propSixtyFive__chemicalsErrors, 'Additional Chemicals'!Z:Z), _xlpm.media__imagesProductNames, GetSheetProductNames(media__imagesTracker, media__imagesErrors, 'Additional Images'!Z:Z), _xlpm.media__videosProductNames, GetSheetProductNames(media__videosTracker, media__videosErrors, 'Additional Videos'!Z:Z), _xlpm.media__documentsProductNames, GetSheetProductNames(media__documentsTracker, media__documentsErrors, 'Additional Documents'!Z:Z), _xlpm.stackedProductNames, _xlfn.VSTACK(_xlpm.class6ProductNames, _xlpm.shippingAndFulfillment__cartonsProductNames, _xlpm.propSixtyFive__chemicalsProductNames, _xlpm.media__imagesProductNames, _xlpm.media__videosProductNames, _xlpm.media__documentsProductNames), _xlfn._xlws.FILTER(_xlpm.stackedProductNames, _xlpm.stackedProductNames&lt;&gt;"EMPTY_ERROR", ""))</f>
        <v/>
      </c>
      <c r="F3" s="20">
        <f t="array" ref="F3">_xlfn.LET(
                                     _xlpm.class6QuestionDisplayNames, GetErrorQuestionDisplayNames(Class6Headers, Class6Tracker, Class6Errors)
                , 
                                     _xlpm.shippingAndFulfillment__cartonsQuestionDisplayNames, GetErrorQuestionDisplayNames(shippingAndFulfillment__cartonsHeaders, shippingAndFulfillment__cartonsTracker, shippingAndFulfillment__cartonsErrors)
                , 
                                     _xlpm.propSixtyFive__chemicalsQuestionDisplayNames, GetErrorQuestionDisplayNames(propSixtyFive__chemicalsHeaders, propSixtyFive__chemicalsTracker, propSixtyFive__chemicalsErrors)
                , 
                                     _xlpm.media__imagesQuestionDisplayNames, GetErrorQuestionDisplayNames(media__imagesHeaders, media__imagesTracker, media__imagesErrors)
                , 
                                     _xlpm.media__videosQuestionDisplayNames, GetErrorQuestionDisplayNames(media__videosHeaders, media__videosTracker, media__videosErrors)
                , 
                                     _xlpm.media__documentsQuestionDisplayNames, GetErrorQuestionDisplayNames(media__documentsHeaders, media__documentsTracker, media__documentsErrors)
                , _xlpm.stackedQuestionDisplayNames, _xlfn.VSTACK(_xlpm.class6QuestionDisplayNames, _xlpm.shippingAndFulfillment__cartonsQuestionDisplayNames, _xlpm.propSixtyFive__chemicalsQuestionDisplayNames, _xlpm.media__imagesQuestionDisplayNames, _xlpm.media__videosQuestionDisplayNames, _xlpm.media__documentsQuestionDisplayNames), _xlfn._xlws.FILTER(_xlpm.stackedQuestionDisplayNames, _xlpm.stackedQuestionDisplayNames&lt;&gt;"", ""))</f>
        <v/>
      </c>
      <c r="G3" s="20">
        <f t="array" ref="G3">_xlfn.LET(
                         _xlpm.class6ProvidedAnswers, GetFilteredProvidedAnswers(Class6Answers, Class6Errors, Class6Tracker)
    , 
                         _xlpm.shippingAndFulfillment__cartonsProvidedAnswers, GetFilteredProvidedAnswers(shippingAndFulfillment__cartonsAnswers, shippingAndFulfillment__cartonsErrors, shippingAndFulfillment__cartonsTracker)
    , 
                         _xlpm.propSixtyFive__chemicalsProvidedAnswers, GetFilteredProvidedAnswers(propSixtyFive__chemicalsAnswers, propSixtyFive__chemicalsErrors, propSixtyFive__chemicalsTracker)
    , 
                         _xlpm.media__imagesProvidedAnswers, GetFilteredProvidedAnswers(media__imagesAnswers, media__imagesErrors, media__imagesTracker)
    , 
                         _xlpm.media__videosProvidedAnswers, GetFilteredProvidedAnswers(media__videosAnswers, media__videosErrors, media__videosTracker)
    , 
                         _xlpm.media__documentsProvidedAnswers, GetFilteredProvidedAnswers(media__documentsAnswers, media__documentsErrors, media__documentsTracker)
    , _xlpm.stackedProvidedAnswers, _xlfn.VSTACK(_xlpm.class6ProvidedAnswers, _xlpm.shippingAndFulfillment__cartonsProvidedAnswers, _xlpm.propSixtyFive__chemicalsProvidedAnswers, _xlpm.media__imagesProvidedAnswers, _xlpm.media__videosProvidedAnswers, _xlpm.media__documentsProvidedAnswers), _xlfn._xlws.FILTER(_xlpm.stackedProvidedAnswers, _xlpm.stackedProvidedAnswers&lt;&gt;"EMPTY_ERROR", ""))</f>
        <v/>
      </c>
      <c r="H3" s="20">
        <f t="array" ref="H3">_xlfn.LET(_xlpm.class6ErrorMessages, _xlfn.FILTER(
                    _xlfn.TOCOL(Class6Errors),
                    _xlfn.TOCOL((Class6Errors &lt;&gt; "") * (Class6Tracker &lt;&gt; "Valid") * (Class6Tracker &lt;&gt; "Disabled")), ""
                ), _xlpm.shippingAndFulfillment__cartonsErrorMessages, _xlfn.FILTER(
                    _xlfn.TOCOL(shippingAndFulfillment__cartonsErrors),
                    _xlfn.TOCOL((shippingAndFulfillment__cartonsErrors &lt;&gt; "") * (shippingAndFulfillment__cartonsTracker &lt;&gt; "Valid") * (shippingAndFulfillment__cartonsTracker &lt;&gt; "Disabled")), ""
                ), _xlpm.propSixtyFive__chemicalsErrorMessages, _xlfn.FILTER(
                    _xlfn.TOCOL(propSixtyFive__chemicalsErrors),
                    _xlfn.TOCOL((propSixtyFive__chemicalsErrors &lt;&gt; "") * (propSixtyFive__chemicalsTracker &lt;&gt; "Valid") * (propSixtyFive__chemicalsTracker &lt;&gt; "Disabled")), ""
                ), _xlpm.media__imagesErrorMessages, _xlfn.FILTER(
                    _xlfn.TOCOL(media__imagesErrors),
                    _xlfn.TOCOL((media__imagesErrors &lt;&gt; "") * (media__imagesTracker &lt;&gt; "Valid") * (media__imagesTracker &lt;&gt; "Disabled")), ""
                ), _xlpm.media__videosErrorMessages, _xlfn.FILTER(
                    _xlfn.TOCOL(media__videosErrors),
                    _xlfn.TOCOL((media__videosErrors &lt;&gt; "") * (media__videosTracker &lt;&gt; "Valid") * (media__videosTracker &lt;&gt; "Disabled")), ""
                ), _xlpm.media__documentsErrorMessages, _xlfn.FILTER(
                    _xlfn.TOCOL(media__documentsErrors),
                    _xlfn.TOCOL((media__documentsErrors &lt;&gt; "") * (media__documentsTracker &lt;&gt; "Valid") * (media__documentsTracker &lt;&gt; "Disabled")), ""
                ), _xlpm.stackedErrorMessages, _xlfn.VSTACK(_xlpm.class6ErrorMessages, _xlpm.shippingAndFulfillment__cartonsErrorMessages, _xlpm.propSixtyFive__chemicalsErrorMessages, _xlpm.media__imagesErrorMessages, _xlpm.media__videosErrorMessages, _xlpm.media__documentsErrorMessages), _xlpm.filteredMessages, _xlfn._xlws.FILTER(_xlpm.stackedErrorMessages, _xlpm.stackedErrorMessages&lt;&gt;"", ""), IFERROR(_xlfn.TEXTAFTER(_xlpm.filteredMessages, ":"), _xlpm.filteredMessages))</f>
        <v/>
      </c>
      <c r="J3">
        <f t="array" ref="J3">_xlfn.LET(_xlpm.class6Addresses, GetSheetLocationAddresses(Class6Tracker, Class6Errors), _xlpm.shippingAndFulfillment__cartonsAddresses, GetSheetLocationAddresses(shippingAndFulfillment__cartonsTracker, shippingAndFulfillment__cartonsErrors), _xlpm.propSixtyFive__chemicalsAddresses, GetSheetLocationAddresses(propSixtyFive__chemicalsTracker, propSixtyFive__chemicalsErrors), _xlpm.media__imagesAddresses, GetSheetLocationAddresses(media__imagesTracker, media__imagesErrors), _xlpm.media__videosAddresses, GetSheetLocationAddresses(media__videosTracker, media__videosErrors), _xlpm.media__documentsAddresses, GetSheetLocationAddresses(media__documentsTracker, media__documentsErrors), _xlpm.stackedAddresses, _xlfn.VSTACK(_xlpm.class6Addresses, _xlpm.shippingAndFulfillment__cartonsAddresses, _xlpm.propSixtyFive__chemicalsAddresses, _xlpm.media__imagesAddresses, _xlpm.media__videosAddresses, _xlpm.media__documentsAddresses), _xlfn._xlws.FILTER(_xlpm.stackedAddresses, _xlpm.stackedAddresses&lt;&gt;"", ""))</f>
        <v/>
      </c>
    </row>
    <row r="4">
      <c r="B4" s="21">
        <f>IF(AND(C4&lt;&gt;"", J4&lt;&gt;""), HYPERLINK("#'" &amp; C4 &amp; "'!" &amp; J4, J4), "")</f>
        <v/>
      </c>
    </row>
    <row r="5">
      <c r="B5" s="21">
        <f>IF(AND(C5&lt;&gt;"", J5&lt;&gt;""), HYPERLINK("#'" &amp; C5 &amp; "'!" &amp; J5, J5), "")</f>
        <v/>
      </c>
    </row>
    <row r="6">
      <c r="B6" s="21">
        <f>IF(AND(C6&lt;&gt;"", J6&lt;&gt;""), HYPERLINK("#'" &amp; C6 &amp; "'!" &amp; J6, J6), "")</f>
        <v/>
      </c>
    </row>
    <row r="7">
      <c r="B7" s="21">
        <f>IF(AND(C7&lt;&gt;"", J7&lt;&gt;""), HYPERLINK("#'" &amp; C7 &amp; "'!" &amp; J7, J7), "")</f>
        <v/>
      </c>
    </row>
    <row r="8">
      <c r="B8" s="21">
        <f>IF(AND(C8&lt;&gt;"", J8&lt;&gt;""), HYPERLINK("#'" &amp; C8 &amp; "'!" &amp; J8, J8), "")</f>
        <v/>
      </c>
    </row>
    <row r="9">
      <c r="B9" s="21">
        <f>IF(AND(C9&lt;&gt;"", J9&lt;&gt;""), HYPERLINK("#'" &amp; C9 &amp; "'!" &amp; J9, J9), "")</f>
        <v/>
      </c>
    </row>
    <row r="10">
      <c r="B10" s="21">
        <f>IF(AND(C10&lt;&gt;"", J10&lt;&gt;""), HYPERLINK("#'" &amp; C10 &amp; "'!" &amp; J10, J10), "")</f>
        <v/>
      </c>
    </row>
    <row r="11">
      <c r="B11" s="21">
        <f>IF(AND(C11&lt;&gt;"", J11&lt;&gt;""), HYPERLINK("#'" &amp; C11 &amp; "'!" &amp; J11, J11), "")</f>
        <v/>
      </c>
    </row>
    <row r="12">
      <c r="B12" s="21">
        <f>IF(AND(C12&lt;&gt;"", J12&lt;&gt;""), HYPERLINK("#'" &amp; C12 &amp; "'!" &amp; J12, J12), "")</f>
        <v/>
      </c>
    </row>
    <row r="13">
      <c r="B13" s="21">
        <f>IF(AND(C13&lt;&gt;"", J13&lt;&gt;""), HYPERLINK("#'" &amp; C13 &amp; "'!" &amp; J13, J13), "")</f>
        <v/>
      </c>
    </row>
    <row r="14">
      <c r="B14" s="21">
        <f>IF(AND(C14&lt;&gt;"", J14&lt;&gt;""), HYPERLINK("#'" &amp; C14 &amp; "'!" &amp; J14, J14), "")</f>
        <v/>
      </c>
    </row>
    <row r="15">
      <c r="B15" s="21">
        <f>IF(AND(C15&lt;&gt;"", J15&lt;&gt;""), HYPERLINK("#'" &amp; C15 &amp; "'!" &amp; J15, J15), "")</f>
        <v/>
      </c>
    </row>
    <row r="16">
      <c r="B16" s="21">
        <f>IF(AND(C16&lt;&gt;"", J16&lt;&gt;""), HYPERLINK("#'" &amp; C16 &amp; "'!" &amp; J16, J16), "")</f>
        <v/>
      </c>
    </row>
    <row r="17">
      <c r="B17" s="21">
        <f>IF(AND(C17&lt;&gt;"", J17&lt;&gt;""), HYPERLINK("#'" &amp; C17 &amp; "'!" &amp; J17, J17), "")</f>
        <v/>
      </c>
    </row>
    <row r="18">
      <c r="B18" s="21">
        <f>IF(AND(C18&lt;&gt;"", J18&lt;&gt;""), HYPERLINK("#'" &amp; C18 &amp; "'!" &amp; J18, J18), "")</f>
        <v/>
      </c>
    </row>
    <row r="19">
      <c r="B19" s="21">
        <f>IF(AND(C19&lt;&gt;"", J19&lt;&gt;""), HYPERLINK("#'" &amp; C19 &amp; "'!" &amp; J19, J19), "")</f>
        <v/>
      </c>
    </row>
    <row r="20">
      <c r="B20" s="21">
        <f>IF(AND(C20&lt;&gt;"", J20&lt;&gt;""), HYPERLINK("#'" &amp; C20 &amp; "'!" &amp; J20, J20), "")</f>
        <v/>
      </c>
    </row>
    <row r="21">
      <c r="B21" s="21">
        <f>IF(AND(C21&lt;&gt;"", J21&lt;&gt;""), HYPERLINK("#'" &amp; C21 &amp; "'!" &amp; J21, J21), "")</f>
        <v/>
      </c>
    </row>
    <row r="22">
      <c r="B22" s="21">
        <f>IF(AND(C22&lt;&gt;"", J22&lt;&gt;""), HYPERLINK("#'" &amp; C22 &amp; "'!" &amp; J22, J22), "")</f>
        <v/>
      </c>
    </row>
    <row r="23">
      <c r="B23" s="21">
        <f>IF(AND(C23&lt;&gt;"", J23&lt;&gt;""), HYPERLINK("#'" &amp; C23 &amp; "'!" &amp; J23, J23), "")</f>
        <v/>
      </c>
    </row>
    <row r="24">
      <c r="B24" s="21">
        <f>IF(AND(C24&lt;&gt;"", J24&lt;&gt;""), HYPERLINK("#'" &amp; C24 &amp; "'!" &amp; J24, J24), "")</f>
        <v/>
      </c>
    </row>
    <row r="25">
      <c r="B25" s="21">
        <f>IF(AND(C25&lt;&gt;"", J25&lt;&gt;""), HYPERLINK("#'" &amp; C25 &amp; "'!" &amp; J25, J25), "")</f>
        <v/>
      </c>
    </row>
    <row r="26">
      <c r="B26" s="21">
        <f>IF(AND(C26&lt;&gt;"", J26&lt;&gt;""), HYPERLINK("#'" &amp; C26 &amp; "'!" &amp; J26, J26), "")</f>
        <v/>
      </c>
    </row>
    <row r="27">
      <c r="B27" s="21">
        <f>IF(AND(C27&lt;&gt;"", J27&lt;&gt;""), HYPERLINK("#'" &amp; C27 &amp; "'!" &amp; J27, J27), "")</f>
        <v/>
      </c>
    </row>
    <row r="28">
      <c r="B28" s="21">
        <f>IF(AND(C28&lt;&gt;"", J28&lt;&gt;""), HYPERLINK("#'" &amp; C28 &amp; "'!" &amp; J28, J28), "")</f>
        <v/>
      </c>
    </row>
    <row r="29">
      <c r="B29" s="21">
        <f>IF(AND(C29&lt;&gt;"", J29&lt;&gt;""), HYPERLINK("#'" &amp; C29 &amp; "'!" &amp; J29, J29), "")</f>
        <v/>
      </c>
    </row>
    <row r="30">
      <c r="B30" s="21">
        <f>IF(AND(C30&lt;&gt;"", J30&lt;&gt;""), HYPERLINK("#'" &amp; C30 &amp; "'!" &amp; J30, J30), "")</f>
        <v/>
      </c>
    </row>
    <row r="31">
      <c r="B31" s="21">
        <f>IF(AND(C31&lt;&gt;"", J31&lt;&gt;""), HYPERLINK("#'" &amp; C31 &amp; "'!" &amp; J31, J31), "")</f>
        <v/>
      </c>
    </row>
    <row r="32">
      <c r="B32" s="21">
        <f>IF(AND(C32&lt;&gt;"", J32&lt;&gt;""), HYPERLINK("#'" &amp; C32 &amp; "'!" &amp; J32, J32), "")</f>
        <v/>
      </c>
    </row>
    <row r="33">
      <c r="B33" s="21">
        <f>IF(AND(C33&lt;&gt;"", J33&lt;&gt;""), HYPERLINK("#'" &amp; C33 &amp; "'!" &amp; J33, J33), "")</f>
        <v/>
      </c>
    </row>
    <row r="34">
      <c r="B34" s="21">
        <f>IF(AND(C34&lt;&gt;"", J34&lt;&gt;""), HYPERLINK("#'" &amp; C34 &amp; "'!" &amp; J34, J34), "")</f>
        <v/>
      </c>
    </row>
    <row r="35">
      <c r="B35" s="21">
        <f>IF(AND(C35&lt;&gt;"", J35&lt;&gt;""), HYPERLINK("#'" &amp; C35 &amp; "'!" &amp; J35, J35), "")</f>
        <v/>
      </c>
    </row>
    <row r="36">
      <c r="B36" s="21">
        <f>IF(AND(C36&lt;&gt;"", J36&lt;&gt;""), HYPERLINK("#'" &amp; C36 &amp; "'!" &amp; J36, J36), "")</f>
        <v/>
      </c>
    </row>
    <row r="37">
      <c r="B37" s="21">
        <f>IF(AND(C37&lt;&gt;"", J37&lt;&gt;""), HYPERLINK("#'" &amp; C37 &amp; "'!" &amp; J37, J37), "")</f>
        <v/>
      </c>
    </row>
    <row r="38">
      <c r="B38" s="21">
        <f>IF(AND(C38&lt;&gt;"", J38&lt;&gt;""), HYPERLINK("#'" &amp; C38 &amp; "'!" &amp; J38, J38), "")</f>
        <v/>
      </c>
    </row>
    <row r="39">
      <c r="B39" s="21">
        <f>IF(AND(C39&lt;&gt;"", J39&lt;&gt;""), HYPERLINK("#'" &amp; C39 &amp; "'!" &amp; J39, J39), "")</f>
        <v/>
      </c>
    </row>
    <row r="40">
      <c r="B40" s="21">
        <f>IF(AND(C40&lt;&gt;"", J40&lt;&gt;""), HYPERLINK("#'" &amp; C40 &amp; "'!" &amp; J40, J40), "")</f>
        <v/>
      </c>
    </row>
    <row r="41">
      <c r="B41" s="21">
        <f>IF(AND(C41&lt;&gt;"", J41&lt;&gt;""), HYPERLINK("#'" &amp; C41 &amp; "'!" &amp; J41, J41), "")</f>
        <v/>
      </c>
    </row>
    <row r="42">
      <c r="B42" s="21">
        <f>IF(AND(C42&lt;&gt;"", J42&lt;&gt;""), HYPERLINK("#'" &amp; C42 &amp; "'!" &amp; J42, J42), "")</f>
        <v/>
      </c>
    </row>
    <row r="43">
      <c r="B43" s="21">
        <f>IF(AND(C43&lt;&gt;"", J43&lt;&gt;""), HYPERLINK("#'" &amp; C43 &amp; "'!" &amp; J43, J43), "")</f>
        <v/>
      </c>
    </row>
    <row r="44">
      <c r="B44" s="21">
        <f>IF(AND(C44&lt;&gt;"", J44&lt;&gt;""), HYPERLINK("#'" &amp; C44 &amp; "'!" &amp; J44, J44), "")</f>
        <v/>
      </c>
    </row>
    <row r="45">
      <c r="B45" s="21">
        <f>IF(AND(C45&lt;&gt;"", J45&lt;&gt;""), HYPERLINK("#'" &amp; C45 &amp; "'!" &amp; J45, J45), "")</f>
        <v/>
      </c>
    </row>
    <row r="46">
      <c r="B46" s="21">
        <f>IF(AND(C46&lt;&gt;"", J46&lt;&gt;""), HYPERLINK("#'" &amp; C46 &amp; "'!" &amp; J46, J46), "")</f>
        <v/>
      </c>
    </row>
    <row r="47">
      <c r="B47" s="21">
        <f>IF(AND(C47&lt;&gt;"", J47&lt;&gt;""), HYPERLINK("#'" &amp; C47 &amp; "'!" &amp; J47, J47), "")</f>
        <v/>
      </c>
    </row>
    <row r="48">
      <c r="B48" s="21">
        <f>IF(AND(C48&lt;&gt;"", J48&lt;&gt;""), HYPERLINK("#'" &amp; C48 &amp; "'!" &amp; J48, J48), "")</f>
        <v/>
      </c>
    </row>
    <row r="49">
      <c r="B49" s="21">
        <f>IF(AND(C49&lt;&gt;"", J49&lt;&gt;""), HYPERLINK("#'" &amp; C49 &amp; "'!" &amp; J49, J49), "")</f>
        <v/>
      </c>
    </row>
    <row r="50">
      <c r="B50" s="21">
        <f>IF(AND(C50&lt;&gt;"", J50&lt;&gt;""), HYPERLINK("#'" &amp; C50 &amp; "'!" &amp; J50, J50), "")</f>
        <v/>
      </c>
    </row>
    <row r="51">
      <c r="B51" s="21">
        <f>IF(AND(C51&lt;&gt;"", J51&lt;&gt;""), HYPERLINK("#'" &amp; C51 &amp; "'!" &amp; J51, J51), "")</f>
        <v/>
      </c>
    </row>
    <row r="52">
      <c r="B52" s="21">
        <f>IF(AND(C52&lt;&gt;"", J52&lt;&gt;""), HYPERLINK("#'" &amp; C52 &amp; "'!" &amp; J52, J52), "")</f>
        <v/>
      </c>
    </row>
    <row r="53">
      <c r="B53" s="21">
        <f>IF(AND(C53&lt;&gt;"", J53&lt;&gt;""), HYPERLINK("#'" &amp; C53 &amp; "'!" &amp; J53, J53), "")</f>
        <v/>
      </c>
    </row>
    <row r="54">
      <c r="B54" s="21">
        <f>IF(AND(C54&lt;&gt;"", J54&lt;&gt;""), HYPERLINK("#'" &amp; C54 &amp; "'!" &amp; J54, J54), "")</f>
        <v/>
      </c>
    </row>
    <row r="55">
      <c r="B55" s="21">
        <f>IF(AND(C55&lt;&gt;"", J55&lt;&gt;""), HYPERLINK("#'" &amp; C55 &amp; "'!" &amp; J55, J55), "")</f>
        <v/>
      </c>
    </row>
    <row r="56">
      <c r="B56" s="21">
        <f>IF(AND(C56&lt;&gt;"", J56&lt;&gt;""), HYPERLINK("#'" &amp; C56 &amp; "'!" &amp; J56, J56), "")</f>
        <v/>
      </c>
    </row>
    <row r="57">
      <c r="B57" s="21">
        <f>IF(AND(C57&lt;&gt;"", J57&lt;&gt;""), HYPERLINK("#'" &amp; C57 &amp; "'!" &amp; J57, J57), "")</f>
        <v/>
      </c>
    </row>
    <row r="58">
      <c r="B58" s="21">
        <f>IF(AND(C58&lt;&gt;"", J58&lt;&gt;""), HYPERLINK("#'" &amp; C58 &amp; "'!" &amp; J58, J58), "")</f>
        <v/>
      </c>
    </row>
    <row r="59">
      <c r="B59" s="21">
        <f>IF(AND(C59&lt;&gt;"", J59&lt;&gt;""), HYPERLINK("#'" &amp; C59 &amp; "'!" &amp; J59, J59), "")</f>
        <v/>
      </c>
    </row>
    <row r="60">
      <c r="B60" s="21">
        <f>IF(AND(C60&lt;&gt;"", J60&lt;&gt;""), HYPERLINK("#'" &amp; C60 &amp; "'!" &amp; J60, J60), "")</f>
        <v/>
      </c>
    </row>
    <row r="61">
      <c r="B61" s="21">
        <f>IF(AND(C61&lt;&gt;"", J61&lt;&gt;""), HYPERLINK("#'" &amp; C61 &amp; "'!" &amp; J61, J61), "")</f>
        <v/>
      </c>
    </row>
    <row r="62">
      <c r="B62" s="21">
        <f>IF(AND(C62&lt;&gt;"", J62&lt;&gt;""), HYPERLINK("#'" &amp; C62 &amp; "'!" &amp; J62, J62), "")</f>
        <v/>
      </c>
    </row>
    <row r="63">
      <c r="B63" s="21">
        <f>IF(AND(C63&lt;&gt;"", J63&lt;&gt;""), HYPERLINK("#'" &amp; C63 &amp; "'!" &amp; J63, J63), "")</f>
        <v/>
      </c>
    </row>
    <row r="64">
      <c r="B64" s="21">
        <f>IF(AND(C64&lt;&gt;"", J64&lt;&gt;""), HYPERLINK("#'" &amp; C64 &amp; "'!" &amp; J64, J64), "")</f>
        <v/>
      </c>
    </row>
    <row r="65">
      <c r="B65" s="21">
        <f>IF(AND(C65&lt;&gt;"", J65&lt;&gt;""), HYPERLINK("#'" &amp; C65 &amp; "'!" &amp; J65, J65), "")</f>
        <v/>
      </c>
    </row>
    <row r="66">
      <c r="B66" s="21">
        <f>IF(AND(C66&lt;&gt;"", J66&lt;&gt;""), HYPERLINK("#'" &amp; C66 &amp; "'!" &amp; J66, J66), "")</f>
        <v/>
      </c>
    </row>
    <row r="67">
      <c r="B67" s="21">
        <f>IF(AND(C67&lt;&gt;"", J67&lt;&gt;""), HYPERLINK("#'" &amp; C67 &amp; "'!" &amp; J67, J67), "")</f>
        <v/>
      </c>
    </row>
    <row r="68">
      <c r="B68" s="21">
        <f>IF(AND(C68&lt;&gt;"", J68&lt;&gt;""), HYPERLINK("#'" &amp; C68 &amp; "'!" &amp; J68, J68), "")</f>
        <v/>
      </c>
    </row>
    <row r="69">
      <c r="B69" s="21">
        <f>IF(AND(C69&lt;&gt;"", J69&lt;&gt;""), HYPERLINK("#'" &amp; C69 &amp; "'!" &amp; J69, J69), "")</f>
        <v/>
      </c>
    </row>
    <row r="70">
      <c r="B70" s="21">
        <f>IF(AND(C70&lt;&gt;"", J70&lt;&gt;""), HYPERLINK("#'" &amp; C70 &amp; "'!" &amp; J70, J70), "")</f>
        <v/>
      </c>
    </row>
    <row r="71">
      <c r="B71" s="21">
        <f>IF(AND(C71&lt;&gt;"", J71&lt;&gt;""), HYPERLINK("#'" &amp; C71 &amp; "'!" &amp; J71, J71), "")</f>
        <v/>
      </c>
    </row>
    <row r="72">
      <c r="B72" s="21">
        <f>IF(AND(C72&lt;&gt;"", J72&lt;&gt;""), HYPERLINK("#'" &amp; C72 &amp; "'!" &amp; J72, J72), "")</f>
        <v/>
      </c>
    </row>
    <row r="73">
      <c r="B73" s="21">
        <f>IF(AND(C73&lt;&gt;"", J73&lt;&gt;""), HYPERLINK("#'" &amp; C73 &amp; "'!" &amp; J73, J73), "")</f>
        <v/>
      </c>
    </row>
    <row r="74">
      <c r="B74" s="21">
        <f>IF(AND(C74&lt;&gt;"", J74&lt;&gt;""), HYPERLINK("#'" &amp; C74 &amp; "'!" &amp; J74, J74), "")</f>
        <v/>
      </c>
    </row>
    <row r="75">
      <c r="B75" s="21">
        <f>IF(AND(C75&lt;&gt;"", J75&lt;&gt;""), HYPERLINK("#'" &amp; C75 &amp; "'!" &amp; J75, J75), "")</f>
        <v/>
      </c>
    </row>
    <row r="76">
      <c r="B76" s="21">
        <f>IF(AND(C76&lt;&gt;"", J76&lt;&gt;""), HYPERLINK("#'" &amp; C76 &amp; "'!" &amp; J76, J76), "")</f>
        <v/>
      </c>
    </row>
    <row r="77">
      <c r="B77" s="21">
        <f>IF(AND(C77&lt;&gt;"", J77&lt;&gt;""), HYPERLINK("#'" &amp; C77 &amp; "'!" &amp; J77, J77), "")</f>
        <v/>
      </c>
    </row>
    <row r="78">
      <c r="B78" s="21">
        <f>IF(AND(C78&lt;&gt;"", J78&lt;&gt;""), HYPERLINK("#'" &amp; C78 &amp; "'!" &amp; J78, J78), "")</f>
        <v/>
      </c>
    </row>
    <row r="79">
      <c r="B79" s="21">
        <f>IF(AND(C79&lt;&gt;"", J79&lt;&gt;""), HYPERLINK("#'" &amp; C79 &amp; "'!" &amp; J79, J79), "")</f>
        <v/>
      </c>
    </row>
    <row r="80">
      <c r="B80" s="21">
        <f>IF(AND(C80&lt;&gt;"", J80&lt;&gt;""), HYPERLINK("#'" &amp; C80 &amp; "'!" &amp; J80, J80), "")</f>
        <v/>
      </c>
    </row>
    <row r="81">
      <c r="B81" s="21">
        <f>IF(AND(C81&lt;&gt;"", J81&lt;&gt;""), HYPERLINK("#'" &amp; C81 &amp; "'!" &amp; J81, J81), "")</f>
        <v/>
      </c>
    </row>
    <row r="82">
      <c r="B82" s="21">
        <f>IF(AND(C82&lt;&gt;"", J82&lt;&gt;""), HYPERLINK("#'" &amp; C82 &amp; "'!" &amp; J82, J82), "")</f>
        <v/>
      </c>
    </row>
    <row r="83">
      <c r="B83" s="21">
        <f>IF(AND(C83&lt;&gt;"", J83&lt;&gt;""), HYPERLINK("#'" &amp; C83 &amp; "'!" &amp; J83, J83), "")</f>
        <v/>
      </c>
    </row>
    <row r="84">
      <c r="B84" s="21">
        <f>IF(AND(C84&lt;&gt;"", J84&lt;&gt;""), HYPERLINK("#'" &amp; C84 &amp; "'!" &amp; J84, J84), "")</f>
        <v/>
      </c>
    </row>
    <row r="85">
      <c r="B85" s="21">
        <f>IF(AND(C85&lt;&gt;"", J85&lt;&gt;""), HYPERLINK("#'" &amp; C85 &amp; "'!" &amp; J85, J85), "")</f>
        <v/>
      </c>
    </row>
    <row r="86">
      <c r="B86" s="21">
        <f>IF(AND(C86&lt;&gt;"", J86&lt;&gt;""), HYPERLINK("#'" &amp; C86 &amp; "'!" &amp; J86, J86), "")</f>
        <v/>
      </c>
    </row>
    <row r="87">
      <c r="B87" s="21">
        <f>IF(AND(C87&lt;&gt;"", J87&lt;&gt;""), HYPERLINK("#'" &amp; C87 &amp; "'!" &amp; J87, J87), "")</f>
        <v/>
      </c>
    </row>
    <row r="88">
      <c r="B88" s="21">
        <f>IF(AND(C88&lt;&gt;"", J88&lt;&gt;""), HYPERLINK("#'" &amp; C88 &amp; "'!" &amp; J88, J88), "")</f>
        <v/>
      </c>
    </row>
    <row r="89">
      <c r="B89" s="21">
        <f>IF(AND(C89&lt;&gt;"", J89&lt;&gt;""), HYPERLINK("#'" &amp; C89 &amp; "'!" &amp; J89, J89), "")</f>
        <v/>
      </c>
    </row>
    <row r="90">
      <c r="B90" s="21">
        <f>IF(AND(C90&lt;&gt;"", J90&lt;&gt;""), HYPERLINK("#'" &amp; C90 &amp; "'!" &amp; J90, J90), "")</f>
        <v/>
      </c>
    </row>
    <row r="91">
      <c r="B91" s="21">
        <f>IF(AND(C91&lt;&gt;"", J91&lt;&gt;""), HYPERLINK("#'" &amp; C91 &amp; "'!" &amp; J91, J91), "")</f>
        <v/>
      </c>
    </row>
    <row r="92">
      <c r="B92" s="21">
        <f>IF(AND(C92&lt;&gt;"", J92&lt;&gt;""), HYPERLINK("#'" &amp; C92 &amp; "'!" &amp; J92, J92), "")</f>
        <v/>
      </c>
    </row>
    <row r="93">
      <c r="B93" s="21">
        <f>IF(AND(C93&lt;&gt;"", J93&lt;&gt;""), HYPERLINK("#'" &amp; C93 &amp; "'!" &amp; J93, J93), "")</f>
        <v/>
      </c>
    </row>
    <row r="94">
      <c r="B94" s="21">
        <f>IF(AND(C94&lt;&gt;"", J94&lt;&gt;""), HYPERLINK("#'" &amp; C94 &amp; "'!" &amp; J94, J94), "")</f>
        <v/>
      </c>
    </row>
    <row r="95">
      <c r="B95" s="21">
        <f>IF(AND(C95&lt;&gt;"", J95&lt;&gt;""), HYPERLINK("#'" &amp; C95 &amp; "'!" &amp; J95, J95), "")</f>
        <v/>
      </c>
    </row>
    <row r="96">
      <c r="B96" s="21">
        <f>IF(AND(C96&lt;&gt;"", J96&lt;&gt;""), HYPERLINK("#'" &amp; C96 &amp; "'!" &amp; J96, J96), "")</f>
        <v/>
      </c>
    </row>
    <row r="97">
      <c r="B97" s="21">
        <f>IF(AND(C97&lt;&gt;"", J97&lt;&gt;""), HYPERLINK("#'" &amp; C97 &amp; "'!" &amp; J97, J97), "")</f>
        <v/>
      </c>
    </row>
    <row r="98">
      <c r="B98" s="21">
        <f>IF(AND(C98&lt;&gt;"", J98&lt;&gt;""), HYPERLINK("#'" &amp; C98 &amp; "'!" &amp; J98, J98), "")</f>
        <v/>
      </c>
    </row>
    <row r="99">
      <c r="B99" s="21">
        <f>IF(AND(C99&lt;&gt;"", J99&lt;&gt;""), HYPERLINK("#'" &amp; C99 &amp; "'!" &amp; J99, J99), "")</f>
        <v/>
      </c>
    </row>
    <row r="100">
      <c r="B100" s="21">
        <f>IF(AND(C100&lt;&gt;"", J100&lt;&gt;""), HYPERLINK("#'" &amp; C100 &amp; "'!" &amp; J100, J100), "")</f>
        <v/>
      </c>
    </row>
    <row r="101">
      <c r="B101" s="21">
        <f>IF(AND(C101&lt;&gt;"", J101&lt;&gt;""), HYPERLINK("#'" &amp; C101 &amp; "'!" &amp; J101, J101), "")</f>
        <v/>
      </c>
    </row>
    <row r="102">
      <c r="B102" s="21">
        <f>IF(AND(C102&lt;&gt;"", J102&lt;&gt;""), HYPERLINK("#'" &amp; C102 &amp; "'!" &amp; J102, J102), "")</f>
        <v/>
      </c>
    </row>
    <row r="103">
      <c r="B103" s="21">
        <f>IF(AND(C103&lt;&gt;"", J103&lt;&gt;""), HYPERLINK("#'" &amp; C103 &amp; "'!" &amp; J103, J103), "")</f>
        <v/>
      </c>
    </row>
    <row r="104">
      <c r="B104" s="21">
        <f>IF(AND(C104&lt;&gt;"", J104&lt;&gt;""), HYPERLINK("#'" &amp; C104 &amp; "'!" &amp; J104, J104), "")</f>
        <v/>
      </c>
    </row>
    <row r="105">
      <c r="B105" s="21">
        <f>IF(AND(C105&lt;&gt;"", J105&lt;&gt;""), HYPERLINK("#'" &amp; C105 &amp; "'!" &amp; J105, J105), "")</f>
        <v/>
      </c>
    </row>
    <row r="106">
      <c r="B106" s="21">
        <f>IF(AND(C106&lt;&gt;"", J106&lt;&gt;""), HYPERLINK("#'" &amp; C106 &amp; "'!" &amp; J106, J106), "")</f>
        <v/>
      </c>
    </row>
    <row r="107">
      <c r="B107" s="21">
        <f>IF(AND(C107&lt;&gt;"", J107&lt;&gt;""), HYPERLINK("#'" &amp; C107 &amp; "'!" &amp; J107, J107), "")</f>
        <v/>
      </c>
    </row>
    <row r="108">
      <c r="B108" s="21">
        <f>IF(AND(C108&lt;&gt;"", J108&lt;&gt;""), HYPERLINK("#'" &amp; C108 &amp; "'!" &amp; J108, J108), "")</f>
        <v/>
      </c>
    </row>
    <row r="109">
      <c r="B109" s="21">
        <f>IF(AND(C109&lt;&gt;"", J109&lt;&gt;""), HYPERLINK("#'" &amp; C109 &amp; "'!" &amp; J109, J109), "")</f>
        <v/>
      </c>
    </row>
    <row r="110">
      <c r="B110" s="21">
        <f>IF(AND(C110&lt;&gt;"", J110&lt;&gt;""), HYPERLINK("#'" &amp; C110 &amp; "'!" &amp; J110, J110), "")</f>
        <v/>
      </c>
    </row>
    <row r="111">
      <c r="B111" s="21">
        <f>IF(AND(C111&lt;&gt;"", J111&lt;&gt;""), HYPERLINK("#'" &amp; C111 &amp; "'!" &amp; J111, J111), "")</f>
        <v/>
      </c>
    </row>
    <row r="112">
      <c r="B112" s="21">
        <f>IF(AND(C112&lt;&gt;"", J112&lt;&gt;""), HYPERLINK("#'" &amp; C112 &amp; "'!" &amp; J112, J112), "")</f>
        <v/>
      </c>
    </row>
    <row r="113">
      <c r="B113" s="21">
        <f>IF(AND(C113&lt;&gt;"", J113&lt;&gt;""), HYPERLINK("#'" &amp; C113 &amp; "'!" &amp; J113, J113), "")</f>
        <v/>
      </c>
    </row>
    <row r="114">
      <c r="B114" s="21">
        <f>IF(AND(C114&lt;&gt;"", J114&lt;&gt;""), HYPERLINK("#'" &amp; C114 &amp; "'!" &amp; J114, J114), "")</f>
        <v/>
      </c>
    </row>
    <row r="115">
      <c r="B115" s="21">
        <f>IF(AND(C115&lt;&gt;"", J115&lt;&gt;""), HYPERLINK("#'" &amp; C115 &amp; "'!" &amp; J115, J115), "")</f>
        <v/>
      </c>
    </row>
    <row r="116">
      <c r="B116" s="21">
        <f>IF(AND(C116&lt;&gt;"", J116&lt;&gt;""), HYPERLINK("#'" &amp; C116 &amp; "'!" &amp; J116, J116), "")</f>
        <v/>
      </c>
    </row>
    <row r="117">
      <c r="B117" s="21">
        <f>IF(AND(C117&lt;&gt;"", J117&lt;&gt;""), HYPERLINK("#'" &amp; C117 &amp; "'!" &amp; J117, J117), "")</f>
        <v/>
      </c>
    </row>
    <row r="118">
      <c r="B118" s="21">
        <f>IF(AND(C118&lt;&gt;"", J118&lt;&gt;""), HYPERLINK("#'" &amp; C118 &amp; "'!" &amp; J118, J118), "")</f>
        <v/>
      </c>
    </row>
    <row r="119">
      <c r="B119" s="21">
        <f>IF(AND(C119&lt;&gt;"", J119&lt;&gt;""), HYPERLINK("#'" &amp; C119 &amp; "'!" &amp; J119, J119), "")</f>
        <v/>
      </c>
    </row>
    <row r="120">
      <c r="B120" s="21">
        <f>IF(AND(C120&lt;&gt;"", J120&lt;&gt;""), HYPERLINK("#'" &amp; C120 &amp; "'!" &amp; J120, J120), "")</f>
        <v/>
      </c>
    </row>
    <row r="121">
      <c r="B121" s="21">
        <f>IF(AND(C121&lt;&gt;"", J121&lt;&gt;""), HYPERLINK("#'" &amp; C121 &amp; "'!" &amp; J121, J121), "")</f>
        <v/>
      </c>
    </row>
    <row r="122">
      <c r="B122" s="21">
        <f>IF(AND(C122&lt;&gt;"", J122&lt;&gt;""), HYPERLINK("#'" &amp; C122 &amp; "'!" &amp; J122, J122), "")</f>
        <v/>
      </c>
    </row>
    <row r="123">
      <c r="B123" s="21">
        <f>IF(AND(C123&lt;&gt;"", J123&lt;&gt;""), HYPERLINK("#'" &amp; C123 &amp; "'!" &amp; J123, J123), "")</f>
        <v/>
      </c>
    </row>
    <row r="124">
      <c r="B124" s="21">
        <f>IF(AND(C124&lt;&gt;"", J124&lt;&gt;""), HYPERLINK("#'" &amp; C124 &amp; "'!" &amp; J124, J124), "")</f>
        <v/>
      </c>
    </row>
    <row r="125">
      <c r="B125" s="21">
        <f>IF(AND(C125&lt;&gt;"", J125&lt;&gt;""), HYPERLINK("#'" &amp; C125 &amp; "'!" &amp; J125, J125), "")</f>
        <v/>
      </c>
    </row>
    <row r="126">
      <c r="B126" s="21">
        <f>IF(AND(C126&lt;&gt;"", J126&lt;&gt;""), HYPERLINK("#'" &amp; C126 &amp; "'!" &amp; J126, J126), "")</f>
        <v/>
      </c>
    </row>
    <row r="127">
      <c r="B127" s="21">
        <f>IF(AND(C127&lt;&gt;"", J127&lt;&gt;""), HYPERLINK("#'" &amp; C127 &amp; "'!" &amp; J127, J127), "")</f>
        <v/>
      </c>
    </row>
    <row r="128">
      <c r="B128" s="21">
        <f>IF(AND(C128&lt;&gt;"", J128&lt;&gt;""), HYPERLINK("#'" &amp; C128 &amp; "'!" &amp; J128, J128), "")</f>
        <v/>
      </c>
    </row>
    <row r="129">
      <c r="B129" s="21">
        <f>IF(AND(C129&lt;&gt;"", J129&lt;&gt;""), HYPERLINK("#'" &amp; C129 &amp; "'!" &amp; J129, J129), "")</f>
        <v/>
      </c>
    </row>
    <row r="130">
      <c r="B130" s="21">
        <f>IF(AND(C130&lt;&gt;"", J130&lt;&gt;""), HYPERLINK("#'" &amp; C130 &amp; "'!" &amp; J130, J130), "")</f>
        <v/>
      </c>
    </row>
    <row r="131">
      <c r="B131" s="21">
        <f>IF(AND(C131&lt;&gt;"", J131&lt;&gt;""), HYPERLINK("#'" &amp; C131 &amp; "'!" &amp; J131, J131), "")</f>
        <v/>
      </c>
    </row>
    <row r="132">
      <c r="B132" s="21">
        <f>IF(AND(C132&lt;&gt;"", J132&lt;&gt;""), HYPERLINK("#'" &amp; C132 &amp; "'!" &amp; J132, J132), "")</f>
        <v/>
      </c>
    </row>
    <row r="133">
      <c r="B133" s="21">
        <f>IF(AND(C133&lt;&gt;"", J133&lt;&gt;""), HYPERLINK("#'" &amp; C133 &amp; "'!" &amp; J133, J133), "")</f>
        <v/>
      </c>
    </row>
    <row r="134">
      <c r="B134" s="21">
        <f>IF(AND(C134&lt;&gt;"", J134&lt;&gt;""), HYPERLINK("#'" &amp; C134 &amp; "'!" &amp; J134, J134), "")</f>
        <v/>
      </c>
    </row>
    <row r="135">
      <c r="B135" s="21">
        <f>IF(AND(C135&lt;&gt;"", J135&lt;&gt;""), HYPERLINK("#'" &amp; C135 &amp; "'!" &amp; J135, J135), "")</f>
        <v/>
      </c>
    </row>
    <row r="136">
      <c r="B136" s="21">
        <f>IF(AND(C136&lt;&gt;"", J136&lt;&gt;""), HYPERLINK("#'" &amp; C136 &amp; "'!" &amp; J136, J136), "")</f>
        <v/>
      </c>
    </row>
    <row r="137">
      <c r="B137" s="21">
        <f>IF(AND(C137&lt;&gt;"", J137&lt;&gt;""), HYPERLINK("#'" &amp; C137 &amp; "'!" &amp; J137, J137), "")</f>
        <v/>
      </c>
    </row>
    <row r="138">
      <c r="B138" s="21">
        <f>IF(AND(C138&lt;&gt;"", J138&lt;&gt;""), HYPERLINK("#'" &amp; C138 &amp; "'!" &amp; J138, J138), "")</f>
        <v/>
      </c>
    </row>
    <row r="139">
      <c r="B139" s="21">
        <f>IF(AND(C139&lt;&gt;"", J139&lt;&gt;""), HYPERLINK("#'" &amp; C139 &amp; "'!" &amp; J139, J139), "")</f>
        <v/>
      </c>
    </row>
    <row r="140">
      <c r="B140" s="21">
        <f>IF(AND(C140&lt;&gt;"", J140&lt;&gt;""), HYPERLINK("#'" &amp; C140 &amp; "'!" &amp; J140, J140), "")</f>
        <v/>
      </c>
    </row>
    <row r="141">
      <c r="B141" s="21">
        <f>IF(AND(C141&lt;&gt;"", J141&lt;&gt;""), HYPERLINK("#'" &amp; C141 &amp; "'!" &amp; J141, J141), "")</f>
        <v/>
      </c>
    </row>
    <row r="142">
      <c r="B142" s="21">
        <f>IF(AND(C142&lt;&gt;"", J142&lt;&gt;""), HYPERLINK("#'" &amp; C142 &amp; "'!" &amp; J142, J142), "")</f>
        <v/>
      </c>
    </row>
    <row r="143">
      <c r="B143" s="21">
        <f>IF(AND(C143&lt;&gt;"", J143&lt;&gt;""), HYPERLINK("#'" &amp; C143 &amp; "'!" &amp; J143, J143), "")</f>
        <v/>
      </c>
    </row>
    <row r="144">
      <c r="B144" s="21">
        <f>IF(AND(C144&lt;&gt;"", J144&lt;&gt;""), HYPERLINK("#'" &amp; C144 &amp; "'!" &amp; J144, J144), "")</f>
        <v/>
      </c>
    </row>
    <row r="145">
      <c r="B145" s="21">
        <f>IF(AND(C145&lt;&gt;"", J145&lt;&gt;""), HYPERLINK("#'" &amp; C145 &amp; "'!" &amp; J145, J145), "")</f>
        <v/>
      </c>
    </row>
    <row r="146">
      <c r="B146" s="21">
        <f>IF(AND(C146&lt;&gt;"", J146&lt;&gt;""), HYPERLINK("#'" &amp; C146 &amp; "'!" &amp; J146, J146), "")</f>
        <v/>
      </c>
    </row>
    <row r="147">
      <c r="B147" s="21">
        <f>IF(AND(C147&lt;&gt;"", J147&lt;&gt;""), HYPERLINK("#'" &amp; C147 &amp; "'!" &amp; J147, J147), "")</f>
        <v/>
      </c>
    </row>
    <row r="148">
      <c r="B148" s="21">
        <f>IF(AND(C148&lt;&gt;"", J148&lt;&gt;""), HYPERLINK("#'" &amp; C148 &amp; "'!" &amp; J148, J148), "")</f>
        <v/>
      </c>
    </row>
    <row r="149">
      <c r="B149" s="21">
        <f>IF(AND(C149&lt;&gt;"", J149&lt;&gt;""), HYPERLINK("#'" &amp; C149 &amp; "'!" &amp; J149, J149), "")</f>
        <v/>
      </c>
    </row>
    <row r="150">
      <c r="B150" s="21">
        <f>IF(AND(C150&lt;&gt;"", J150&lt;&gt;""), HYPERLINK("#'" &amp; C150 &amp; "'!" &amp; J150, J150), "")</f>
        <v/>
      </c>
    </row>
    <row r="151">
      <c r="B151" s="21">
        <f>IF(AND(C151&lt;&gt;"", J151&lt;&gt;""), HYPERLINK("#'" &amp; C151 &amp; "'!" &amp; J151, J151), "")</f>
        <v/>
      </c>
    </row>
    <row r="152">
      <c r="B152" s="21">
        <f>IF(AND(C152&lt;&gt;"", J152&lt;&gt;""), HYPERLINK("#'" &amp; C152 &amp; "'!" &amp; J152, J152), "")</f>
        <v/>
      </c>
    </row>
    <row r="153">
      <c r="B153" s="21">
        <f>IF(AND(C153&lt;&gt;"", J153&lt;&gt;""), HYPERLINK("#'" &amp; C153 &amp; "'!" &amp; J153, J153), "")</f>
        <v/>
      </c>
    </row>
    <row r="154">
      <c r="B154" s="21">
        <f>IF(AND(C154&lt;&gt;"", J154&lt;&gt;""), HYPERLINK("#'" &amp; C154 &amp; "'!" &amp; J154, J154), "")</f>
        <v/>
      </c>
    </row>
    <row r="155">
      <c r="B155" s="21">
        <f>IF(AND(C155&lt;&gt;"", J155&lt;&gt;""), HYPERLINK("#'" &amp; C155 &amp; "'!" &amp; J155, J155), "")</f>
        <v/>
      </c>
    </row>
    <row r="156">
      <c r="B156" s="21">
        <f>IF(AND(C156&lt;&gt;"", J156&lt;&gt;""), HYPERLINK("#'" &amp; C156 &amp; "'!" &amp; J156, J156), "")</f>
        <v/>
      </c>
    </row>
    <row r="157">
      <c r="B157" s="21">
        <f>IF(AND(C157&lt;&gt;"", J157&lt;&gt;""), HYPERLINK("#'" &amp; C157 &amp; "'!" &amp; J157, J157), "")</f>
        <v/>
      </c>
    </row>
    <row r="158">
      <c r="B158" s="21">
        <f>IF(AND(C158&lt;&gt;"", J158&lt;&gt;""), HYPERLINK("#'" &amp; C158 &amp; "'!" &amp; J158, J158), "")</f>
        <v/>
      </c>
    </row>
    <row r="159">
      <c r="B159" s="21">
        <f>IF(AND(C159&lt;&gt;"", J159&lt;&gt;""), HYPERLINK("#'" &amp; C159 &amp; "'!" &amp; J159, J159), "")</f>
        <v/>
      </c>
    </row>
    <row r="160">
      <c r="B160" s="21">
        <f>IF(AND(C160&lt;&gt;"", J160&lt;&gt;""), HYPERLINK("#'" &amp; C160 &amp; "'!" &amp; J160, J160), "")</f>
        <v/>
      </c>
    </row>
    <row r="161">
      <c r="B161" s="21">
        <f>IF(AND(C161&lt;&gt;"", J161&lt;&gt;""), HYPERLINK("#'" &amp; C161 &amp; "'!" &amp; J161, J161), "")</f>
        <v/>
      </c>
    </row>
    <row r="162">
      <c r="B162" s="21">
        <f>IF(AND(C162&lt;&gt;"", J162&lt;&gt;""), HYPERLINK("#'" &amp; C162 &amp; "'!" &amp; J162, J162), "")</f>
        <v/>
      </c>
    </row>
    <row r="163">
      <c r="B163" s="21">
        <f>IF(AND(C163&lt;&gt;"", J163&lt;&gt;""), HYPERLINK("#'" &amp; C163 &amp; "'!" &amp; J163, J163), "")</f>
        <v/>
      </c>
    </row>
    <row r="164">
      <c r="B164" s="21">
        <f>IF(AND(C164&lt;&gt;"", J164&lt;&gt;""), HYPERLINK("#'" &amp; C164 &amp; "'!" &amp; J164, J164), "")</f>
        <v/>
      </c>
    </row>
    <row r="165">
      <c r="B165" s="21">
        <f>IF(AND(C165&lt;&gt;"", J165&lt;&gt;""), HYPERLINK("#'" &amp; C165 &amp; "'!" &amp; J165, J165), "")</f>
        <v/>
      </c>
    </row>
    <row r="166">
      <c r="B166" s="21">
        <f>IF(AND(C166&lt;&gt;"", J166&lt;&gt;""), HYPERLINK("#'" &amp; C166 &amp; "'!" &amp; J166, J166), "")</f>
        <v/>
      </c>
    </row>
    <row r="167">
      <c r="B167" s="21">
        <f>IF(AND(C167&lt;&gt;"", J167&lt;&gt;""), HYPERLINK("#'" &amp; C167 &amp; "'!" &amp; J167, J167), "")</f>
        <v/>
      </c>
    </row>
    <row r="168">
      <c r="B168" s="21">
        <f>IF(AND(C168&lt;&gt;"", J168&lt;&gt;""), HYPERLINK("#'" &amp; C168 &amp; "'!" &amp; J168, J168), "")</f>
        <v/>
      </c>
    </row>
    <row r="169">
      <c r="B169" s="21">
        <f>IF(AND(C169&lt;&gt;"", J169&lt;&gt;""), HYPERLINK("#'" &amp; C169 &amp; "'!" &amp; J169, J169), "")</f>
        <v/>
      </c>
    </row>
    <row r="170">
      <c r="B170" s="21">
        <f>IF(AND(C170&lt;&gt;"", J170&lt;&gt;""), HYPERLINK("#'" &amp; C170 &amp; "'!" &amp; J170, J170), "")</f>
        <v/>
      </c>
    </row>
    <row r="171">
      <c r="B171" s="21">
        <f>IF(AND(C171&lt;&gt;"", J171&lt;&gt;""), HYPERLINK("#'" &amp; C171 &amp; "'!" &amp; J171, J171), "")</f>
        <v/>
      </c>
    </row>
    <row r="172">
      <c r="B172" s="21">
        <f>IF(AND(C172&lt;&gt;"", J172&lt;&gt;""), HYPERLINK("#'" &amp; C172 &amp; "'!" &amp; J172, J172), "")</f>
        <v/>
      </c>
    </row>
    <row r="173">
      <c r="B173" s="21">
        <f>IF(AND(C173&lt;&gt;"", J173&lt;&gt;""), HYPERLINK("#'" &amp; C173 &amp; "'!" &amp; J173, J173), "")</f>
        <v/>
      </c>
    </row>
    <row r="174">
      <c r="B174" s="21">
        <f>IF(AND(C174&lt;&gt;"", J174&lt;&gt;""), HYPERLINK("#'" &amp; C174 &amp; "'!" &amp; J174, J174), "")</f>
        <v/>
      </c>
    </row>
    <row r="175">
      <c r="B175" s="21">
        <f>IF(AND(C175&lt;&gt;"", J175&lt;&gt;""), HYPERLINK("#'" &amp; C175 &amp; "'!" &amp; J175, J175), "")</f>
        <v/>
      </c>
    </row>
    <row r="176">
      <c r="B176" s="21">
        <f>IF(AND(C176&lt;&gt;"", J176&lt;&gt;""), HYPERLINK("#'" &amp; C176 &amp; "'!" &amp; J176, J176), "")</f>
        <v/>
      </c>
    </row>
    <row r="177">
      <c r="B177" s="21">
        <f>IF(AND(C177&lt;&gt;"", J177&lt;&gt;""), HYPERLINK("#'" &amp; C177 &amp; "'!" &amp; J177, J177), "")</f>
        <v/>
      </c>
    </row>
    <row r="178">
      <c r="B178" s="21">
        <f>IF(AND(C178&lt;&gt;"", J178&lt;&gt;""), HYPERLINK("#'" &amp; C178 &amp; "'!" &amp; J178, J178), "")</f>
        <v/>
      </c>
    </row>
    <row r="179">
      <c r="B179" s="21">
        <f>IF(AND(C179&lt;&gt;"", J179&lt;&gt;""), HYPERLINK("#'" &amp; C179 &amp; "'!" &amp; J179, J179), "")</f>
        <v/>
      </c>
    </row>
    <row r="180">
      <c r="B180" s="21">
        <f>IF(AND(C180&lt;&gt;"", J180&lt;&gt;""), HYPERLINK("#'" &amp; C180 &amp; "'!" &amp; J180, J180), "")</f>
        <v/>
      </c>
    </row>
    <row r="181">
      <c r="B181" s="21">
        <f>IF(AND(C181&lt;&gt;"", J181&lt;&gt;""), HYPERLINK("#'" &amp; C181 &amp; "'!" &amp; J181, J181), "")</f>
        <v/>
      </c>
    </row>
    <row r="182">
      <c r="B182" s="21">
        <f>IF(AND(C182&lt;&gt;"", J182&lt;&gt;""), HYPERLINK("#'" &amp; C182 &amp; "'!" &amp; J182, J182), "")</f>
        <v/>
      </c>
    </row>
    <row r="183">
      <c r="B183" s="21">
        <f>IF(AND(C183&lt;&gt;"", J183&lt;&gt;""), HYPERLINK("#'" &amp; C183 &amp; "'!" &amp; J183, J183), "")</f>
        <v/>
      </c>
    </row>
    <row r="184">
      <c r="B184" s="21">
        <f>IF(AND(C184&lt;&gt;"", J184&lt;&gt;""), HYPERLINK("#'" &amp; C184 &amp; "'!" &amp; J184, J184), "")</f>
        <v/>
      </c>
    </row>
    <row r="185">
      <c r="B185" s="21">
        <f>IF(AND(C185&lt;&gt;"", J185&lt;&gt;""), HYPERLINK("#'" &amp; C185 &amp; "'!" &amp; J185, J185), "")</f>
        <v/>
      </c>
    </row>
    <row r="186">
      <c r="B186" s="21">
        <f>IF(AND(C186&lt;&gt;"", J186&lt;&gt;""), HYPERLINK("#'" &amp; C186 &amp; "'!" &amp; J186, J186), "")</f>
        <v/>
      </c>
    </row>
    <row r="187">
      <c r="B187" s="21">
        <f>IF(AND(C187&lt;&gt;"", J187&lt;&gt;""), HYPERLINK("#'" &amp; C187 &amp; "'!" &amp; J187, J187), "")</f>
        <v/>
      </c>
    </row>
    <row r="188">
      <c r="B188" s="21">
        <f>IF(AND(C188&lt;&gt;"", J188&lt;&gt;""), HYPERLINK("#'" &amp; C188 &amp; "'!" &amp; J188, J188), "")</f>
        <v/>
      </c>
    </row>
    <row r="189">
      <c r="B189" s="21">
        <f>IF(AND(C189&lt;&gt;"", J189&lt;&gt;""), HYPERLINK("#'" &amp; C189 &amp; "'!" &amp; J189, J189), "")</f>
        <v/>
      </c>
    </row>
    <row r="190">
      <c r="B190" s="21">
        <f>IF(AND(C190&lt;&gt;"", J190&lt;&gt;""), HYPERLINK("#'" &amp; C190 &amp; "'!" &amp; J190, J190), "")</f>
        <v/>
      </c>
    </row>
    <row r="191">
      <c r="B191" s="21">
        <f>IF(AND(C191&lt;&gt;"", J191&lt;&gt;""), HYPERLINK("#'" &amp; C191 &amp; "'!" &amp; J191, J191), "")</f>
        <v/>
      </c>
    </row>
    <row r="192">
      <c r="B192" s="21">
        <f>IF(AND(C192&lt;&gt;"", J192&lt;&gt;""), HYPERLINK("#'" &amp; C192 &amp; "'!" &amp; J192, J192), "")</f>
        <v/>
      </c>
    </row>
    <row r="193">
      <c r="B193" s="21">
        <f>IF(AND(C193&lt;&gt;"", J193&lt;&gt;""), HYPERLINK("#'" &amp; C193 &amp; "'!" &amp; J193, J193), "")</f>
        <v/>
      </c>
    </row>
    <row r="194">
      <c r="B194" s="21">
        <f>IF(AND(C194&lt;&gt;"", J194&lt;&gt;""), HYPERLINK("#'" &amp; C194 &amp; "'!" &amp; J194, J194), "")</f>
        <v/>
      </c>
    </row>
    <row r="195">
      <c r="B195" s="21">
        <f>IF(AND(C195&lt;&gt;"", J195&lt;&gt;""), HYPERLINK("#'" &amp; C195 &amp; "'!" &amp; J195, J195), "")</f>
        <v/>
      </c>
    </row>
    <row r="196">
      <c r="B196" s="21">
        <f>IF(AND(C196&lt;&gt;"", J196&lt;&gt;""), HYPERLINK("#'" &amp; C196 &amp; "'!" &amp; J196, J196), "")</f>
        <v/>
      </c>
    </row>
    <row r="197">
      <c r="B197" s="21">
        <f>IF(AND(C197&lt;&gt;"", J197&lt;&gt;""), HYPERLINK("#'" &amp; C197 &amp; "'!" &amp; J197, J197), "")</f>
        <v/>
      </c>
    </row>
    <row r="198">
      <c r="B198" s="21">
        <f>IF(AND(C198&lt;&gt;"", J198&lt;&gt;""), HYPERLINK("#'" &amp; C198 &amp; "'!" &amp; J198, J198), "")</f>
        <v/>
      </c>
    </row>
    <row r="199">
      <c r="B199" s="21">
        <f>IF(AND(C199&lt;&gt;"", J199&lt;&gt;""), HYPERLINK("#'" &amp; C199 &amp; "'!" &amp; J199, J199), "")</f>
        <v/>
      </c>
    </row>
    <row r="200">
      <c r="B200" s="21">
        <f>IF(AND(C200&lt;&gt;"", J200&lt;&gt;""), HYPERLINK("#'" &amp; C200 &amp; "'!" &amp; J200, J200), "")</f>
        <v/>
      </c>
    </row>
    <row r="201">
      <c r="B201" s="21">
        <f>IF(AND(C201&lt;&gt;"", J201&lt;&gt;""), HYPERLINK("#'" &amp; C201 &amp; "'!" &amp; J201, J201), "")</f>
        <v/>
      </c>
    </row>
    <row r="202">
      <c r="B202" s="21">
        <f>IF(AND(C202&lt;&gt;"", J202&lt;&gt;""), HYPERLINK("#'" &amp; C202 &amp; "'!" &amp; J202, J202), "")</f>
        <v/>
      </c>
    </row>
    <row r="203">
      <c r="B203" s="21">
        <f>IF(AND(C203&lt;&gt;"", J203&lt;&gt;""), HYPERLINK("#'" &amp; C203 &amp; "'!" &amp; J203, J203), "")</f>
        <v/>
      </c>
    </row>
    <row r="204">
      <c r="B204" s="21">
        <f>IF(AND(C204&lt;&gt;"", J204&lt;&gt;""), HYPERLINK("#'" &amp; C204 &amp; "'!" &amp; J204, J204), "")</f>
        <v/>
      </c>
    </row>
    <row r="205">
      <c r="B205" s="21">
        <f>IF(AND(C205&lt;&gt;"", J205&lt;&gt;""), HYPERLINK("#'" &amp; C205 &amp; "'!" &amp; J205, J205), "")</f>
        <v/>
      </c>
    </row>
    <row r="206">
      <c r="B206" s="21">
        <f>IF(AND(C206&lt;&gt;"", J206&lt;&gt;""), HYPERLINK("#'" &amp; C206 &amp; "'!" &amp; J206, J206), "")</f>
        <v/>
      </c>
    </row>
    <row r="207">
      <c r="B207" s="21">
        <f>IF(AND(C207&lt;&gt;"", J207&lt;&gt;""), HYPERLINK("#'" &amp; C207 &amp; "'!" &amp; J207, J207), "")</f>
        <v/>
      </c>
    </row>
    <row r="208">
      <c r="B208" s="21">
        <f>IF(AND(C208&lt;&gt;"", J208&lt;&gt;""), HYPERLINK("#'" &amp; C208 &amp; "'!" &amp; J208, J208), "")</f>
        <v/>
      </c>
    </row>
    <row r="209">
      <c r="B209" s="21">
        <f>IF(AND(C209&lt;&gt;"", J209&lt;&gt;""), HYPERLINK("#'" &amp; C209 &amp; "'!" &amp; J209, J209), "")</f>
        <v/>
      </c>
    </row>
    <row r="210">
      <c r="B210" s="21">
        <f>IF(AND(C210&lt;&gt;"", J210&lt;&gt;""), HYPERLINK("#'" &amp; C210 &amp; "'!" &amp; J210, J210), "")</f>
        <v/>
      </c>
    </row>
    <row r="211">
      <c r="B211" s="21">
        <f>IF(AND(C211&lt;&gt;"", J211&lt;&gt;""), HYPERLINK("#'" &amp; C211 &amp; "'!" &amp; J211, J211), "")</f>
        <v/>
      </c>
    </row>
    <row r="212">
      <c r="B212" s="21">
        <f>IF(AND(C212&lt;&gt;"", J212&lt;&gt;""), HYPERLINK("#'" &amp; C212 &amp; "'!" &amp; J212, J212), "")</f>
        <v/>
      </c>
    </row>
    <row r="213">
      <c r="B213" s="21">
        <f>IF(AND(C213&lt;&gt;"", J213&lt;&gt;""), HYPERLINK("#'" &amp; C213 &amp; "'!" &amp; J213, J213), "")</f>
        <v/>
      </c>
    </row>
    <row r="214">
      <c r="B214" s="21">
        <f>IF(AND(C214&lt;&gt;"", J214&lt;&gt;""), HYPERLINK("#'" &amp; C214 &amp; "'!" &amp; J214, J214), "")</f>
        <v/>
      </c>
    </row>
    <row r="215">
      <c r="B215" s="21">
        <f>IF(AND(C215&lt;&gt;"", J215&lt;&gt;""), HYPERLINK("#'" &amp; C215 &amp; "'!" &amp; J215, J215), "")</f>
        <v/>
      </c>
    </row>
    <row r="216">
      <c r="B216" s="21">
        <f>IF(AND(C216&lt;&gt;"", J216&lt;&gt;""), HYPERLINK("#'" &amp; C216 &amp; "'!" &amp; J216, J216), "")</f>
        <v/>
      </c>
    </row>
    <row r="217">
      <c r="B217" s="21">
        <f>IF(AND(C217&lt;&gt;"", J217&lt;&gt;""), HYPERLINK("#'" &amp; C217 &amp; "'!" &amp; J217, J217), "")</f>
        <v/>
      </c>
    </row>
    <row r="218">
      <c r="B218" s="21">
        <f>IF(AND(C218&lt;&gt;"", J218&lt;&gt;""), HYPERLINK("#'" &amp; C218 &amp; "'!" &amp; J218, J218), "")</f>
        <v/>
      </c>
    </row>
    <row r="219">
      <c r="B219" s="21">
        <f>IF(AND(C219&lt;&gt;"", J219&lt;&gt;""), HYPERLINK("#'" &amp; C219 &amp; "'!" &amp; J219, J219), "")</f>
        <v/>
      </c>
    </row>
    <row r="220">
      <c r="B220" s="21">
        <f>IF(AND(C220&lt;&gt;"", J220&lt;&gt;""), HYPERLINK("#'" &amp; C220 &amp; "'!" &amp; J220, J220), "")</f>
        <v/>
      </c>
    </row>
    <row r="221">
      <c r="B221" s="21">
        <f>IF(AND(C221&lt;&gt;"", J221&lt;&gt;""), HYPERLINK("#'" &amp; C221 &amp; "'!" &amp; J221, J221), "")</f>
        <v/>
      </c>
    </row>
    <row r="222">
      <c r="B222" s="21">
        <f>IF(AND(C222&lt;&gt;"", J222&lt;&gt;""), HYPERLINK("#'" &amp; C222 &amp; "'!" &amp; J222, J222), "")</f>
        <v/>
      </c>
    </row>
    <row r="223">
      <c r="B223" s="21">
        <f>IF(AND(C223&lt;&gt;"", J223&lt;&gt;""), HYPERLINK("#'" &amp; C223 &amp; "'!" &amp; J223, J223), "")</f>
        <v/>
      </c>
    </row>
    <row r="224">
      <c r="B224" s="21">
        <f>IF(AND(C224&lt;&gt;"", J224&lt;&gt;""), HYPERLINK("#'" &amp; C224 &amp; "'!" &amp; J224, J224), "")</f>
        <v/>
      </c>
    </row>
    <row r="225">
      <c r="B225" s="21">
        <f>IF(AND(C225&lt;&gt;"", J225&lt;&gt;""), HYPERLINK("#'" &amp; C225 &amp; "'!" &amp; J225, J225), "")</f>
        <v/>
      </c>
    </row>
    <row r="226">
      <c r="B226" s="21">
        <f>IF(AND(C226&lt;&gt;"", J226&lt;&gt;""), HYPERLINK("#'" &amp; C226 &amp; "'!" &amp; J226, J226), "")</f>
        <v/>
      </c>
    </row>
    <row r="227">
      <c r="B227" s="21">
        <f>IF(AND(C227&lt;&gt;"", J227&lt;&gt;""), HYPERLINK("#'" &amp; C227 &amp; "'!" &amp; J227, J227), "")</f>
        <v/>
      </c>
    </row>
    <row r="228">
      <c r="B228" s="21">
        <f>IF(AND(C228&lt;&gt;"", J228&lt;&gt;""), HYPERLINK("#'" &amp; C228 &amp; "'!" &amp; J228, J228), "")</f>
        <v/>
      </c>
    </row>
    <row r="229">
      <c r="B229" s="21">
        <f>IF(AND(C229&lt;&gt;"", J229&lt;&gt;""), HYPERLINK("#'" &amp; C229 &amp; "'!" &amp; J229, J229), "")</f>
        <v/>
      </c>
    </row>
    <row r="230">
      <c r="B230" s="21">
        <f>IF(AND(C230&lt;&gt;"", J230&lt;&gt;""), HYPERLINK("#'" &amp; C230 &amp; "'!" &amp; J230, J230), "")</f>
        <v/>
      </c>
    </row>
    <row r="231">
      <c r="B231" s="21">
        <f>IF(AND(C231&lt;&gt;"", J231&lt;&gt;""), HYPERLINK("#'" &amp; C231 &amp; "'!" &amp; J231, J231), "")</f>
        <v/>
      </c>
    </row>
    <row r="232">
      <c r="B232" s="21">
        <f>IF(AND(C232&lt;&gt;"", J232&lt;&gt;""), HYPERLINK("#'" &amp; C232 &amp; "'!" &amp; J232, J232), "")</f>
        <v/>
      </c>
    </row>
    <row r="233">
      <c r="B233" s="21">
        <f>IF(AND(C233&lt;&gt;"", J233&lt;&gt;""), HYPERLINK("#'" &amp; C233 &amp; "'!" &amp; J233, J233), "")</f>
        <v/>
      </c>
    </row>
    <row r="234">
      <c r="B234" s="21">
        <f>IF(AND(C234&lt;&gt;"", J234&lt;&gt;""), HYPERLINK("#'" &amp; C234 &amp; "'!" &amp; J234, J234), "")</f>
        <v/>
      </c>
    </row>
    <row r="235">
      <c r="B235" s="21">
        <f>IF(AND(C235&lt;&gt;"", J235&lt;&gt;""), HYPERLINK("#'" &amp; C235 &amp; "'!" &amp; J235, J235), "")</f>
        <v/>
      </c>
    </row>
    <row r="236">
      <c r="B236" s="21">
        <f>IF(AND(C236&lt;&gt;"", J236&lt;&gt;""), HYPERLINK("#'" &amp; C236 &amp; "'!" &amp; J236, J236), "")</f>
        <v/>
      </c>
    </row>
    <row r="237">
      <c r="B237" s="21">
        <f>IF(AND(C237&lt;&gt;"", J237&lt;&gt;""), HYPERLINK("#'" &amp; C237 &amp; "'!" &amp; J237, J237), "")</f>
        <v/>
      </c>
    </row>
    <row r="238">
      <c r="B238" s="21">
        <f>IF(AND(C238&lt;&gt;"", J238&lt;&gt;""), HYPERLINK("#'" &amp; C238 &amp; "'!" &amp; J238, J238), "")</f>
        <v/>
      </c>
    </row>
    <row r="239">
      <c r="B239" s="21">
        <f>IF(AND(C239&lt;&gt;"", J239&lt;&gt;""), HYPERLINK("#'" &amp; C239 &amp; "'!" &amp; J239, J239), "")</f>
        <v/>
      </c>
    </row>
    <row r="240">
      <c r="B240" s="21">
        <f>IF(AND(C240&lt;&gt;"", J240&lt;&gt;""), HYPERLINK("#'" &amp; C240 &amp; "'!" &amp; J240, J240), "")</f>
        <v/>
      </c>
    </row>
    <row r="241">
      <c r="B241" s="21">
        <f>IF(AND(C241&lt;&gt;"", J241&lt;&gt;""), HYPERLINK("#'" &amp; C241 &amp; "'!" &amp; J241, J241), "")</f>
        <v/>
      </c>
    </row>
    <row r="242">
      <c r="B242" s="21">
        <f>IF(AND(C242&lt;&gt;"", J242&lt;&gt;""), HYPERLINK("#'" &amp; C242 &amp; "'!" &amp; J242, J242), "")</f>
        <v/>
      </c>
    </row>
    <row r="243">
      <c r="B243" s="21">
        <f>IF(AND(C243&lt;&gt;"", J243&lt;&gt;""), HYPERLINK("#'" &amp; C243 &amp; "'!" &amp; J243, J243), "")</f>
        <v/>
      </c>
    </row>
    <row r="244">
      <c r="B244" s="21">
        <f>IF(AND(C244&lt;&gt;"", J244&lt;&gt;""), HYPERLINK("#'" &amp; C244 &amp; "'!" &amp; J244, J244), "")</f>
        <v/>
      </c>
    </row>
    <row r="245">
      <c r="B245" s="21">
        <f>IF(AND(C245&lt;&gt;"", J245&lt;&gt;""), HYPERLINK("#'" &amp; C245 &amp; "'!" &amp; J245, J245), "")</f>
        <v/>
      </c>
    </row>
    <row r="246">
      <c r="B246" s="21">
        <f>IF(AND(C246&lt;&gt;"", J246&lt;&gt;""), HYPERLINK("#'" &amp; C246 &amp; "'!" &amp; J246, J246), "")</f>
        <v/>
      </c>
    </row>
    <row r="247">
      <c r="B247" s="21">
        <f>IF(AND(C247&lt;&gt;"", J247&lt;&gt;""), HYPERLINK("#'" &amp; C247 &amp; "'!" &amp; J247, J247), "")</f>
        <v/>
      </c>
    </row>
    <row r="248">
      <c r="B248" s="21">
        <f>IF(AND(C248&lt;&gt;"", J248&lt;&gt;""), HYPERLINK("#'" &amp; C248 &amp; "'!" &amp; J248, J248), "")</f>
        <v/>
      </c>
    </row>
    <row r="249">
      <c r="B249" s="21">
        <f>IF(AND(C249&lt;&gt;"", J249&lt;&gt;""), HYPERLINK("#'" &amp; C249 &amp; "'!" &amp; J249, J249), "")</f>
        <v/>
      </c>
    </row>
    <row r="250">
      <c r="B250" s="21">
        <f>IF(AND(C250&lt;&gt;"", J250&lt;&gt;""), HYPERLINK("#'" &amp; C250 &amp; "'!" &amp; J250, J250), "")</f>
        <v/>
      </c>
    </row>
    <row r="251">
      <c r="B251" s="21">
        <f>IF(AND(C251&lt;&gt;"", J251&lt;&gt;""), HYPERLINK("#'" &amp; C251 &amp; "'!" &amp; J251, J251), "")</f>
        <v/>
      </c>
    </row>
    <row r="252">
      <c r="B252" s="21">
        <f>IF(AND(C252&lt;&gt;"", J252&lt;&gt;""), HYPERLINK("#'" &amp; C252 &amp; "'!" &amp; J252, J252), "")</f>
        <v/>
      </c>
    </row>
    <row r="253">
      <c r="B253" s="21">
        <f>IF(AND(C253&lt;&gt;"", J253&lt;&gt;""), HYPERLINK("#'" &amp; C253 &amp; "'!" &amp; J253, J253), "")</f>
        <v/>
      </c>
    </row>
    <row r="254">
      <c r="B254" s="21">
        <f>IF(AND(C254&lt;&gt;"", J254&lt;&gt;""), HYPERLINK("#'" &amp; C254 &amp; "'!" &amp; J254, J254), "")</f>
        <v/>
      </c>
    </row>
    <row r="255">
      <c r="B255" s="21">
        <f>IF(AND(C255&lt;&gt;"", J255&lt;&gt;""), HYPERLINK("#'" &amp; C255 &amp; "'!" &amp; J255, J255), "")</f>
        <v/>
      </c>
    </row>
    <row r="256">
      <c r="B256" s="21">
        <f>IF(AND(C256&lt;&gt;"", J256&lt;&gt;""), HYPERLINK("#'" &amp; C256 &amp; "'!" &amp; J256, J256), "")</f>
        <v/>
      </c>
    </row>
    <row r="257">
      <c r="B257" s="21">
        <f>IF(AND(C257&lt;&gt;"", J257&lt;&gt;""), HYPERLINK("#'" &amp; C257 &amp; "'!" &amp; J257, J257), "")</f>
        <v/>
      </c>
    </row>
    <row r="258">
      <c r="B258" s="21">
        <f>IF(AND(C258&lt;&gt;"", J258&lt;&gt;""), HYPERLINK("#'" &amp; C258 &amp; "'!" &amp; J258, J258), "")</f>
        <v/>
      </c>
    </row>
    <row r="259">
      <c r="B259" s="21">
        <f>IF(AND(C259&lt;&gt;"", J259&lt;&gt;""), HYPERLINK("#'" &amp; C259 &amp; "'!" &amp; J259, J259), "")</f>
        <v/>
      </c>
    </row>
    <row r="260">
      <c r="B260" s="21">
        <f>IF(AND(C260&lt;&gt;"", J260&lt;&gt;""), HYPERLINK("#'" &amp; C260 &amp; "'!" &amp; J260, J260), "")</f>
        <v/>
      </c>
    </row>
    <row r="261">
      <c r="B261" s="21">
        <f>IF(AND(C261&lt;&gt;"", J261&lt;&gt;""), HYPERLINK("#'" &amp; C261 &amp; "'!" &amp; J261, J261), "")</f>
        <v/>
      </c>
    </row>
    <row r="262">
      <c r="B262" s="21">
        <f>IF(AND(C262&lt;&gt;"", J262&lt;&gt;""), HYPERLINK("#'" &amp; C262 &amp; "'!" &amp; J262, J262), "")</f>
        <v/>
      </c>
    </row>
    <row r="263">
      <c r="B263" s="21">
        <f>IF(AND(C263&lt;&gt;"", J263&lt;&gt;""), HYPERLINK("#'" &amp; C263 &amp; "'!" &amp; J263, J263), "")</f>
        <v/>
      </c>
    </row>
    <row r="264">
      <c r="B264" s="21">
        <f>IF(AND(C264&lt;&gt;"", J264&lt;&gt;""), HYPERLINK("#'" &amp; C264 &amp; "'!" &amp; J264, J264), "")</f>
        <v/>
      </c>
    </row>
    <row r="265">
      <c r="B265" s="21">
        <f>IF(AND(C265&lt;&gt;"", J265&lt;&gt;""), HYPERLINK("#'" &amp; C265 &amp; "'!" &amp; J265, J265), "")</f>
        <v/>
      </c>
    </row>
    <row r="266">
      <c r="B266" s="21">
        <f>IF(AND(C266&lt;&gt;"", J266&lt;&gt;""), HYPERLINK("#'" &amp; C266 &amp; "'!" &amp; J266, J266), "")</f>
        <v/>
      </c>
    </row>
    <row r="267">
      <c r="B267" s="21">
        <f>IF(AND(C267&lt;&gt;"", J267&lt;&gt;""), HYPERLINK("#'" &amp; C267 &amp; "'!" &amp; J267, J267), "")</f>
        <v/>
      </c>
    </row>
    <row r="268">
      <c r="B268" s="21">
        <f>IF(AND(C268&lt;&gt;"", J268&lt;&gt;""), HYPERLINK("#'" &amp; C268 &amp; "'!" &amp; J268, J268), "")</f>
        <v/>
      </c>
    </row>
    <row r="269">
      <c r="B269" s="21">
        <f>IF(AND(C269&lt;&gt;"", J269&lt;&gt;""), HYPERLINK("#'" &amp; C269 &amp; "'!" &amp; J269, J269), "")</f>
        <v/>
      </c>
    </row>
    <row r="270">
      <c r="B270" s="21">
        <f>IF(AND(C270&lt;&gt;"", J270&lt;&gt;""), HYPERLINK("#'" &amp; C270 &amp; "'!" &amp; J270, J270), "")</f>
        <v/>
      </c>
    </row>
    <row r="271">
      <c r="B271" s="21">
        <f>IF(AND(C271&lt;&gt;"", J271&lt;&gt;""), HYPERLINK("#'" &amp; C271 &amp; "'!" &amp; J271, J271), "")</f>
        <v/>
      </c>
    </row>
    <row r="272">
      <c r="B272" s="21">
        <f>IF(AND(C272&lt;&gt;"", J272&lt;&gt;""), HYPERLINK("#'" &amp; C272 &amp; "'!" &amp; J272, J272), "")</f>
        <v/>
      </c>
    </row>
    <row r="273">
      <c r="B273" s="21">
        <f>IF(AND(C273&lt;&gt;"", J273&lt;&gt;""), HYPERLINK("#'" &amp; C273 &amp; "'!" &amp; J273, J273), "")</f>
        <v/>
      </c>
    </row>
    <row r="274">
      <c r="B274" s="21">
        <f>IF(AND(C274&lt;&gt;"", J274&lt;&gt;""), HYPERLINK("#'" &amp; C274 &amp; "'!" &amp; J274, J274), "")</f>
        <v/>
      </c>
    </row>
    <row r="275">
      <c r="B275" s="21">
        <f>IF(AND(C275&lt;&gt;"", J275&lt;&gt;""), HYPERLINK("#'" &amp; C275 &amp; "'!" &amp; J275, J275), "")</f>
        <v/>
      </c>
    </row>
    <row r="276">
      <c r="B276" s="21">
        <f>IF(AND(C276&lt;&gt;"", J276&lt;&gt;""), HYPERLINK("#'" &amp; C276 &amp; "'!" &amp; J276, J276), "")</f>
        <v/>
      </c>
    </row>
    <row r="277">
      <c r="B277" s="21">
        <f>IF(AND(C277&lt;&gt;"", J277&lt;&gt;""), HYPERLINK("#'" &amp; C277 &amp; "'!" &amp; J277, J277), "")</f>
        <v/>
      </c>
    </row>
    <row r="278">
      <c r="B278" s="21">
        <f>IF(AND(C278&lt;&gt;"", J278&lt;&gt;""), HYPERLINK("#'" &amp; C278 &amp; "'!" &amp; J278, J278), "")</f>
        <v/>
      </c>
    </row>
    <row r="279">
      <c r="B279" s="21">
        <f>IF(AND(C279&lt;&gt;"", J279&lt;&gt;""), HYPERLINK("#'" &amp; C279 &amp; "'!" &amp; J279, J279), "")</f>
        <v/>
      </c>
    </row>
    <row r="280">
      <c r="B280" s="21">
        <f>IF(AND(C280&lt;&gt;"", J280&lt;&gt;""), HYPERLINK("#'" &amp; C280 &amp; "'!" &amp; J280, J280), "")</f>
        <v/>
      </c>
    </row>
    <row r="281">
      <c r="B281" s="21">
        <f>IF(AND(C281&lt;&gt;"", J281&lt;&gt;""), HYPERLINK("#'" &amp; C281 &amp; "'!" &amp; J281, J281), "")</f>
        <v/>
      </c>
    </row>
    <row r="282">
      <c r="B282" s="21">
        <f>IF(AND(C282&lt;&gt;"", J282&lt;&gt;""), HYPERLINK("#'" &amp; C282 &amp; "'!" &amp; J282, J282), "")</f>
        <v/>
      </c>
    </row>
    <row r="283">
      <c r="B283" s="21">
        <f>IF(AND(C283&lt;&gt;"", J283&lt;&gt;""), HYPERLINK("#'" &amp; C283 &amp; "'!" &amp; J283, J283), "")</f>
        <v/>
      </c>
    </row>
    <row r="284">
      <c r="B284" s="21">
        <f>IF(AND(C284&lt;&gt;"", J284&lt;&gt;""), HYPERLINK("#'" &amp; C284 &amp; "'!" &amp; J284, J284), "")</f>
        <v/>
      </c>
    </row>
    <row r="285">
      <c r="B285" s="21">
        <f>IF(AND(C285&lt;&gt;"", J285&lt;&gt;""), HYPERLINK("#'" &amp; C285 &amp; "'!" &amp; J285, J285), "")</f>
        <v/>
      </c>
    </row>
    <row r="286">
      <c r="B286" s="21">
        <f>IF(AND(C286&lt;&gt;"", J286&lt;&gt;""), HYPERLINK("#'" &amp; C286 &amp; "'!" &amp; J286, J286), "")</f>
        <v/>
      </c>
    </row>
    <row r="287">
      <c r="B287" s="21">
        <f>IF(AND(C287&lt;&gt;"", J287&lt;&gt;""), HYPERLINK("#'" &amp; C287 &amp; "'!" &amp; J287, J287), "")</f>
        <v/>
      </c>
    </row>
    <row r="288">
      <c r="B288" s="21">
        <f>IF(AND(C288&lt;&gt;"", J288&lt;&gt;""), HYPERLINK("#'" &amp; C288 &amp; "'!" &amp; J288, J288), "")</f>
        <v/>
      </c>
    </row>
    <row r="289">
      <c r="B289" s="21">
        <f>IF(AND(C289&lt;&gt;"", J289&lt;&gt;""), HYPERLINK("#'" &amp; C289 &amp; "'!" &amp; J289, J289), "")</f>
        <v/>
      </c>
    </row>
    <row r="290">
      <c r="B290" s="21">
        <f>IF(AND(C290&lt;&gt;"", J290&lt;&gt;""), HYPERLINK("#'" &amp; C290 &amp; "'!" &amp; J290, J290), "")</f>
        <v/>
      </c>
    </row>
    <row r="291">
      <c r="B291" s="21">
        <f>IF(AND(C291&lt;&gt;"", J291&lt;&gt;""), HYPERLINK("#'" &amp; C291 &amp; "'!" &amp; J291, J291), "")</f>
        <v/>
      </c>
    </row>
    <row r="292">
      <c r="B292" s="21">
        <f>IF(AND(C292&lt;&gt;"", J292&lt;&gt;""), HYPERLINK("#'" &amp; C292 &amp; "'!" &amp; J292, J292), "")</f>
        <v/>
      </c>
    </row>
    <row r="293">
      <c r="B293" s="21">
        <f>IF(AND(C293&lt;&gt;"", J293&lt;&gt;""), HYPERLINK("#'" &amp; C293 &amp; "'!" &amp; J293, J293), "")</f>
        <v/>
      </c>
    </row>
    <row r="294">
      <c r="B294" s="21">
        <f>IF(AND(C294&lt;&gt;"", J294&lt;&gt;""), HYPERLINK("#'" &amp; C294 &amp; "'!" &amp; J294, J294), "")</f>
        <v/>
      </c>
    </row>
    <row r="295">
      <c r="B295" s="21">
        <f>IF(AND(C295&lt;&gt;"", J295&lt;&gt;""), HYPERLINK("#'" &amp; C295 &amp; "'!" &amp; J295, J295), "")</f>
        <v/>
      </c>
    </row>
    <row r="296">
      <c r="B296" s="21">
        <f>IF(AND(C296&lt;&gt;"", J296&lt;&gt;""), HYPERLINK("#'" &amp; C296 &amp; "'!" &amp; J296, J296), "")</f>
        <v/>
      </c>
    </row>
    <row r="297">
      <c r="B297" s="21">
        <f>IF(AND(C297&lt;&gt;"", J297&lt;&gt;""), HYPERLINK("#'" &amp; C297 &amp; "'!" &amp; J297, J297), "")</f>
        <v/>
      </c>
    </row>
    <row r="298">
      <c r="B298" s="21">
        <f>IF(AND(C298&lt;&gt;"", J298&lt;&gt;""), HYPERLINK("#'" &amp; C298 &amp; "'!" &amp; J298, J298), "")</f>
        <v/>
      </c>
    </row>
    <row r="299">
      <c r="B299" s="21">
        <f>IF(AND(C299&lt;&gt;"", J299&lt;&gt;""), HYPERLINK("#'" &amp; C299 &amp; "'!" &amp; J299, J299), "")</f>
        <v/>
      </c>
    </row>
    <row r="300">
      <c r="B300" s="21">
        <f>IF(AND(C300&lt;&gt;"", J300&lt;&gt;""), HYPERLINK("#'" &amp; C300 &amp; "'!" &amp; J300, J300), "")</f>
        <v/>
      </c>
    </row>
    <row r="301">
      <c r="B301" s="21">
        <f>IF(AND(C301&lt;&gt;"", J301&lt;&gt;""), HYPERLINK("#'" &amp; C301 &amp; "'!" &amp; J301, J301), "")</f>
        <v/>
      </c>
    </row>
    <row r="302">
      <c r="B302" s="21">
        <f>IF(AND(C302&lt;&gt;"", J302&lt;&gt;""), HYPERLINK("#'" &amp; C302 &amp; "'!" &amp; J302, J302), "")</f>
        <v/>
      </c>
    </row>
    <row r="303">
      <c r="B303" s="21">
        <f>IF(AND(C303&lt;&gt;"", J303&lt;&gt;""), HYPERLINK("#'" &amp; C303 &amp; "'!" &amp; J303, J303), "")</f>
        <v/>
      </c>
    </row>
    <row r="304">
      <c r="B304" s="21">
        <f>IF(AND(C304&lt;&gt;"", J304&lt;&gt;""), HYPERLINK("#'" &amp; C304 &amp; "'!" &amp; J304, J304), "")</f>
        <v/>
      </c>
    </row>
    <row r="305">
      <c r="B305" s="21">
        <f>IF(AND(C305&lt;&gt;"", J305&lt;&gt;""), HYPERLINK("#'" &amp; C305 &amp; "'!" &amp; J305, J305), "")</f>
        <v/>
      </c>
    </row>
    <row r="306">
      <c r="B306" s="21">
        <f>IF(AND(C306&lt;&gt;"", J306&lt;&gt;""), HYPERLINK("#'" &amp; C306 &amp; "'!" &amp; J306, J306), "")</f>
        <v/>
      </c>
    </row>
    <row r="307">
      <c r="B307" s="21">
        <f>IF(AND(C307&lt;&gt;"", J307&lt;&gt;""), HYPERLINK("#'" &amp; C307 &amp; "'!" &amp; J307, J307), "")</f>
        <v/>
      </c>
    </row>
    <row r="308">
      <c r="B308" s="21">
        <f>IF(AND(C308&lt;&gt;"", J308&lt;&gt;""), HYPERLINK("#'" &amp; C308 &amp; "'!" &amp; J308, J308), "")</f>
        <v/>
      </c>
    </row>
    <row r="309">
      <c r="B309" s="21">
        <f>IF(AND(C309&lt;&gt;"", J309&lt;&gt;""), HYPERLINK("#'" &amp; C309 &amp; "'!" &amp; J309, J309), "")</f>
        <v/>
      </c>
    </row>
    <row r="310">
      <c r="B310" s="21">
        <f>IF(AND(C310&lt;&gt;"", J310&lt;&gt;""), HYPERLINK("#'" &amp; C310 &amp; "'!" &amp; J310, J310), "")</f>
        <v/>
      </c>
    </row>
    <row r="311">
      <c r="B311" s="21">
        <f>IF(AND(C311&lt;&gt;"", J311&lt;&gt;""), HYPERLINK("#'" &amp; C311 &amp; "'!" &amp; J311, J311), "")</f>
        <v/>
      </c>
    </row>
    <row r="312">
      <c r="B312" s="21">
        <f>IF(AND(C312&lt;&gt;"", J312&lt;&gt;""), HYPERLINK("#'" &amp; C312 &amp; "'!" &amp; J312, J312), "")</f>
        <v/>
      </c>
    </row>
    <row r="313">
      <c r="B313" s="21">
        <f>IF(AND(C313&lt;&gt;"", J313&lt;&gt;""), HYPERLINK("#'" &amp; C313 &amp; "'!" &amp; J313, J313), "")</f>
        <v/>
      </c>
    </row>
    <row r="314">
      <c r="B314" s="21">
        <f>IF(AND(C314&lt;&gt;"", J314&lt;&gt;""), HYPERLINK("#'" &amp; C314 &amp; "'!" &amp; J314, J314), "")</f>
        <v/>
      </c>
    </row>
    <row r="315">
      <c r="B315" s="21">
        <f>IF(AND(C315&lt;&gt;"", J315&lt;&gt;""), HYPERLINK("#'" &amp; C315 &amp; "'!" &amp; J315, J315), "")</f>
        <v/>
      </c>
    </row>
    <row r="316">
      <c r="B316" s="21">
        <f>IF(AND(C316&lt;&gt;"", J316&lt;&gt;""), HYPERLINK("#'" &amp; C316 &amp; "'!" &amp; J316, J316), "")</f>
        <v/>
      </c>
    </row>
    <row r="317">
      <c r="B317" s="21">
        <f>IF(AND(C317&lt;&gt;"", J317&lt;&gt;""), HYPERLINK("#'" &amp; C317 &amp; "'!" &amp; J317, J317), "")</f>
        <v/>
      </c>
    </row>
    <row r="318">
      <c r="B318" s="21">
        <f>IF(AND(C318&lt;&gt;"", J318&lt;&gt;""), HYPERLINK("#'" &amp; C318 &amp; "'!" &amp; J318, J318), "")</f>
        <v/>
      </c>
    </row>
    <row r="319">
      <c r="B319" s="21">
        <f>IF(AND(C319&lt;&gt;"", J319&lt;&gt;""), HYPERLINK("#'" &amp; C319 &amp; "'!" &amp; J319, J319), "")</f>
        <v/>
      </c>
    </row>
    <row r="320">
      <c r="B320" s="21">
        <f>IF(AND(C320&lt;&gt;"", J320&lt;&gt;""), HYPERLINK("#'" &amp; C320 &amp; "'!" &amp; J320, J320), "")</f>
        <v/>
      </c>
    </row>
    <row r="321">
      <c r="B321" s="21">
        <f>IF(AND(C321&lt;&gt;"", J321&lt;&gt;""), HYPERLINK("#'" &amp; C321 &amp; "'!" &amp; J321, J321), "")</f>
        <v/>
      </c>
    </row>
    <row r="322">
      <c r="B322" s="21">
        <f>IF(AND(C322&lt;&gt;"", J322&lt;&gt;""), HYPERLINK("#'" &amp; C322 &amp; "'!" &amp; J322, J322), "")</f>
        <v/>
      </c>
    </row>
    <row r="323">
      <c r="B323" s="21">
        <f>IF(AND(C323&lt;&gt;"", J323&lt;&gt;""), HYPERLINK("#'" &amp; C323 &amp; "'!" &amp; J323, J323), "")</f>
        <v/>
      </c>
    </row>
    <row r="324">
      <c r="B324" s="21">
        <f>IF(AND(C324&lt;&gt;"", J324&lt;&gt;""), HYPERLINK("#'" &amp; C324 &amp; "'!" &amp; J324, J324), "")</f>
        <v/>
      </c>
    </row>
    <row r="325">
      <c r="B325" s="21">
        <f>IF(AND(C325&lt;&gt;"", J325&lt;&gt;""), HYPERLINK("#'" &amp; C325 &amp; "'!" &amp; J325, J325), "")</f>
        <v/>
      </c>
    </row>
    <row r="326">
      <c r="B326" s="21">
        <f>IF(AND(C326&lt;&gt;"", J326&lt;&gt;""), HYPERLINK("#'" &amp; C326 &amp; "'!" &amp; J326, J326), "")</f>
        <v/>
      </c>
    </row>
    <row r="327">
      <c r="B327" s="21">
        <f>IF(AND(C327&lt;&gt;"", J327&lt;&gt;""), HYPERLINK("#'" &amp; C327 &amp; "'!" &amp; J327, J327), "")</f>
        <v/>
      </c>
    </row>
    <row r="328">
      <c r="B328" s="21">
        <f>IF(AND(C328&lt;&gt;"", J328&lt;&gt;""), HYPERLINK("#'" &amp; C328 &amp; "'!" &amp; J328, J328), "")</f>
        <v/>
      </c>
    </row>
    <row r="329">
      <c r="B329" s="21">
        <f>IF(AND(C329&lt;&gt;"", J329&lt;&gt;""), HYPERLINK("#'" &amp; C329 &amp; "'!" &amp; J329, J329), "")</f>
        <v/>
      </c>
    </row>
    <row r="330">
      <c r="B330" s="21">
        <f>IF(AND(C330&lt;&gt;"", J330&lt;&gt;""), HYPERLINK("#'" &amp; C330 &amp; "'!" &amp; J330, J330), "")</f>
        <v/>
      </c>
    </row>
    <row r="331">
      <c r="B331" s="21">
        <f>IF(AND(C331&lt;&gt;"", J331&lt;&gt;""), HYPERLINK("#'" &amp; C331 &amp; "'!" &amp; J331, J331), "")</f>
        <v/>
      </c>
    </row>
    <row r="332">
      <c r="B332" s="21">
        <f>IF(AND(C332&lt;&gt;"", J332&lt;&gt;""), HYPERLINK("#'" &amp; C332 &amp; "'!" &amp; J332, J332), "")</f>
        <v/>
      </c>
    </row>
    <row r="333">
      <c r="B333" s="21">
        <f>IF(AND(C333&lt;&gt;"", J333&lt;&gt;""), HYPERLINK("#'" &amp; C333 &amp; "'!" &amp; J333, J333), "")</f>
        <v/>
      </c>
    </row>
    <row r="334">
      <c r="B334" s="21">
        <f>IF(AND(C334&lt;&gt;"", J334&lt;&gt;""), HYPERLINK("#'" &amp; C334 &amp; "'!" &amp; J334, J334), "")</f>
        <v/>
      </c>
    </row>
    <row r="335">
      <c r="B335" s="21">
        <f>IF(AND(C335&lt;&gt;"", J335&lt;&gt;""), HYPERLINK("#'" &amp; C335 &amp; "'!" &amp; J335, J335), "")</f>
        <v/>
      </c>
    </row>
    <row r="336">
      <c r="B336" s="21">
        <f>IF(AND(C336&lt;&gt;"", J336&lt;&gt;""), HYPERLINK("#'" &amp; C336 &amp; "'!" &amp; J336, J336), "")</f>
        <v/>
      </c>
    </row>
    <row r="337">
      <c r="B337" s="21">
        <f>IF(AND(C337&lt;&gt;"", J337&lt;&gt;""), HYPERLINK("#'" &amp; C337 &amp; "'!" &amp; J337, J337), "")</f>
        <v/>
      </c>
    </row>
    <row r="338">
      <c r="B338" s="21">
        <f>IF(AND(C338&lt;&gt;"", J338&lt;&gt;""), HYPERLINK("#'" &amp; C338 &amp; "'!" &amp; J338, J338), "")</f>
        <v/>
      </c>
    </row>
    <row r="339">
      <c r="B339" s="21">
        <f>IF(AND(C339&lt;&gt;"", J339&lt;&gt;""), HYPERLINK("#'" &amp; C339 &amp; "'!" &amp; J339, J339), "")</f>
        <v/>
      </c>
    </row>
    <row r="340">
      <c r="B340" s="21">
        <f>IF(AND(C340&lt;&gt;"", J340&lt;&gt;""), HYPERLINK("#'" &amp; C340 &amp; "'!" &amp; J340, J340), "")</f>
        <v/>
      </c>
    </row>
    <row r="341">
      <c r="B341" s="21">
        <f>IF(AND(C341&lt;&gt;"", J341&lt;&gt;""), HYPERLINK("#'" &amp; C341 &amp; "'!" &amp; J341, J341), "")</f>
        <v/>
      </c>
    </row>
    <row r="342">
      <c r="B342" s="21">
        <f>IF(AND(C342&lt;&gt;"", J342&lt;&gt;""), HYPERLINK("#'" &amp; C342 &amp; "'!" &amp; J342, J342), "")</f>
        <v/>
      </c>
    </row>
    <row r="343">
      <c r="B343" s="21">
        <f>IF(AND(C343&lt;&gt;"", J343&lt;&gt;""), HYPERLINK("#'" &amp; C343 &amp; "'!" &amp; J343, J343), "")</f>
        <v/>
      </c>
    </row>
    <row r="344">
      <c r="B344" s="21">
        <f>IF(AND(C344&lt;&gt;"", J344&lt;&gt;""), HYPERLINK("#'" &amp; C344 &amp; "'!" &amp; J344, J344), "")</f>
        <v/>
      </c>
    </row>
    <row r="345">
      <c r="B345" s="21">
        <f>IF(AND(C345&lt;&gt;"", J345&lt;&gt;""), HYPERLINK("#'" &amp; C345 &amp; "'!" &amp; J345, J345), "")</f>
        <v/>
      </c>
    </row>
    <row r="346">
      <c r="B346" s="21">
        <f>IF(AND(C346&lt;&gt;"", J346&lt;&gt;""), HYPERLINK("#'" &amp; C346 &amp; "'!" &amp; J346, J346), "")</f>
        <v/>
      </c>
    </row>
    <row r="347">
      <c r="B347" s="21">
        <f>IF(AND(C347&lt;&gt;"", J347&lt;&gt;""), HYPERLINK("#'" &amp; C347 &amp; "'!" &amp; J347, J347), "")</f>
        <v/>
      </c>
    </row>
    <row r="348">
      <c r="B348" s="21">
        <f>IF(AND(C348&lt;&gt;"", J348&lt;&gt;""), HYPERLINK("#'" &amp; C348 &amp; "'!" &amp; J348, J348), "")</f>
        <v/>
      </c>
    </row>
    <row r="349">
      <c r="B349" s="21">
        <f>IF(AND(C349&lt;&gt;"", J349&lt;&gt;""), HYPERLINK("#'" &amp; C349 &amp; "'!" &amp; J349, J349), "")</f>
        <v/>
      </c>
    </row>
    <row r="350">
      <c r="B350" s="21">
        <f>IF(AND(C350&lt;&gt;"", J350&lt;&gt;""), HYPERLINK("#'" &amp; C350 &amp; "'!" &amp; J350, J350), "")</f>
        <v/>
      </c>
    </row>
    <row r="351">
      <c r="B351" s="21">
        <f>IF(AND(C351&lt;&gt;"", J351&lt;&gt;""), HYPERLINK("#'" &amp; C351 &amp; "'!" &amp; J351, J351), "")</f>
        <v/>
      </c>
    </row>
    <row r="352">
      <c r="B352" s="21">
        <f>IF(AND(C352&lt;&gt;"", J352&lt;&gt;""), HYPERLINK("#'" &amp; C352 &amp; "'!" &amp; J352, J352), "")</f>
        <v/>
      </c>
    </row>
    <row r="353">
      <c r="B353" s="21">
        <f>IF(AND(C353&lt;&gt;"", J353&lt;&gt;""), HYPERLINK("#'" &amp; C353 &amp; "'!" &amp; J353, J353), "")</f>
        <v/>
      </c>
    </row>
    <row r="354">
      <c r="B354" s="21">
        <f>IF(AND(C354&lt;&gt;"", J354&lt;&gt;""), HYPERLINK("#'" &amp; C354 &amp; "'!" &amp; J354, J354), "")</f>
        <v/>
      </c>
    </row>
    <row r="355">
      <c r="B355" s="21">
        <f>IF(AND(C355&lt;&gt;"", J355&lt;&gt;""), HYPERLINK("#'" &amp; C355 &amp; "'!" &amp; J355, J355), "")</f>
        <v/>
      </c>
    </row>
    <row r="356">
      <c r="B356" s="21">
        <f>IF(AND(C356&lt;&gt;"", J356&lt;&gt;""), HYPERLINK("#'" &amp; C356 &amp; "'!" &amp; J356, J356), "")</f>
        <v/>
      </c>
    </row>
    <row r="357">
      <c r="B357" s="21">
        <f>IF(AND(C357&lt;&gt;"", J357&lt;&gt;""), HYPERLINK("#'" &amp; C357 &amp; "'!" &amp; J357, J357), "")</f>
        <v/>
      </c>
    </row>
    <row r="358">
      <c r="B358" s="21">
        <f>IF(AND(C358&lt;&gt;"", J358&lt;&gt;""), HYPERLINK("#'" &amp; C358 &amp; "'!" &amp; J358, J358), "")</f>
        <v/>
      </c>
    </row>
    <row r="359">
      <c r="B359" s="21">
        <f>IF(AND(C359&lt;&gt;"", J359&lt;&gt;""), HYPERLINK("#'" &amp; C359 &amp; "'!" &amp; J359, J359), "")</f>
        <v/>
      </c>
    </row>
    <row r="360">
      <c r="B360" s="21">
        <f>IF(AND(C360&lt;&gt;"", J360&lt;&gt;""), HYPERLINK("#'" &amp; C360 &amp; "'!" &amp; J360, J360), "")</f>
        <v/>
      </c>
    </row>
    <row r="361">
      <c r="B361" s="21">
        <f>IF(AND(C361&lt;&gt;"", J361&lt;&gt;""), HYPERLINK("#'" &amp; C361 &amp; "'!" &amp; J361, J361), "")</f>
        <v/>
      </c>
    </row>
    <row r="362">
      <c r="B362" s="21">
        <f>IF(AND(C362&lt;&gt;"", J362&lt;&gt;""), HYPERLINK("#'" &amp; C362 &amp; "'!" &amp; J362, J362), "")</f>
        <v/>
      </c>
    </row>
    <row r="363">
      <c r="B363" s="21">
        <f>IF(AND(C363&lt;&gt;"", J363&lt;&gt;""), HYPERLINK("#'" &amp; C363 &amp; "'!" &amp; J363, J363), "")</f>
        <v/>
      </c>
    </row>
    <row r="364">
      <c r="B364" s="21">
        <f>IF(AND(C364&lt;&gt;"", J364&lt;&gt;""), HYPERLINK("#'" &amp; C364 &amp; "'!" &amp; J364, J364), "")</f>
        <v/>
      </c>
    </row>
    <row r="365">
      <c r="B365" s="21">
        <f>IF(AND(C365&lt;&gt;"", J365&lt;&gt;""), HYPERLINK("#'" &amp; C365 &amp; "'!" &amp; J365, J365), "")</f>
        <v/>
      </c>
    </row>
    <row r="366">
      <c r="B366" s="21">
        <f>IF(AND(C366&lt;&gt;"", J366&lt;&gt;""), HYPERLINK("#'" &amp; C366 &amp; "'!" &amp; J366, J366), "")</f>
        <v/>
      </c>
    </row>
    <row r="367">
      <c r="B367" s="21">
        <f>IF(AND(C367&lt;&gt;"", J367&lt;&gt;""), HYPERLINK("#'" &amp; C367 &amp; "'!" &amp; J367, J367), "")</f>
        <v/>
      </c>
    </row>
    <row r="368">
      <c r="B368" s="21">
        <f>IF(AND(C368&lt;&gt;"", J368&lt;&gt;""), HYPERLINK("#'" &amp; C368 &amp; "'!" &amp; J368, J368), "")</f>
        <v/>
      </c>
    </row>
    <row r="369">
      <c r="B369" s="21">
        <f>IF(AND(C369&lt;&gt;"", J369&lt;&gt;""), HYPERLINK("#'" &amp; C369 &amp; "'!" &amp; J369, J369), "")</f>
        <v/>
      </c>
    </row>
    <row r="370">
      <c r="B370" s="21">
        <f>IF(AND(C370&lt;&gt;"", J370&lt;&gt;""), HYPERLINK("#'" &amp; C370 &amp; "'!" &amp; J370, J370), "")</f>
        <v/>
      </c>
    </row>
    <row r="371">
      <c r="B371" s="21">
        <f>IF(AND(C371&lt;&gt;"", J371&lt;&gt;""), HYPERLINK("#'" &amp; C371 &amp; "'!" &amp; J371, J371), "")</f>
        <v/>
      </c>
    </row>
    <row r="372">
      <c r="B372" s="21">
        <f>IF(AND(C372&lt;&gt;"", J372&lt;&gt;""), HYPERLINK("#'" &amp; C372 &amp; "'!" &amp; J372, J372), "")</f>
        <v/>
      </c>
    </row>
    <row r="373">
      <c r="B373" s="21">
        <f>IF(AND(C373&lt;&gt;"", J373&lt;&gt;""), HYPERLINK("#'" &amp; C373 &amp; "'!" &amp; J373, J373), "")</f>
        <v/>
      </c>
    </row>
    <row r="374">
      <c r="B374" s="21">
        <f>IF(AND(C374&lt;&gt;"", J374&lt;&gt;""), HYPERLINK("#'" &amp; C374 &amp; "'!" &amp; J374, J374), "")</f>
        <v/>
      </c>
    </row>
    <row r="375">
      <c r="B375" s="21">
        <f>IF(AND(C375&lt;&gt;"", J375&lt;&gt;""), HYPERLINK("#'" &amp; C375 &amp; "'!" &amp; J375, J375), "")</f>
        <v/>
      </c>
    </row>
    <row r="376">
      <c r="B376" s="21">
        <f>IF(AND(C376&lt;&gt;"", J376&lt;&gt;""), HYPERLINK("#'" &amp; C376 &amp; "'!" &amp; J376, J376), "")</f>
        <v/>
      </c>
    </row>
    <row r="377">
      <c r="B377" s="21">
        <f>IF(AND(C377&lt;&gt;"", J377&lt;&gt;""), HYPERLINK("#'" &amp; C377 &amp; "'!" &amp; J377, J377), "")</f>
        <v/>
      </c>
    </row>
    <row r="378">
      <c r="B378" s="21">
        <f>IF(AND(C378&lt;&gt;"", J378&lt;&gt;""), HYPERLINK("#'" &amp; C378 &amp; "'!" &amp; J378, J378), "")</f>
        <v/>
      </c>
    </row>
    <row r="379">
      <c r="B379" s="21">
        <f>IF(AND(C379&lt;&gt;"", J379&lt;&gt;""), HYPERLINK("#'" &amp; C379 &amp; "'!" &amp; J379, J379), "")</f>
        <v/>
      </c>
    </row>
    <row r="380">
      <c r="B380" s="21">
        <f>IF(AND(C380&lt;&gt;"", J380&lt;&gt;""), HYPERLINK("#'" &amp; C380 &amp; "'!" &amp; J380, J380), "")</f>
        <v/>
      </c>
    </row>
    <row r="381">
      <c r="B381" s="21">
        <f>IF(AND(C381&lt;&gt;"", J381&lt;&gt;""), HYPERLINK("#'" &amp; C381 &amp; "'!" &amp; J381, J381), "")</f>
        <v/>
      </c>
    </row>
    <row r="382">
      <c r="B382" s="21">
        <f>IF(AND(C382&lt;&gt;"", J382&lt;&gt;""), HYPERLINK("#'" &amp; C382 &amp; "'!" &amp; J382, J382), "")</f>
        <v/>
      </c>
    </row>
    <row r="383">
      <c r="B383" s="21">
        <f>IF(AND(C383&lt;&gt;"", J383&lt;&gt;""), HYPERLINK("#'" &amp; C383 &amp; "'!" &amp; J383, J383), "")</f>
        <v/>
      </c>
    </row>
    <row r="384">
      <c r="B384" s="21">
        <f>IF(AND(C384&lt;&gt;"", J384&lt;&gt;""), HYPERLINK("#'" &amp; C384 &amp; "'!" &amp; J384, J384), "")</f>
        <v/>
      </c>
    </row>
    <row r="385">
      <c r="B385" s="21">
        <f>IF(AND(C385&lt;&gt;"", J385&lt;&gt;""), HYPERLINK("#'" &amp; C385 &amp; "'!" &amp; J385, J385), "")</f>
        <v/>
      </c>
    </row>
    <row r="386">
      <c r="B386" s="21">
        <f>IF(AND(C386&lt;&gt;"", J386&lt;&gt;""), HYPERLINK("#'" &amp; C386 &amp; "'!" &amp; J386, J386), "")</f>
        <v/>
      </c>
    </row>
    <row r="387">
      <c r="B387" s="21">
        <f>IF(AND(C387&lt;&gt;"", J387&lt;&gt;""), HYPERLINK("#'" &amp; C387 &amp; "'!" &amp; J387, J387), "")</f>
        <v/>
      </c>
    </row>
    <row r="388">
      <c r="B388" s="21">
        <f>IF(AND(C388&lt;&gt;"", J388&lt;&gt;""), HYPERLINK("#'" &amp; C388 &amp; "'!" &amp; J388, J388), "")</f>
        <v/>
      </c>
    </row>
    <row r="389">
      <c r="B389" s="21">
        <f>IF(AND(C389&lt;&gt;"", J389&lt;&gt;""), HYPERLINK("#'" &amp; C389 &amp; "'!" &amp; J389, J389), "")</f>
        <v/>
      </c>
    </row>
    <row r="390">
      <c r="B390" s="21">
        <f>IF(AND(C390&lt;&gt;"", J390&lt;&gt;""), HYPERLINK("#'" &amp; C390 &amp; "'!" &amp; J390, J390), "")</f>
        <v/>
      </c>
    </row>
    <row r="391">
      <c r="B391" s="21">
        <f>IF(AND(C391&lt;&gt;"", J391&lt;&gt;""), HYPERLINK("#'" &amp; C391 &amp; "'!" &amp; J391, J391), "")</f>
        <v/>
      </c>
    </row>
    <row r="392">
      <c r="B392" s="21">
        <f>IF(AND(C392&lt;&gt;"", J392&lt;&gt;""), HYPERLINK("#'" &amp; C392 &amp; "'!" &amp; J392, J392), "")</f>
        <v/>
      </c>
    </row>
    <row r="393">
      <c r="B393" s="21">
        <f>IF(AND(C393&lt;&gt;"", J393&lt;&gt;""), HYPERLINK("#'" &amp; C393 &amp; "'!" &amp; J393, J393), "")</f>
        <v/>
      </c>
    </row>
    <row r="394">
      <c r="B394" s="21">
        <f>IF(AND(C394&lt;&gt;"", J394&lt;&gt;""), HYPERLINK("#'" &amp; C394 &amp; "'!" &amp; J394, J394), "")</f>
        <v/>
      </c>
    </row>
    <row r="395">
      <c r="B395" s="21">
        <f>IF(AND(C395&lt;&gt;"", J395&lt;&gt;""), HYPERLINK("#'" &amp; C395 &amp; "'!" &amp; J395, J395), "")</f>
        <v/>
      </c>
    </row>
    <row r="396">
      <c r="B396" s="21">
        <f>IF(AND(C396&lt;&gt;"", J396&lt;&gt;""), HYPERLINK("#'" &amp; C396 &amp; "'!" &amp; J396, J396), "")</f>
        <v/>
      </c>
    </row>
    <row r="397">
      <c r="B397" s="21">
        <f>IF(AND(C397&lt;&gt;"", J397&lt;&gt;""), HYPERLINK("#'" &amp; C397 &amp; "'!" &amp; J397, J397), "")</f>
        <v/>
      </c>
    </row>
    <row r="398">
      <c r="B398" s="21">
        <f>IF(AND(C398&lt;&gt;"", J398&lt;&gt;""), HYPERLINK("#'" &amp; C398 &amp; "'!" &amp; J398, J398), "")</f>
        <v/>
      </c>
    </row>
    <row r="399">
      <c r="B399" s="21">
        <f>IF(AND(C399&lt;&gt;"", J399&lt;&gt;""), HYPERLINK("#'" &amp; C399 &amp; "'!" &amp; J399, J399), "")</f>
        <v/>
      </c>
    </row>
    <row r="400">
      <c r="B400" s="21">
        <f>IF(AND(C400&lt;&gt;"", J400&lt;&gt;""), HYPERLINK("#'" &amp; C400 &amp; "'!" &amp; J400, J400), "")</f>
        <v/>
      </c>
    </row>
    <row r="401">
      <c r="B401" s="21">
        <f>IF(AND(C401&lt;&gt;"", J401&lt;&gt;""), HYPERLINK("#'" &amp; C401 &amp; "'!" &amp; J401, J401), "")</f>
        <v/>
      </c>
    </row>
    <row r="402">
      <c r="B402" s="21">
        <f>IF(AND(C402&lt;&gt;"", J402&lt;&gt;""), HYPERLINK("#'" &amp; C402 &amp; "'!" &amp; J402, J402), "")</f>
        <v/>
      </c>
    </row>
    <row r="403">
      <c r="B403" s="21">
        <f>IF(AND(C403&lt;&gt;"", J403&lt;&gt;""), HYPERLINK("#'" &amp; C403 &amp; "'!" &amp; J403, J403), "")</f>
        <v/>
      </c>
    </row>
    <row r="404">
      <c r="B404" s="21">
        <f>IF(AND(C404&lt;&gt;"", J404&lt;&gt;""), HYPERLINK("#'" &amp; C404 &amp; "'!" &amp; J404, J404), "")</f>
        <v/>
      </c>
    </row>
    <row r="405">
      <c r="B405" s="21">
        <f>IF(AND(C405&lt;&gt;"", J405&lt;&gt;""), HYPERLINK("#'" &amp; C405 &amp; "'!" &amp; J405, J405), "")</f>
        <v/>
      </c>
    </row>
    <row r="406">
      <c r="B406" s="21">
        <f>IF(AND(C406&lt;&gt;"", J406&lt;&gt;""), HYPERLINK("#'" &amp; C406 &amp; "'!" &amp; J406, J406), "")</f>
        <v/>
      </c>
    </row>
    <row r="407">
      <c r="B407" s="21">
        <f>IF(AND(C407&lt;&gt;"", J407&lt;&gt;""), HYPERLINK("#'" &amp; C407 &amp; "'!" &amp; J407, J407), "")</f>
        <v/>
      </c>
    </row>
    <row r="408">
      <c r="B408" s="21">
        <f>IF(AND(C408&lt;&gt;"", J408&lt;&gt;""), HYPERLINK("#'" &amp; C408 &amp; "'!" &amp; J408, J408), "")</f>
        <v/>
      </c>
    </row>
    <row r="409">
      <c r="B409" s="21">
        <f>IF(AND(C409&lt;&gt;"", J409&lt;&gt;""), HYPERLINK("#'" &amp; C409 &amp; "'!" &amp; J409, J409), "")</f>
        <v/>
      </c>
    </row>
    <row r="410">
      <c r="B410" s="21">
        <f>IF(AND(C410&lt;&gt;"", J410&lt;&gt;""), HYPERLINK("#'" &amp; C410 &amp; "'!" &amp; J410, J410), "")</f>
        <v/>
      </c>
    </row>
    <row r="411">
      <c r="B411" s="21">
        <f>IF(AND(C411&lt;&gt;"", J411&lt;&gt;""), HYPERLINK("#'" &amp; C411 &amp; "'!" &amp; J411, J411), "")</f>
        <v/>
      </c>
    </row>
    <row r="412">
      <c r="B412" s="21">
        <f>IF(AND(C412&lt;&gt;"", J412&lt;&gt;""), HYPERLINK("#'" &amp; C412 &amp; "'!" &amp; J412, J412), "")</f>
        <v/>
      </c>
    </row>
    <row r="413">
      <c r="B413" s="21">
        <f>IF(AND(C413&lt;&gt;"", J413&lt;&gt;""), HYPERLINK("#'" &amp; C413 &amp; "'!" &amp; J413, J413), "")</f>
        <v/>
      </c>
    </row>
    <row r="414">
      <c r="B414" s="21">
        <f>IF(AND(C414&lt;&gt;"", J414&lt;&gt;""), HYPERLINK("#'" &amp; C414 &amp; "'!" &amp; J414, J414), "")</f>
        <v/>
      </c>
    </row>
    <row r="415">
      <c r="B415" s="21">
        <f>IF(AND(C415&lt;&gt;"", J415&lt;&gt;""), HYPERLINK("#'" &amp; C415 &amp; "'!" &amp; J415, J415), "")</f>
        <v/>
      </c>
    </row>
    <row r="416">
      <c r="B416" s="21">
        <f>IF(AND(C416&lt;&gt;"", J416&lt;&gt;""), HYPERLINK("#'" &amp; C416 &amp; "'!" &amp; J416, J416), "")</f>
        <v/>
      </c>
    </row>
    <row r="417">
      <c r="B417" s="21">
        <f>IF(AND(C417&lt;&gt;"", J417&lt;&gt;""), HYPERLINK("#'" &amp; C417 &amp; "'!" &amp; J417, J417), "")</f>
        <v/>
      </c>
    </row>
    <row r="418">
      <c r="B418" s="21">
        <f>IF(AND(C418&lt;&gt;"", J418&lt;&gt;""), HYPERLINK("#'" &amp; C418 &amp; "'!" &amp; J418, J418), "")</f>
        <v/>
      </c>
    </row>
    <row r="419">
      <c r="B419" s="21">
        <f>IF(AND(C419&lt;&gt;"", J419&lt;&gt;""), HYPERLINK("#'" &amp; C419 &amp; "'!" &amp; J419, J419), "")</f>
        <v/>
      </c>
    </row>
    <row r="420">
      <c r="B420" s="21">
        <f>IF(AND(C420&lt;&gt;"", J420&lt;&gt;""), HYPERLINK("#'" &amp; C420 &amp; "'!" &amp; J420, J420), "")</f>
        <v/>
      </c>
    </row>
    <row r="421">
      <c r="B421" s="21">
        <f>IF(AND(C421&lt;&gt;"", J421&lt;&gt;""), HYPERLINK("#'" &amp; C421 &amp; "'!" &amp; J421, J421), "")</f>
        <v/>
      </c>
    </row>
    <row r="422">
      <c r="B422" s="21">
        <f>IF(AND(C422&lt;&gt;"", J422&lt;&gt;""), HYPERLINK("#'" &amp; C422 &amp; "'!" &amp; J422, J422), "")</f>
        <v/>
      </c>
    </row>
    <row r="423">
      <c r="B423" s="21">
        <f>IF(AND(C423&lt;&gt;"", J423&lt;&gt;""), HYPERLINK("#'" &amp; C423 &amp; "'!" &amp; J423, J423), "")</f>
        <v/>
      </c>
    </row>
    <row r="424">
      <c r="B424" s="21">
        <f>IF(AND(C424&lt;&gt;"", J424&lt;&gt;""), HYPERLINK("#'" &amp; C424 &amp; "'!" &amp; J424, J424), "")</f>
        <v/>
      </c>
    </row>
    <row r="425">
      <c r="B425" s="21">
        <f>IF(AND(C425&lt;&gt;"", J425&lt;&gt;""), HYPERLINK("#'" &amp; C425 &amp; "'!" &amp; J425, J425), "")</f>
        <v/>
      </c>
    </row>
    <row r="426">
      <c r="B426" s="21">
        <f>IF(AND(C426&lt;&gt;"", J426&lt;&gt;""), HYPERLINK("#'" &amp; C426 &amp; "'!" &amp; J426, J426), "")</f>
        <v/>
      </c>
    </row>
    <row r="427">
      <c r="B427" s="21">
        <f>IF(AND(C427&lt;&gt;"", J427&lt;&gt;""), HYPERLINK("#'" &amp; C427 &amp; "'!" &amp; J427, J427), "")</f>
        <v/>
      </c>
    </row>
    <row r="428">
      <c r="B428" s="21">
        <f>IF(AND(C428&lt;&gt;"", J428&lt;&gt;""), HYPERLINK("#'" &amp; C428 &amp; "'!" &amp; J428, J428), "")</f>
        <v/>
      </c>
    </row>
    <row r="429">
      <c r="B429" s="21">
        <f>IF(AND(C429&lt;&gt;"", J429&lt;&gt;""), HYPERLINK("#'" &amp; C429 &amp; "'!" &amp; J429, J429), "")</f>
        <v/>
      </c>
    </row>
    <row r="430">
      <c r="B430" s="21">
        <f>IF(AND(C430&lt;&gt;"", J430&lt;&gt;""), HYPERLINK("#'" &amp; C430 &amp; "'!" &amp; J430, J430), "")</f>
        <v/>
      </c>
    </row>
    <row r="431">
      <c r="B431" s="21">
        <f>IF(AND(C431&lt;&gt;"", J431&lt;&gt;""), HYPERLINK("#'" &amp; C431 &amp; "'!" &amp; J431, J431), "")</f>
        <v/>
      </c>
    </row>
    <row r="432">
      <c r="B432" s="21">
        <f>IF(AND(C432&lt;&gt;"", J432&lt;&gt;""), HYPERLINK("#'" &amp; C432 &amp; "'!" &amp; J432, J432), "")</f>
        <v/>
      </c>
    </row>
    <row r="433">
      <c r="B433" s="21">
        <f>IF(AND(C433&lt;&gt;"", J433&lt;&gt;""), HYPERLINK("#'" &amp; C433 &amp; "'!" &amp; J433, J433), "")</f>
        <v/>
      </c>
    </row>
    <row r="434">
      <c r="B434" s="21">
        <f>IF(AND(C434&lt;&gt;"", J434&lt;&gt;""), HYPERLINK("#'" &amp; C434 &amp; "'!" &amp; J434, J434), "")</f>
        <v/>
      </c>
    </row>
    <row r="435">
      <c r="B435" s="21">
        <f>IF(AND(C435&lt;&gt;"", J435&lt;&gt;""), HYPERLINK("#'" &amp; C435 &amp; "'!" &amp; J435, J435), "")</f>
        <v/>
      </c>
    </row>
    <row r="436">
      <c r="B436" s="21">
        <f>IF(AND(C436&lt;&gt;"", J436&lt;&gt;""), HYPERLINK("#'" &amp; C436 &amp; "'!" &amp; J436, J436), "")</f>
        <v/>
      </c>
    </row>
    <row r="437">
      <c r="B437" s="21">
        <f>IF(AND(C437&lt;&gt;"", J437&lt;&gt;""), HYPERLINK("#'" &amp; C437 &amp; "'!" &amp; J437, J437), "")</f>
        <v/>
      </c>
    </row>
    <row r="438">
      <c r="B438" s="21">
        <f>IF(AND(C438&lt;&gt;"", J438&lt;&gt;""), HYPERLINK("#'" &amp; C438 &amp; "'!" &amp; J438, J438), "")</f>
        <v/>
      </c>
    </row>
    <row r="439">
      <c r="B439" s="21">
        <f>IF(AND(C439&lt;&gt;"", J439&lt;&gt;""), HYPERLINK("#'" &amp; C439 &amp; "'!" &amp; J439, J439), "")</f>
        <v/>
      </c>
    </row>
    <row r="440">
      <c r="B440" s="21">
        <f>IF(AND(C440&lt;&gt;"", J440&lt;&gt;""), HYPERLINK("#'" &amp; C440 &amp; "'!" &amp; J440, J440), "")</f>
        <v/>
      </c>
    </row>
    <row r="441">
      <c r="B441" s="21">
        <f>IF(AND(C441&lt;&gt;"", J441&lt;&gt;""), HYPERLINK("#'" &amp; C441 &amp; "'!" &amp; J441, J441), "")</f>
        <v/>
      </c>
    </row>
    <row r="442">
      <c r="B442" s="21">
        <f>IF(AND(C442&lt;&gt;"", J442&lt;&gt;""), HYPERLINK("#'" &amp; C442 &amp; "'!" &amp; J442, J442), "")</f>
        <v/>
      </c>
    </row>
    <row r="443">
      <c r="B443" s="21">
        <f>IF(AND(C443&lt;&gt;"", J443&lt;&gt;""), HYPERLINK("#'" &amp; C443 &amp; "'!" &amp; J443, J443), "")</f>
        <v/>
      </c>
    </row>
    <row r="444">
      <c r="B444" s="21">
        <f>IF(AND(C444&lt;&gt;"", J444&lt;&gt;""), HYPERLINK("#'" &amp; C444 &amp; "'!" &amp; J444, J444), "")</f>
        <v/>
      </c>
    </row>
    <row r="445">
      <c r="B445" s="21">
        <f>IF(AND(C445&lt;&gt;"", J445&lt;&gt;""), HYPERLINK("#'" &amp; C445 &amp; "'!" &amp; J445, J445), "")</f>
        <v/>
      </c>
    </row>
    <row r="446">
      <c r="B446" s="21">
        <f>IF(AND(C446&lt;&gt;"", J446&lt;&gt;""), HYPERLINK("#'" &amp; C446 &amp; "'!" &amp; J446, J446), "")</f>
        <v/>
      </c>
    </row>
    <row r="447">
      <c r="B447" s="21">
        <f>IF(AND(C447&lt;&gt;"", J447&lt;&gt;""), HYPERLINK("#'" &amp; C447 &amp; "'!" &amp; J447, J447), "")</f>
        <v/>
      </c>
    </row>
    <row r="448">
      <c r="B448" s="21">
        <f>IF(AND(C448&lt;&gt;"", J448&lt;&gt;""), HYPERLINK("#'" &amp; C448 &amp; "'!" &amp; J448, J448), "")</f>
        <v/>
      </c>
    </row>
    <row r="449">
      <c r="B449" s="21">
        <f>IF(AND(C449&lt;&gt;"", J449&lt;&gt;""), HYPERLINK("#'" &amp; C449 &amp; "'!" &amp; J449, J449), "")</f>
        <v/>
      </c>
    </row>
    <row r="450">
      <c r="B450" s="21">
        <f>IF(AND(C450&lt;&gt;"", J450&lt;&gt;""), HYPERLINK("#'" &amp; C450 &amp; "'!" &amp; J450, J450), "")</f>
        <v/>
      </c>
    </row>
    <row r="451">
      <c r="B451" s="21">
        <f>IF(AND(C451&lt;&gt;"", J451&lt;&gt;""), HYPERLINK("#'" &amp; C451 &amp; "'!" &amp; J451, J451), "")</f>
        <v/>
      </c>
    </row>
    <row r="452">
      <c r="B452" s="21">
        <f>IF(AND(C452&lt;&gt;"", J452&lt;&gt;""), HYPERLINK("#'" &amp; C452 &amp; "'!" &amp; J452, J452), "")</f>
        <v/>
      </c>
    </row>
    <row r="453">
      <c r="B453" s="21">
        <f>IF(AND(C453&lt;&gt;"", J453&lt;&gt;""), HYPERLINK("#'" &amp; C453 &amp; "'!" &amp; J453, J453), "")</f>
        <v/>
      </c>
    </row>
    <row r="454">
      <c r="B454" s="21">
        <f>IF(AND(C454&lt;&gt;"", J454&lt;&gt;""), HYPERLINK("#'" &amp; C454 &amp; "'!" &amp; J454, J454), "")</f>
        <v/>
      </c>
    </row>
    <row r="455">
      <c r="B455" s="21">
        <f>IF(AND(C455&lt;&gt;"", J455&lt;&gt;""), HYPERLINK("#'" &amp; C455 &amp; "'!" &amp; J455, J455), "")</f>
        <v/>
      </c>
    </row>
    <row r="456">
      <c r="B456" s="21">
        <f>IF(AND(C456&lt;&gt;"", J456&lt;&gt;""), HYPERLINK("#'" &amp; C456 &amp; "'!" &amp; J456, J456), "")</f>
        <v/>
      </c>
    </row>
    <row r="457">
      <c r="B457" s="21">
        <f>IF(AND(C457&lt;&gt;"", J457&lt;&gt;""), HYPERLINK("#'" &amp; C457 &amp; "'!" &amp; J457, J457), "")</f>
        <v/>
      </c>
    </row>
    <row r="458">
      <c r="B458" s="21">
        <f>IF(AND(C458&lt;&gt;"", J458&lt;&gt;""), HYPERLINK("#'" &amp; C458 &amp; "'!" &amp; J458, J458), "")</f>
        <v/>
      </c>
    </row>
    <row r="459">
      <c r="B459" s="21">
        <f>IF(AND(C459&lt;&gt;"", J459&lt;&gt;""), HYPERLINK("#'" &amp; C459 &amp; "'!" &amp; J459, J459), "")</f>
        <v/>
      </c>
    </row>
    <row r="460">
      <c r="B460" s="21">
        <f>IF(AND(C460&lt;&gt;"", J460&lt;&gt;""), HYPERLINK("#'" &amp; C460 &amp; "'!" &amp; J460, J460), "")</f>
        <v/>
      </c>
    </row>
    <row r="461">
      <c r="B461" s="21">
        <f>IF(AND(C461&lt;&gt;"", J461&lt;&gt;""), HYPERLINK("#'" &amp; C461 &amp; "'!" &amp; J461, J461), "")</f>
        <v/>
      </c>
    </row>
    <row r="462">
      <c r="B462" s="21">
        <f>IF(AND(C462&lt;&gt;"", J462&lt;&gt;""), HYPERLINK("#'" &amp; C462 &amp; "'!" &amp; J462, J462), "")</f>
        <v/>
      </c>
    </row>
    <row r="463">
      <c r="B463" s="21">
        <f>IF(AND(C463&lt;&gt;"", J463&lt;&gt;""), HYPERLINK("#'" &amp; C463 &amp; "'!" &amp; J463, J463), "")</f>
        <v/>
      </c>
    </row>
    <row r="464">
      <c r="B464" s="21">
        <f>IF(AND(C464&lt;&gt;"", J464&lt;&gt;""), HYPERLINK("#'" &amp; C464 &amp; "'!" &amp; J464, J464), "")</f>
        <v/>
      </c>
    </row>
    <row r="465">
      <c r="B465" s="21">
        <f>IF(AND(C465&lt;&gt;"", J465&lt;&gt;""), HYPERLINK("#'" &amp; C465 &amp; "'!" &amp; J465, J465), "")</f>
        <v/>
      </c>
    </row>
    <row r="466">
      <c r="B466" s="21">
        <f>IF(AND(C466&lt;&gt;"", J466&lt;&gt;""), HYPERLINK("#'" &amp; C466 &amp; "'!" &amp; J466, J466), "")</f>
        <v/>
      </c>
    </row>
    <row r="467">
      <c r="B467" s="21">
        <f>IF(AND(C467&lt;&gt;"", J467&lt;&gt;""), HYPERLINK("#'" &amp; C467 &amp; "'!" &amp; J467, J467), "")</f>
        <v/>
      </c>
    </row>
    <row r="468">
      <c r="B468" s="21">
        <f>IF(AND(C468&lt;&gt;"", J468&lt;&gt;""), HYPERLINK("#'" &amp; C468 &amp; "'!" &amp; J468, J468), "")</f>
        <v/>
      </c>
    </row>
    <row r="469">
      <c r="B469" s="21">
        <f>IF(AND(C469&lt;&gt;"", J469&lt;&gt;""), HYPERLINK("#'" &amp; C469 &amp; "'!" &amp; J469, J469), "")</f>
        <v/>
      </c>
    </row>
    <row r="470">
      <c r="B470" s="21">
        <f>IF(AND(C470&lt;&gt;"", J470&lt;&gt;""), HYPERLINK("#'" &amp; C470 &amp; "'!" &amp; J470, J470), "")</f>
        <v/>
      </c>
    </row>
    <row r="471">
      <c r="B471" s="21">
        <f>IF(AND(C471&lt;&gt;"", J471&lt;&gt;""), HYPERLINK("#'" &amp; C471 &amp; "'!" &amp; J471, J471), "")</f>
        <v/>
      </c>
    </row>
    <row r="472">
      <c r="B472" s="21">
        <f>IF(AND(C472&lt;&gt;"", J472&lt;&gt;""), HYPERLINK("#'" &amp; C472 &amp; "'!" &amp; J472, J472), "")</f>
        <v/>
      </c>
    </row>
    <row r="473">
      <c r="B473" s="21">
        <f>IF(AND(C473&lt;&gt;"", J473&lt;&gt;""), HYPERLINK("#'" &amp; C473 &amp; "'!" &amp; J473, J473), "")</f>
        <v/>
      </c>
    </row>
    <row r="474">
      <c r="B474" s="21">
        <f>IF(AND(C474&lt;&gt;"", J474&lt;&gt;""), HYPERLINK("#'" &amp; C474 &amp; "'!" &amp; J474, J474), "")</f>
        <v/>
      </c>
    </row>
    <row r="475">
      <c r="B475" s="21">
        <f>IF(AND(C475&lt;&gt;"", J475&lt;&gt;""), HYPERLINK("#'" &amp; C475 &amp; "'!" &amp; J475, J475), "")</f>
        <v/>
      </c>
    </row>
    <row r="476">
      <c r="B476" s="21">
        <f>IF(AND(C476&lt;&gt;"", J476&lt;&gt;""), HYPERLINK("#'" &amp; C476 &amp; "'!" &amp; J476, J476), "")</f>
        <v/>
      </c>
    </row>
    <row r="477">
      <c r="B477" s="21">
        <f>IF(AND(C477&lt;&gt;"", J477&lt;&gt;""), HYPERLINK("#'" &amp; C477 &amp; "'!" &amp; J477, J477), "")</f>
        <v/>
      </c>
    </row>
    <row r="478">
      <c r="B478" s="21">
        <f>IF(AND(C478&lt;&gt;"", J478&lt;&gt;""), HYPERLINK("#'" &amp; C478 &amp; "'!" &amp; J478, J478), "")</f>
        <v/>
      </c>
    </row>
    <row r="479">
      <c r="B479" s="21">
        <f>IF(AND(C479&lt;&gt;"", J479&lt;&gt;""), HYPERLINK("#'" &amp; C479 &amp; "'!" &amp; J479, J479), "")</f>
        <v/>
      </c>
    </row>
    <row r="480">
      <c r="B480" s="21">
        <f>IF(AND(C480&lt;&gt;"", J480&lt;&gt;""), HYPERLINK("#'" &amp; C480 &amp; "'!" &amp; J480, J480), "")</f>
        <v/>
      </c>
    </row>
    <row r="481">
      <c r="B481" s="21">
        <f>IF(AND(C481&lt;&gt;"", J481&lt;&gt;""), HYPERLINK("#'" &amp; C481 &amp; "'!" &amp; J481, J481), "")</f>
        <v/>
      </c>
    </row>
    <row r="482">
      <c r="B482" s="21">
        <f>IF(AND(C482&lt;&gt;"", J482&lt;&gt;""), HYPERLINK("#'" &amp; C482 &amp; "'!" &amp; J482, J482), "")</f>
        <v/>
      </c>
    </row>
    <row r="483">
      <c r="B483" s="21">
        <f>IF(AND(C483&lt;&gt;"", J483&lt;&gt;""), HYPERLINK("#'" &amp; C483 &amp; "'!" &amp; J483, J483), "")</f>
        <v/>
      </c>
    </row>
    <row r="484">
      <c r="B484" s="21">
        <f>IF(AND(C484&lt;&gt;"", J484&lt;&gt;""), HYPERLINK("#'" &amp; C484 &amp; "'!" &amp; J484, J484), "")</f>
        <v/>
      </c>
    </row>
    <row r="485">
      <c r="B485" s="21">
        <f>IF(AND(C485&lt;&gt;"", J485&lt;&gt;""), HYPERLINK("#'" &amp; C485 &amp; "'!" &amp; J485, J485), "")</f>
        <v/>
      </c>
    </row>
    <row r="486">
      <c r="B486" s="21">
        <f>IF(AND(C486&lt;&gt;"", J486&lt;&gt;""), HYPERLINK("#'" &amp; C486 &amp; "'!" &amp; J486, J486), "")</f>
        <v/>
      </c>
    </row>
    <row r="487">
      <c r="B487" s="21">
        <f>IF(AND(C487&lt;&gt;"", J487&lt;&gt;""), HYPERLINK("#'" &amp; C487 &amp; "'!" &amp; J487, J487), "")</f>
        <v/>
      </c>
    </row>
    <row r="488">
      <c r="B488" s="21">
        <f>IF(AND(C488&lt;&gt;"", J488&lt;&gt;""), HYPERLINK("#'" &amp; C488 &amp; "'!" &amp; J488, J488), "")</f>
        <v/>
      </c>
    </row>
    <row r="489">
      <c r="B489" s="21">
        <f>IF(AND(C489&lt;&gt;"", J489&lt;&gt;""), HYPERLINK("#'" &amp; C489 &amp; "'!" &amp; J489, J489), "")</f>
        <v/>
      </c>
    </row>
    <row r="490">
      <c r="B490" s="21">
        <f>IF(AND(C490&lt;&gt;"", J490&lt;&gt;""), HYPERLINK("#'" &amp; C490 &amp; "'!" &amp; J490, J490), "")</f>
        <v/>
      </c>
    </row>
    <row r="491">
      <c r="B491" s="21">
        <f>IF(AND(C491&lt;&gt;"", J491&lt;&gt;""), HYPERLINK("#'" &amp; C491 &amp; "'!" &amp; J491, J491), "")</f>
        <v/>
      </c>
    </row>
    <row r="492">
      <c r="B492" s="21">
        <f>IF(AND(C492&lt;&gt;"", J492&lt;&gt;""), HYPERLINK("#'" &amp; C492 &amp; "'!" &amp; J492, J492), "")</f>
        <v/>
      </c>
    </row>
    <row r="493">
      <c r="B493" s="21">
        <f>IF(AND(C493&lt;&gt;"", J493&lt;&gt;""), HYPERLINK("#'" &amp; C493 &amp; "'!" &amp; J493, J493), "")</f>
        <v/>
      </c>
    </row>
    <row r="494">
      <c r="B494" s="21">
        <f>IF(AND(C494&lt;&gt;"", J494&lt;&gt;""), HYPERLINK("#'" &amp; C494 &amp; "'!" &amp; J494, J494), "")</f>
        <v/>
      </c>
    </row>
    <row r="495">
      <c r="B495" s="21">
        <f>IF(AND(C495&lt;&gt;"", J495&lt;&gt;""), HYPERLINK("#'" &amp; C495 &amp; "'!" &amp; J495, J495), "")</f>
        <v/>
      </c>
    </row>
    <row r="496">
      <c r="B496" s="21">
        <f>IF(AND(C496&lt;&gt;"", J496&lt;&gt;""), HYPERLINK("#'" &amp; C496 &amp; "'!" &amp; J496, J496), "")</f>
        <v/>
      </c>
    </row>
    <row r="497">
      <c r="B497" s="21">
        <f>IF(AND(C497&lt;&gt;"", J497&lt;&gt;""), HYPERLINK("#'" &amp; C497 &amp; "'!" &amp; J497, J497), "")</f>
        <v/>
      </c>
    </row>
    <row r="498">
      <c r="B498" s="21">
        <f>IF(AND(C498&lt;&gt;"", J498&lt;&gt;""), HYPERLINK("#'" &amp; C498 &amp; "'!" &amp; J498, J498), "")</f>
        <v/>
      </c>
    </row>
    <row r="499">
      <c r="B499" s="21">
        <f>IF(AND(C499&lt;&gt;"", J499&lt;&gt;""), HYPERLINK("#'" &amp; C499 &amp; "'!" &amp; J499, J499), "")</f>
        <v/>
      </c>
    </row>
    <row r="500">
      <c r="B500" s="21">
        <f>IF(AND(C500&lt;&gt;"", J500&lt;&gt;""), HYPERLINK("#'" &amp; C500 &amp; "'!" &amp; J500, J500), "")</f>
        <v/>
      </c>
    </row>
    <row r="501">
      <c r="B501" s="21">
        <f>IF(AND(C501&lt;&gt;"", J501&lt;&gt;""), HYPERLINK("#'" &amp; C501 &amp; "'!" &amp; J501, J501), "")</f>
        <v/>
      </c>
    </row>
    <row r="502">
      <c r="B502" s="21">
        <f>IF(AND(C502&lt;&gt;"", J502&lt;&gt;""), HYPERLINK("#'" &amp; C502 &amp; "'!" &amp; J502, J502), "")</f>
        <v/>
      </c>
    </row>
    <row r="503">
      <c r="B503" s="21">
        <f>IF(AND(C503&lt;&gt;"", J503&lt;&gt;""), HYPERLINK("#'" &amp; C503 &amp; "'!" &amp; J503, J503), "")</f>
        <v/>
      </c>
    </row>
    <row r="504">
      <c r="B504" s="21">
        <f>IF(AND(C504&lt;&gt;"", J504&lt;&gt;""), HYPERLINK("#'" &amp; C504 &amp; "'!" &amp; J504, J504), "")</f>
        <v/>
      </c>
    </row>
    <row r="505">
      <c r="B505" s="21">
        <f>IF(AND(C505&lt;&gt;"", J505&lt;&gt;""), HYPERLINK("#'" &amp; C505 &amp; "'!" &amp; J505, J505), "")</f>
        <v/>
      </c>
    </row>
    <row r="506">
      <c r="B506" s="21">
        <f>IF(AND(C506&lt;&gt;"", J506&lt;&gt;""), HYPERLINK("#'" &amp; C506 &amp; "'!" &amp; J506, J506), "")</f>
        <v/>
      </c>
    </row>
    <row r="507">
      <c r="B507" s="21">
        <f>IF(AND(C507&lt;&gt;"", J507&lt;&gt;""), HYPERLINK("#'" &amp; C507 &amp; "'!" &amp; J507, J507), "")</f>
        <v/>
      </c>
    </row>
    <row r="508">
      <c r="B508" s="21">
        <f>IF(AND(C508&lt;&gt;"", J508&lt;&gt;""), HYPERLINK("#'" &amp; C508 &amp; "'!" &amp; J508, J508), "")</f>
        <v/>
      </c>
    </row>
    <row r="509">
      <c r="B509" s="21">
        <f>IF(AND(C509&lt;&gt;"", J509&lt;&gt;""), HYPERLINK("#'" &amp; C509 &amp; "'!" &amp; J509, J509), "")</f>
        <v/>
      </c>
    </row>
    <row r="510">
      <c r="B510" s="21">
        <f>IF(AND(C510&lt;&gt;"", J510&lt;&gt;""), HYPERLINK("#'" &amp; C510 &amp; "'!" &amp; J510, J510), "")</f>
        <v/>
      </c>
    </row>
    <row r="511">
      <c r="B511" s="21">
        <f>IF(AND(C511&lt;&gt;"", J511&lt;&gt;""), HYPERLINK("#'" &amp; C511 &amp; "'!" &amp; J511, J511), "")</f>
        <v/>
      </c>
    </row>
    <row r="512">
      <c r="B512" s="21">
        <f>IF(AND(C512&lt;&gt;"", J512&lt;&gt;""), HYPERLINK("#'" &amp; C512 &amp; "'!" &amp; J512, J512), "")</f>
        <v/>
      </c>
    </row>
    <row r="513">
      <c r="B513" s="21">
        <f>IF(AND(C513&lt;&gt;"", J513&lt;&gt;""), HYPERLINK("#'" &amp; C513 &amp; "'!" &amp; J513, J513), "")</f>
        <v/>
      </c>
    </row>
    <row r="514">
      <c r="B514" s="21">
        <f>IF(AND(C514&lt;&gt;"", J514&lt;&gt;""), HYPERLINK("#'" &amp; C514 &amp; "'!" &amp; J514, J514), "")</f>
        <v/>
      </c>
    </row>
    <row r="515">
      <c r="B515" s="21">
        <f>IF(AND(C515&lt;&gt;"", J515&lt;&gt;""), HYPERLINK("#'" &amp; C515 &amp; "'!" &amp; J515, J515), "")</f>
        <v/>
      </c>
    </row>
    <row r="516">
      <c r="B516" s="21">
        <f>IF(AND(C516&lt;&gt;"", J516&lt;&gt;""), HYPERLINK("#'" &amp; C516 &amp; "'!" &amp; J516, J516), "")</f>
        <v/>
      </c>
    </row>
    <row r="517">
      <c r="B517" s="21">
        <f>IF(AND(C517&lt;&gt;"", J517&lt;&gt;""), HYPERLINK("#'" &amp; C517 &amp; "'!" &amp; J517, J517), "")</f>
        <v/>
      </c>
    </row>
    <row r="518">
      <c r="B518" s="21">
        <f>IF(AND(C518&lt;&gt;"", J518&lt;&gt;""), HYPERLINK("#'" &amp; C518 &amp; "'!" &amp; J518, J518), "")</f>
        <v/>
      </c>
    </row>
    <row r="519">
      <c r="B519" s="21">
        <f>IF(AND(C519&lt;&gt;"", J519&lt;&gt;""), HYPERLINK("#'" &amp; C519 &amp; "'!" &amp; J519, J519), "")</f>
        <v/>
      </c>
    </row>
    <row r="520">
      <c r="B520" s="21">
        <f>IF(AND(C520&lt;&gt;"", J520&lt;&gt;""), HYPERLINK("#'" &amp; C520 &amp; "'!" &amp; J520, J520), "")</f>
        <v/>
      </c>
    </row>
    <row r="521">
      <c r="B521" s="21">
        <f>IF(AND(C521&lt;&gt;"", J521&lt;&gt;""), HYPERLINK("#'" &amp; C521 &amp; "'!" &amp; J521, J521), "")</f>
        <v/>
      </c>
    </row>
    <row r="522">
      <c r="B522" s="21">
        <f>IF(AND(C522&lt;&gt;"", J522&lt;&gt;""), HYPERLINK("#'" &amp; C522 &amp; "'!" &amp; J522, J522), "")</f>
        <v/>
      </c>
    </row>
    <row r="523">
      <c r="B523" s="21">
        <f>IF(AND(C523&lt;&gt;"", J523&lt;&gt;""), HYPERLINK("#'" &amp; C523 &amp; "'!" &amp; J523, J523), "")</f>
        <v/>
      </c>
    </row>
    <row r="524">
      <c r="B524" s="21">
        <f>IF(AND(C524&lt;&gt;"", J524&lt;&gt;""), HYPERLINK("#'" &amp; C524 &amp; "'!" &amp; J524, J524), "")</f>
        <v/>
      </c>
    </row>
    <row r="525">
      <c r="B525" s="21">
        <f>IF(AND(C525&lt;&gt;"", J525&lt;&gt;""), HYPERLINK("#'" &amp; C525 &amp; "'!" &amp; J525, J525), "")</f>
        <v/>
      </c>
    </row>
    <row r="526">
      <c r="B526" s="21">
        <f>IF(AND(C526&lt;&gt;"", J526&lt;&gt;""), HYPERLINK("#'" &amp; C526 &amp; "'!" &amp; J526, J526), "")</f>
        <v/>
      </c>
    </row>
    <row r="527">
      <c r="B527" s="21">
        <f>IF(AND(C527&lt;&gt;"", J527&lt;&gt;""), HYPERLINK("#'" &amp; C527 &amp; "'!" &amp; J527, J527), "")</f>
        <v/>
      </c>
    </row>
    <row r="528">
      <c r="B528" s="21">
        <f>IF(AND(C528&lt;&gt;"", J528&lt;&gt;""), HYPERLINK("#'" &amp; C528 &amp; "'!" &amp; J528, J528), "")</f>
        <v/>
      </c>
    </row>
    <row r="529">
      <c r="B529" s="21">
        <f>IF(AND(C529&lt;&gt;"", J529&lt;&gt;""), HYPERLINK("#'" &amp; C529 &amp; "'!" &amp; J529, J529), "")</f>
        <v/>
      </c>
    </row>
    <row r="530">
      <c r="B530" s="21">
        <f>IF(AND(C530&lt;&gt;"", J530&lt;&gt;""), HYPERLINK("#'" &amp; C530 &amp; "'!" &amp; J530, J530), "")</f>
        <v/>
      </c>
    </row>
    <row r="531">
      <c r="B531" s="21">
        <f>IF(AND(C531&lt;&gt;"", J531&lt;&gt;""), HYPERLINK("#'" &amp; C531 &amp; "'!" &amp; J531, J531), "")</f>
        <v/>
      </c>
    </row>
    <row r="532">
      <c r="B532" s="21">
        <f>IF(AND(C532&lt;&gt;"", J532&lt;&gt;""), HYPERLINK("#'" &amp; C532 &amp; "'!" &amp; J532, J532), "")</f>
        <v/>
      </c>
    </row>
    <row r="533">
      <c r="B533" s="21">
        <f>IF(AND(C533&lt;&gt;"", J533&lt;&gt;""), HYPERLINK("#'" &amp; C533 &amp; "'!" &amp; J533, J533), "")</f>
        <v/>
      </c>
    </row>
    <row r="534">
      <c r="B534" s="21">
        <f>IF(AND(C534&lt;&gt;"", J534&lt;&gt;""), HYPERLINK("#'" &amp; C534 &amp; "'!" &amp; J534, J534), "")</f>
        <v/>
      </c>
    </row>
    <row r="535">
      <c r="B535" s="21">
        <f>IF(AND(C535&lt;&gt;"", J535&lt;&gt;""), HYPERLINK("#'" &amp; C535 &amp; "'!" &amp; J535, J535), "")</f>
        <v/>
      </c>
    </row>
    <row r="536">
      <c r="B536" s="21">
        <f>IF(AND(C536&lt;&gt;"", J536&lt;&gt;""), HYPERLINK("#'" &amp; C536 &amp; "'!" &amp; J536, J536), "")</f>
        <v/>
      </c>
    </row>
    <row r="537">
      <c r="B537" s="21">
        <f>IF(AND(C537&lt;&gt;"", J537&lt;&gt;""), HYPERLINK("#'" &amp; C537 &amp; "'!" &amp; J537, J537), "")</f>
        <v/>
      </c>
    </row>
    <row r="538">
      <c r="B538" s="21">
        <f>IF(AND(C538&lt;&gt;"", J538&lt;&gt;""), HYPERLINK("#'" &amp; C538 &amp; "'!" &amp; J538, J538), "")</f>
        <v/>
      </c>
    </row>
    <row r="539">
      <c r="B539" s="21">
        <f>IF(AND(C539&lt;&gt;"", J539&lt;&gt;""), HYPERLINK("#'" &amp; C539 &amp; "'!" &amp; J539, J539), "")</f>
        <v/>
      </c>
    </row>
    <row r="540">
      <c r="B540" s="21">
        <f>IF(AND(C540&lt;&gt;"", J540&lt;&gt;""), HYPERLINK("#'" &amp; C540 &amp; "'!" &amp; J540, J540), "")</f>
        <v/>
      </c>
    </row>
    <row r="541">
      <c r="B541" s="21">
        <f>IF(AND(C541&lt;&gt;"", J541&lt;&gt;""), HYPERLINK("#'" &amp; C541 &amp; "'!" &amp; J541, J541), "")</f>
        <v/>
      </c>
    </row>
    <row r="542">
      <c r="B542" s="21">
        <f>IF(AND(C542&lt;&gt;"", J542&lt;&gt;""), HYPERLINK("#'" &amp; C542 &amp; "'!" &amp; J542, J542), "")</f>
        <v/>
      </c>
    </row>
    <row r="543">
      <c r="B543" s="21">
        <f>IF(AND(C543&lt;&gt;"", J543&lt;&gt;""), HYPERLINK("#'" &amp; C543 &amp; "'!" &amp; J543, J543), "")</f>
        <v/>
      </c>
    </row>
    <row r="544">
      <c r="B544" s="21">
        <f>IF(AND(C544&lt;&gt;"", J544&lt;&gt;""), HYPERLINK("#'" &amp; C544 &amp; "'!" &amp; J544, J544), "")</f>
        <v/>
      </c>
    </row>
    <row r="545">
      <c r="B545" s="21">
        <f>IF(AND(C545&lt;&gt;"", J545&lt;&gt;""), HYPERLINK("#'" &amp; C545 &amp; "'!" &amp; J545, J545), "")</f>
        <v/>
      </c>
    </row>
    <row r="546">
      <c r="B546" s="21">
        <f>IF(AND(C546&lt;&gt;"", J546&lt;&gt;""), HYPERLINK("#'" &amp; C546 &amp; "'!" &amp; J546, J546), "")</f>
        <v/>
      </c>
    </row>
    <row r="547">
      <c r="B547" s="21">
        <f>IF(AND(C547&lt;&gt;"", J547&lt;&gt;""), HYPERLINK("#'" &amp; C547 &amp; "'!" &amp; J547, J547), "")</f>
        <v/>
      </c>
    </row>
    <row r="548">
      <c r="B548" s="21">
        <f>IF(AND(C548&lt;&gt;"", J548&lt;&gt;""), HYPERLINK("#'" &amp; C548 &amp; "'!" &amp; J548, J548), "")</f>
        <v/>
      </c>
    </row>
    <row r="549">
      <c r="B549" s="21">
        <f>IF(AND(C549&lt;&gt;"", J549&lt;&gt;""), HYPERLINK("#'" &amp; C549 &amp; "'!" &amp; J549, J549), "")</f>
        <v/>
      </c>
    </row>
    <row r="550">
      <c r="B550" s="21">
        <f>IF(AND(C550&lt;&gt;"", J550&lt;&gt;""), HYPERLINK("#'" &amp; C550 &amp; "'!" &amp; J550, J550), "")</f>
        <v/>
      </c>
    </row>
    <row r="551">
      <c r="B551" s="21">
        <f>IF(AND(C551&lt;&gt;"", J551&lt;&gt;""), HYPERLINK("#'" &amp; C551 &amp; "'!" &amp; J551, J551), "")</f>
        <v/>
      </c>
    </row>
    <row r="552">
      <c r="B552" s="21">
        <f>IF(AND(C552&lt;&gt;"", J552&lt;&gt;""), HYPERLINK("#'" &amp; C552 &amp; "'!" &amp; J552, J552), "")</f>
        <v/>
      </c>
    </row>
    <row r="553">
      <c r="B553" s="21">
        <f>IF(AND(C553&lt;&gt;"", J553&lt;&gt;""), HYPERLINK("#'" &amp; C553 &amp; "'!" &amp; J553, J553), "")</f>
        <v/>
      </c>
    </row>
    <row r="554">
      <c r="B554" s="21">
        <f>IF(AND(C554&lt;&gt;"", J554&lt;&gt;""), HYPERLINK("#'" &amp; C554 &amp; "'!" &amp; J554, J554), "")</f>
        <v/>
      </c>
    </row>
    <row r="555">
      <c r="B555" s="21">
        <f>IF(AND(C555&lt;&gt;"", J555&lt;&gt;""), HYPERLINK("#'" &amp; C555 &amp; "'!" &amp; J555, J555), "")</f>
        <v/>
      </c>
    </row>
    <row r="556">
      <c r="B556" s="21">
        <f>IF(AND(C556&lt;&gt;"", J556&lt;&gt;""), HYPERLINK("#'" &amp; C556 &amp; "'!" &amp; J556, J556), "")</f>
        <v/>
      </c>
    </row>
    <row r="557">
      <c r="B557" s="21">
        <f>IF(AND(C557&lt;&gt;"", J557&lt;&gt;""), HYPERLINK("#'" &amp; C557 &amp; "'!" &amp; J557, J557), "")</f>
        <v/>
      </c>
    </row>
    <row r="558">
      <c r="B558" s="21">
        <f>IF(AND(C558&lt;&gt;"", J558&lt;&gt;""), HYPERLINK("#'" &amp; C558 &amp; "'!" &amp; J558, J558), "")</f>
        <v/>
      </c>
    </row>
    <row r="559">
      <c r="B559" s="21">
        <f>IF(AND(C559&lt;&gt;"", J559&lt;&gt;""), HYPERLINK("#'" &amp; C559 &amp; "'!" &amp; J559, J559), "")</f>
        <v/>
      </c>
    </row>
    <row r="560">
      <c r="B560" s="21">
        <f>IF(AND(C560&lt;&gt;"", J560&lt;&gt;""), HYPERLINK("#'" &amp; C560 &amp; "'!" &amp; J560, J560), "")</f>
        <v/>
      </c>
    </row>
    <row r="561">
      <c r="B561" s="21">
        <f>IF(AND(C561&lt;&gt;"", J561&lt;&gt;""), HYPERLINK("#'" &amp; C561 &amp; "'!" &amp; J561, J561), "")</f>
        <v/>
      </c>
    </row>
    <row r="562">
      <c r="B562" s="21">
        <f>IF(AND(C562&lt;&gt;"", J562&lt;&gt;""), HYPERLINK("#'" &amp; C562 &amp; "'!" &amp; J562, J562), "")</f>
        <v/>
      </c>
    </row>
    <row r="563">
      <c r="B563" s="21">
        <f>IF(AND(C563&lt;&gt;"", J563&lt;&gt;""), HYPERLINK("#'" &amp; C563 &amp; "'!" &amp; J563, J563), "")</f>
        <v/>
      </c>
    </row>
    <row r="564">
      <c r="B564" s="21">
        <f>IF(AND(C564&lt;&gt;"", J564&lt;&gt;""), HYPERLINK("#'" &amp; C564 &amp; "'!" &amp; J564, J564), "")</f>
        <v/>
      </c>
    </row>
    <row r="565">
      <c r="B565" s="21">
        <f>IF(AND(C565&lt;&gt;"", J565&lt;&gt;""), HYPERLINK("#'" &amp; C565 &amp; "'!" &amp; J565, J565), "")</f>
        <v/>
      </c>
    </row>
    <row r="566">
      <c r="B566" s="21">
        <f>IF(AND(C566&lt;&gt;"", J566&lt;&gt;""), HYPERLINK("#'" &amp; C566 &amp; "'!" &amp; J566, J566), "")</f>
        <v/>
      </c>
    </row>
    <row r="567">
      <c r="B567" s="21">
        <f>IF(AND(C567&lt;&gt;"", J567&lt;&gt;""), HYPERLINK("#'" &amp; C567 &amp; "'!" &amp; J567, J567), "")</f>
        <v/>
      </c>
    </row>
    <row r="568">
      <c r="B568" s="21">
        <f>IF(AND(C568&lt;&gt;"", J568&lt;&gt;""), HYPERLINK("#'" &amp; C568 &amp; "'!" &amp; J568, J568), "")</f>
        <v/>
      </c>
    </row>
    <row r="569">
      <c r="B569" s="21">
        <f>IF(AND(C569&lt;&gt;"", J569&lt;&gt;""), HYPERLINK("#'" &amp; C569 &amp; "'!" &amp; J569, J569), "")</f>
        <v/>
      </c>
    </row>
    <row r="570">
      <c r="B570" s="21">
        <f>IF(AND(C570&lt;&gt;"", J570&lt;&gt;""), HYPERLINK("#'" &amp; C570 &amp; "'!" &amp; J570, J570), "")</f>
        <v/>
      </c>
    </row>
    <row r="571">
      <c r="B571" s="21">
        <f>IF(AND(C571&lt;&gt;"", J571&lt;&gt;""), HYPERLINK("#'" &amp; C571 &amp; "'!" &amp; J571, J571), "")</f>
        <v/>
      </c>
    </row>
    <row r="572">
      <c r="B572" s="21">
        <f>IF(AND(C572&lt;&gt;"", J572&lt;&gt;""), HYPERLINK("#'" &amp; C572 &amp; "'!" &amp; J572, J572), "")</f>
        <v/>
      </c>
    </row>
    <row r="573">
      <c r="B573" s="21">
        <f>IF(AND(C573&lt;&gt;"", J573&lt;&gt;""), HYPERLINK("#'" &amp; C573 &amp; "'!" &amp; J573, J573), "")</f>
        <v/>
      </c>
    </row>
    <row r="574">
      <c r="B574" s="21">
        <f>IF(AND(C574&lt;&gt;"", J574&lt;&gt;""), HYPERLINK("#'" &amp; C574 &amp; "'!" &amp; J574, J574), "")</f>
        <v/>
      </c>
    </row>
    <row r="575">
      <c r="B575" s="21">
        <f>IF(AND(C575&lt;&gt;"", J575&lt;&gt;""), HYPERLINK("#'" &amp; C575 &amp; "'!" &amp; J575, J575), "")</f>
        <v/>
      </c>
    </row>
    <row r="576">
      <c r="B576" s="21">
        <f>IF(AND(C576&lt;&gt;"", J576&lt;&gt;""), HYPERLINK("#'" &amp; C576 &amp; "'!" &amp; J576, J576), "")</f>
        <v/>
      </c>
    </row>
    <row r="577">
      <c r="B577" s="21">
        <f>IF(AND(C577&lt;&gt;"", J577&lt;&gt;""), HYPERLINK("#'" &amp; C577 &amp; "'!" &amp; J577, J577), "")</f>
        <v/>
      </c>
    </row>
    <row r="578">
      <c r="B578" s="21">
        <f>IF(AND(C578&lt;&gt;"", J578&lt;&gt;""), HYPERLINK("#'" &amp; C578 &amp; "'!" &amp; J578, J578), "")</f>
        <v/>
      </c>
    </row>
    <row r="579">
      <c r="B579" s="21">
        <f>IF(AND(C579&lt;&gt;"", J579&lt;&gt;""), HYPERLINK("#'" &amp; C579 &amp; "'!" &amp; J579, J579), "")</f>
        <v/>
      </c>
    </row>
    <row r="580">
      <c r="B580" s="21">
        <f>IF(AND(C580&lt;&gt;"", J580&lt;&gt;""), HYPERLINK("#'" &amp; C580 &amp; "'!" &amp; J580, J580), "")</f>
        <v/>
      </c>
    </row>
    <row r="581">
      <c r="B581" s="21">
        <f>IF(AND(C581&lt;&gt;"", J581&lt;&gt;""), HYPERLINK("#'" &amp; C581 &amp; "'!" &amp; J581, J581), "")</f>
        <v/>
      </c>
    </row>
    <row r="582">
      <c r="B582" s="21">
        <f>IF(AND(C582&lt;&gt;"", J582&lt;&gt;""), HYPERLINK("#'" &amp; C582 &amp; "'!" &amp; J582, J582), "")</f>
        <v/>
      </c>
    </row>
    <row r="583">
      <c r="B583" s="21">
        <f>IF(AND(C583&lt;&gt;"", J583&lt;&gt;""), HYPERLINK("#'" &amp; C583 &amp; "'!" &amp; J583, J583), "")</f>
        <v/>
      </c>
    </row>
    <row r="584">
      <c r="B584" s="21">
        <f>IF(AND(C584&lt;&gt;"", J584&lt;&gt;""), HYPERLINK("#'" &amp; C584 &amp; "'!" &amp; J584, J584), "")</f>
        <v/>
      </c>
    </row>
    <row r="585">
      <c r="B585" s="21">
        <f>IF(AND(C585&lt;&gt;"", J585&lt;&gt;""), HYPERLINK("#'" &amp; C585 &amp; "'!" &amp; J585, J585), "")</f>
        <v/>
      </c>
    </row>
    <row r="586">
      <c r="B586" s="21">
        <f>IF(AND(C586&lt;&gt;"", J586&lt;&gt;""), HYPERLINK("#'" &amp; C586 &amp; "'!" &amp; J586, J586), "")</f>
        <v/>
      </c>
    </row>
    <row r="587">
      <c r="B587" s="21">
        <f>IF(AND(C587&lt;&gt;"", J587&lt;&gt;""), HYPERLINK("#'" &amp; C587 &amp; "'!" &amp; J587, J587), "")</f>
        <v/>
      </c>
    </row>
    <row r="588">
      <c r="B588" s="21">
        <f>IF(AND(C588&lt;&gt;"", J588&lt;&gt;""), HYPERLINK("#'" &amp; C588 &amp; "'!" &amp; J588, J588), "")</f>
        <v/>
      </c>
    </row>
    <row r="589">
      <c r="B589" s="21">
        <f>IF(AND(C589&lt;&gt;"", J589&lt;&gt;""), HYPERLINK("#'" &amp; C589 &amp; "'!" &amp; J589, J589), "")</f>
        <v/>
      </c>
    </row>
    <row r="590">
      <c r="B590" s="21">
        <f>IF(AND(C590&lt;&gt;"", J590&lt;&gt;""), HYPERLINK("#'" &amp; C590 &amp; "'!" &amp; J590, J590), "")</f>
        <v/>
      </c>
    </row>
    <row r="591">
      <c r="B591" s="21">
        <f>IF(AND(C591&lt;&gt;"", J591&lt;&gt;""), HYPERLINK("#'" &amp; C591 &amp; "'!" &amp; J591, J591), "")</f>
        <v/>
      </c>
    </row>
    <row r="592">
      <c r="B592" s="21">
        <f>IF(AND(C592&lt;&gt;"", J592&lt;&gt;""), HYPERLINK("#'" &amp; C592 &amp; "'!" &amp; J592, J592), "")</f>
        <v/>
      </c>
    </row>
    <row r="593">
      <c r="B593" s="21">
        <f>IF(AND(C593&lt;&gt;"", J593&lt;&gt;""), HYPERLINK("#'" &amp; C593 &amp; "'!" &amp; J593, J593), "")</f>
        <v/>
      </c>
    </row>
    <row r="594">
      <c r="B594" s="21">
        <f>IF(AND(C594&lt;&gt;"", J594&lt;&gt;""), HYPERLINK("#'" &amp; C594 &amp; "'!" &amp; J594, J594), "")</f>
        <v/>
      </c>
    </row>
    <row r="595">
      <c r="B595" s="21">
        <f>IF(AND(C595&lt;&gt;"", J595&lt;&gt;""), HYPERLINK("#'" &amp; C595 &amp; "'!" &amp; J595, J595), "")</f>
        <v/>
      </c>
    </row>
    <row r="596">
      <c r="B596" s="21">
        <f>IF(AND(C596&lt;&gt;"", J596&lt;&gt;""), HYPERLINK("#'" &amp; C596 &amp; "'!" &amp; J596, J596), "")</f>
        <v/>
      </c>
    </row>
    <row r="597">
      <c r="B597" s="21">
        <f>IF(AND(C597&lt;&gt;"", J597&lt;&gt;""), HYPERLINK("#'" &amp; C597 &amp; "'!" &amp; J597, J597), "")</f>
        <v/>
      </c>
    </row>
    <row r="598">
      <c r="B598" s="21">
        <f>IF(AND(C598&lt;&gt;"", J598&lt;&gt;""), HYPERLINK("#'" &amp; C598 &amp; "'!" &amp; J598, J598), "")</f>
        <v/>
      </c>
    </row>
    <row r="599">
      <c r="B599" s="21">
        <f>IF(AND(C599&lt;&gt;"", J599&lt;&gt;""), HYPERLINK("#'" &amp; C599 &amp; "'!" &amp; J599, J599), "")</f>
        <v/>
      </c>
    </row>
    <row r="600">
      <c r="B600" s="21">
        <f>IF(AND(C600&lt;&gt;"", J600&lt;&gt;""), HYPERLINK("#'" &amp; C600 &amp; "'!" &amp; J600, J600), "")</f>
        <v/>
      </c>
    </row>
    <row r="601">
      <c r="B601" s="21">
        <f>IF(AND(C601&lt;&gt;"", J601&lt;&gt;""), HYPERLINK("#'" &amp; C601 &amp; "'!" &amp; J601, J601), "")</f>
        <v/>
      </c>
    </row>
    <row r="602">
      <c r="B602" s="21">
        <f>IF(AND(C602&lt;&gt;"", J602&lt;&gt;""), HYPERLINK("#'" &amp; C602 &amp; "'!" &amp; J602, J602), "")</f>
        <v/>
      </c>
    </row>
    <row r="603">
      <c r="B603" s="21">
        <f>IF(AND(C603&lt;&gt;"", J603&lt;&gt;""), HYPERLINK("#'" &amp; C603 &amp; "'!" &amp; J603, J603), "")</f>
        <v/>
      </c>
    </row>
    <row r="604">
      <c r="B604" s="21">
        <f>IF(AND(C604&lt;&gt;"", J604&lt;&gt;""), HYPERLINK("#'" &amp; C604 &amp; "'!" &amp; J604, J604), "")</f>
        <v/>
      </c>
    </row>
    <row r="605">
      <c r="B605" s="21">
        <f>IF(AND(C605&lt;&gt;"", J605&lt;&gt;""), HYPERLINK("#'" &amp; C605 &amp; "'!" &amp; J605, J605), "")</f>
        <v/>
      </c>
    </row>
    <row r="606">
      <c r="B606" s="21">
        <f>IF(AND(C606&lt;&gt;"", J606&lt;&gt;""), HYPERLINK("#'" &amp; C606 &amp; "'!" &amp; J606, J606), "")</f>
        <v/>
      </c>
    </row>
    <row r="607">
      <c r="B607" s="21">
        <f>IF(AND(C607&lt;&gt;"", J607&lt;&gt;""), HYPERLINK("#'" &amp; C607 &amp; "'!" &amp; J607, J607), "")</f>
        <v/>
      </c>
    </row>
    <row r="608">
      <c r="B608" s="21">
        <f>IF(AND(C608&lt;&gt;"", J608&lt;&gt;""), HYPERLINK("#'" &amp; C608 &amp; "'!" &amp; J608, J608), "")</f>
        <v/>
      </c>
    </row>
    <row r="609">
      <c r="B609" s="21">
        <f>IF(AND(C609&lt;&gt;"", J609&lt;&gt;""), HYPERLINK("#'" &amp; C609 &amp; "'!" &amp; J609, J609), "")</f>
        <v/>
      </c>
    </row>
    <row r="610">
      <c r="B610" s="21">
        <f>IF(AND(C610&lt;&gt;"", J610&lt;&gt;""), HYPERLINK("#'" &amp; C610 &amp; "'!" &amp; J610, J610), "")</f>
        <v/>
      </c>
    </row>
    <row r="611">
      <c r="B611" s="21">
        <f>IF(AND(C611&lt;&gt;"", J611&lt;&gt;""), HYPERLINK("#'" &amp; C611 &amp; "'!" &amp; J611, J611), "")</f>
        <v/>
      </c>
    </row>
    <row r="612">
      <c r="B612" s="21">
        <f>IF(AND(C612&lt;&gt;"", J612&lt;&gt;""), HYPERLINK("#'" &amp; C612 &amp; "'!" &amp; J612, J612), "")</f>
        <v/>
      </c>
    </row>
    <row r="613">
      <c r="B613" s="21">
        <f>IF(AND(C613&lt;&gt;"", J613&lt;&gt;""), HYPERLINK("#'" &amp; C613 &amp; "'!" &amp; J613, J613), "")</f>
        <v/>
      </c>
    </row>
    <row r="614">
      <c r="B614" s="21">
        <f>IF(AND(C614&lt;&gt;"", J614&lt;&gt;""), HYPERLINK("#'" &amp; C614 &amp; "'!" &amp; J614, J614), "")</f>
        <v/>
      </c>
    </row>
    <row r="615">
      <c r="B615" s="21">
        <f>IF(AND(C615&lt;&gt;"", J615&lt;&gt;""), HYPERLINK("#'" &amp; C615 &amp; "'!" &amp; J615, J615), "")</f>
        <v/>
      </c>
    </row>
    <row r="616">
      <c r="B616" s="21">
        <f>IF(AND(C616&lt;&gt;"", J616&lt;&gt;""), HYPERLINK("#'" &amp; C616 &amp; "'!" &amp; J616, J616), "")</f>
        <v/>
      </c>
    </row>
    <row r="617">
      <c r="B617" s="21">
        <f>IF(AND(C617&lt;&gt;"", J617&lt;&gt;""), HYPERLINK("#'" &amp; C617 &amp; "'!" &amp; J617, J617), "")</f>
        <v/>
      </c>
    </row>
    <row r="618">
      <c r="B618" s="21">
        <f>IF(AND(C618&lt;&gt;"", J618&lt;&gt;""), HYPERLINK("#'" &amp; C618 &amp; "'!" &amp; J618, J618), "")</f>
        <v/>
      </c>
    </row>
    <row r="619">
      <c r="B619" s="21">
        <f>IF(AND(C619&lt;&gt;"", J619&lt;&gt;""), HYPERLINK("#'" &amp; C619 &amp; "'!" &amp; J619, J619), "")</f>
        <v/>
      </c>
    </row>
    <row r="620">
      <c r="B620" s="21">
        <f>IF(AND(C620&lt;&gt;"", J620&lt;&gt;""), HYPERLINK("#'" &amp; C620 &amp; "'!" &amp; J620, J620), "")</f>
        <v/>
      </c>
    </row>
    <row r="621">
      <c r="B621" s="21">
        <f>IF(AND(C621&lt;&gt;"", J621&lt;&gt;""), HYPERLINK("#'" &amp; C621 &amp; "'!" &amp; J621, J621), "")</f>
        <v/>
      </c>
    </row>
    <row r="622">
      <c r="B622" s="21">
        <f>IF(AND(C622&lt;&gt;"", J622&lt;&gt;""), HYPERLINK("#'" &amp; C622 &amp; "'!" &amp; J622, J622), "")</f>
        <v/>
      </c>
    </row>
    <row r="623">
      <c r="B623" s="21">
        <f>IF(AND(C623&lt;&gt;"", J623&lt;&gt;""), HYPERLINK("#'" &amp; C623 &amp; "'!" &amp; J623, J623), "")</f>
        <v/>
      </c>
    </row>
    <row r="624">
      <c r="B624" s="21">
        <f>IF(AND(C624&lt;&gt;"", J624&lt;&gt;""), HYPERLINK("#'" &amp; C624 &amp; "'!" &amp; J624, J624), "")</f>
        <v/>
      </c>
    </row>
    <row r="625">
      <c r="B625" s="21">
        <f>IF(AND(C625&lt;&gt;"", J625&lt;&gt;""), HYPERLINK("#'" &amp; C625 &amp; "'!" &amp; J625, J625), "")</f>
        <v/>
      </c>
    </row>
    <row r="626">
      <c r="B626" s="21">
        <f>IF(AND(C626&lt;&gt;"", J626&lt;&gt;""), HYPERLINK("#'" &amp; C626 &amp; "'!" &amp; J626, J626), "")</f>
        <v/>
      </c>
    </row>
    <row r="627">
      <c r="B627" s="21">
        <f>IF(AND(C627&lt;&gt;"", J627&lt;&gt;""), HYPERLINK("#'" &amp; C627 &amp; "'!" &amp; J627, J627), "")</f>
        <v/>
      </c>
    </row>
    <row r="628">
      <c r="B628" s="21">
        <f>IF(AND(C628&lt;&gt;"", J628&lt;&gt;""), HYPERLINK("#'" &amp; C628 &amp; "'!" &amp; J628, J628), "")</f>
        <v/>
      </c>
    </row>
    <row r="629">
      <c r="B629" s="21">
        <f>IF(AND(C629&lt;&gt;"", J629&lt;&gt;""), HYPERLINK("#'" &amp; C629 &amp; "'!" &amp; J629, J629), "")</f>
        <v/>
      </c>
    </row>
    <row r="630">
      <c r="B630" s="21">
        <f>IF(AND(C630&lt;&gt;"", J630&lt;&gt;""), HYPERLINK("#'" &amp; C630 &amp; "'!" &amp; J630, J630), "")</f>
        <v/>
      </c>
    </row>
    <row r="631">
      <c r="B631" s="21">
        <f>IF(AND(C631&lt;&gt;"", J631&lt;&gt;""), HYPERLINK("#'" &amp; C631 &amp; "'!" &amp; J631, J631), "")</f>
        <v/>
      </c>
    </row>
    <row r="632">
      <c r="B632" s="21">
        <f>IF(AND(C632&lt;&gt;"", J632&lt;&gt;""), HYPERLINK("#'" &amp; C632 &amp; "'!" &amp; J632, J632), "")</f>
        <v/>
      </c>
    </row>
    <row r="633">
      <c r="B633" s="21">
        <f>IF(AND(C633&lt;&gt;"", J633&lt;&gt;""), HYPERLINK("#'" &amp; C633 &amp; "'!" &amp; J633, J633), "")</f>
        <v/>
      </c>
    </row>
    <row r="634">
      <c r="B634" s="21">
        <f>IF(AND(C634&lt;&gt;"", J634&lt;&gt;""), HYPERLINK("#'" &amp; C634 &amp; "'!" &amp; J634, J634), "")</f>
        <v/>
      </c>
    </row>
    <row r="635">
      <c r="B635" s="21">
        <f>IF(AND(C635&lt;&gt;"", J635&lt;&gt;""), HYPERLINK("#'" &amp; C635 &amp; "'!" &amp; J635, J635), "")</f>
        <v/>
      </c>
    </row>
    <row r="636">
      <c r="B636" s="21">
        <f>IF(AND(C636&lt;&gt;"", J636&lt;&gt;""), HYPERLINK("#'" &amp; C636 &amp; "'!" &amp; J636, J636), "")</f>
        <v/>
      </c>
    </row>
    <row r="637">
      <c r="B637" s="21">
        <f>IF(AND(C637&lt;&gt;"", J637&lt;&gt;""), HYPERLINK("#'" &amp; C637 &amp; "'!" &amp; J637, J637), "")</f>
        <v/>
      </c>
    </row>
    <row r="638">
      <c r="B638" s="21">
        <f>IF(AND(C638&lt;&gt;"", J638&lt;&gt;""), HYPERLINK("#'" &amp; C638 &amp; "'!" &amp; J638, J638), "")</f>
        <v/>
      </c>
    </row>
    <row r="639">
      <c r="B639" s="21">
        <f>IF(AND(C639&lt;&gt;"", J639&lt;&gt;""), HYPERLINK("#'" &amp; C639 &amp; "'!" &amp; J639, J639), "")</f>
        <v/>
      </c>
    </row>
    <row r="640">
      <c r="B640" s="21">
        <f>IF(AND(C640&lt;&gt;"", J640&lt;&gt;""), HYPERLINK("#'" &amp; C640 &amp; "'!" &amp; J640, J640), "")</f>
        <v/>
      </c>
    </row>
    <row r="641">
      <c r="B641" s="21">
        <f>IF(AND(C641&lt;&gt;"", J641&lt;&gt;""), HYPERLINK("#'" &amp; C641 &amp; "'!" &amp; J641, J641), "")</f>
        <v/>
      </c>
    </row>
    <row r="642">
      <c r="B642" s="21">
        <f>IF(AND(C642&lt;&gt;"", J642&lt;&gt;""), HYPERLINK("#'" &amp; C642 &amp; "'!" &amp; J642, J642), "")</f>
        <v/>
      </c>
    </row>
    <row r="643">
      <c r="B643" s="21">
        <f>IF(AND(C643&lt;&gt;"", J643&lt;&gt;""), HYPERLINK("#'" &amp; C643 &amp; "'!" &amp; J643, J643), "")</f>
        <v/>
      </c>
    </row>
    <row r="644">
      <c r="B644" s="21">
        <f>IF(AND(C644&lt;&gt;"", J644&lt;&gt;""), HYPERLINK("#'" &amp; C644 &amp; "'!" &amp; J644, J644), "")</f>
        <v/>
      </c>
    </row>
    <row r="645">
      <c r="B645" s="21">
        <f>IF(AND(C645&lt;&gt;"", J645&lt;&gt;""), HYPERLINK("#'" &amp; C645 &amp; "'!" &amp; J645, J645), "")</f>
        <v/>
      </c>
    </row>
    <row r="646">
      <c r="B646" s="21">
        <f>IF(AND(C646&lt;&gt;"", J646&lt;&gt;""), HYPERLINK("#'" &amp; C646 &amp; "'!" &amp; J646, J646), "")</f>
        <v/>
      </c>
    </row>
    <row r="647">
      <c r="B647" s="21">
        <f>IF(AND(C647&lt;&gt;"", J647&lt;&gt;""), HYPERLINK("#'" &amp; C647 &amp; "'!" &amp; J647, J647), "")</f>
        <v/>
      </c>
    </row>
    <row r="648">
      <c r="B648" s="21">
        <f>IF(AND(C648&lt;&gt;"", J648&lt;&gt;""), HYPERLINK("#'" &amp; C648 &amp; "'!" &amp; J648, J648), "")</f>
        <v/>
      </c>
    </row>
    <row r="649">
      <c r="B649" s="21">
        <f>IF(AND(C649&lt;&gt;"", J649&lt;&gt;""), HYPERLINK("#'" &amp; C649 &amp; "'!" &amp; J649, J649), "")</f>
        <v/>
      </c>
    </row>
    <row r="650">
      <c r="B650" s="21">
        <f>IF(AND(C650&lt;&gt;"", J650&lt;&gt;""), HYPERLINK("#'" &amp; C650 &amp; "'!" &amp; J650, J650), "")</f>
        <v/>
      </c>
    </row>
    <row r="651">
      <c r="B651" s="21">
        <f>IF(AND(C651&lt;&gt;"", J651&lt;&gt;""), HYPERLINK("#'" &amp; C651 &amp; "'!" &amp; J651, J651), "")</f>
        <v/>
      </c>
    </row>
    <row r="652">
      <c r="B652" s="21">
        <f>IF(AND(C652&lt;&gt;"", J652&lt;&gt;""), HYPERLINK("#'" &amp; C652 &amp; "'!" &amp; J652, J652), "")</f>
        <v/>
      </c>
    </row>
    <row r="653">
      <c r="B653" s="21">
        <f>IF(AND(C653&lt;&gt;"", J653&lt;&gt;""), HYPERLINK("#'" &amp; C653 &amp; "'!" &amp; J653, J653), "")</f>
        <v/>
      </c>
    </row>
    <row r="654">
      <c r="B654" s="21">
        <f>IF(AND(C654&lt;&gt;"", J654&lt;&gt;""), HYPERLINK("#'" &amp; C654 &amp; "'!" &amp; J654, J654), "")</f>
        <v/>
      </c>
    </row>
    <row r="655">
      <c r="B655" s="21">
        <f>IF(AND(C655&lt;&gt;"", J655&lt;&gt;""), HYPERLINK("#'" &amp; C655 &amp; "'!" &amp; J655, J655), "")</f>
        <v/>
      </c>
    </row>
    <row r="656">
      <c r="B656" s="21">
        <f>IF(AND(C656&lt;&gt;"", J656&lt;&gt;""), HYPERLINK("#'" &amp; C656 &amp; "'!" &amp; J656, J656), "")</f>
        <v/>
      </c>
    </row>
    <row r="657">
      <c r="B657" s="21">
        <f>IF(AND(C657&lt;&gt;"", J657&lt;&gt;""), HYPERLINK("#'" &amp; C657 &amp; "'!" &amp; J657, J657), "")</f>
        <v/>
      </c>
    </row>
    <row r="658">
      <c r="B658" s="21">
        <f>IF(AND(C658&lt;&gt;"", J658&lt;&gt;""), HYPERLINK("#'" &amp; C658 &amp; "'!" &amp; J658, J658), "")</f>
        <v/>
      </c>
    </row>
    <row r="659">
      <c r="B659" s="21">
        <f>IF(AND(C659&lt;&gt;"", J659&lt;&gt;""), HYPERLINK("#'" &amp; C659 &amp; "'!" &amp; J659, J659), "")</f>
        <v/>
      </c>
    </row>
    <row r="660">
      <c r="B660" s="21">
        <f>IF(AND(C660&lt;&gt;"", J660&lt;&gt;""), HYPERLINK("#'" &amp; C660 &amp; "'!" &amp; J660, J660), "")</f>
        <v/>
      </c>
    </row>
    <row r="661">
      <c r="B661" s="21">
        <f>IF(AND(C661&lt;&gt;"", J661&lt;&gt;""), HYPERLINK("#'" &amp; C661 &amp; "'!" &amp; J661, J661), "")</f>
        <v/>
      </c>
    </row>
    <row r="662">
      <c r="B662" s="21">
        <f>IF(AND(C662&lt;&gt;"", J662&lt;&gt;""), HYPERLINK("#'" &amp; C662 &amp; "'!" &amp; J662, J662), "")</f>
        <v/>
      </c>
    </row>
    <row r="663">
      <c r="B663" s="21">
        <f>IF(AND(C663&lt;&gt;"", J663&lt;&gt;""), HYPERLINK("#'" &amp; C663 &amp; "'!" &amp; J663, J663), "")</f>
        <v/>
      </c>
    </row>
    <row r="664">
      <c r="B664" s="21">
        <f>IF(AND(C664&lt;&gt;"", J664&lt;&gt;""), HYPERLINK("#'" &amp; C664 &amp; "'!" &amp; J664, J664), "")</f>
        <v/>
      </c>
    </row>
    <row r="665">
      <c r="B665" s="21">
        <f>IF(AND(C665&lt;&gt;"", J665&lt;&gt;""), HYPERLINK("#'" &amp; C665 &amp; "'!" &amp; J665, J665), "")</f>
        <v/>
      </c>
    </row>
    <row r="666">
      <c r="B666" s="21">
        <f>IF(AND(C666&lt;&gt;"", J666&lt;&gt;""), HYPERLINK("#'" &amp; C666 &amp; "'!" &amp; J666, J666), "")</f>
        <v/>
      </c>
    </row>
    <row r="667">
      <c r="B667" s="21">
        <f>IF(AND(C667&lt;&gt;"", J667&lt;&gt;""), HYPERLINK("#'" &amp; C667 &amp; "'!" &amp; J667, J667), "")</f>
        <v/>
      </c>
    </row>
    <row r="668">
      <c r="B668" s="21">
        <f>IF(AND(C668&lt;&gt;"", J668&lt;&gt;""), HYPERLINK("#'" &amp; C668 &amp; "'!" &amp; J668, J668), "")</f>
        <v/>
      </c>
    </row>
    <row r="669">
      <c r="B669" s="21">
        <f>IF(AND(C669&lt;&gt;"", J669&lt;&gt;""), HYPERLINK("#'" &amp; C669 &amp; "'!" &amp; J669, J669), "")</f>
        <v/>
      </c>
    </row>
    <row r="670">
      <c r="B670" s="21">
        <f>IF(AND(C670&lt;&gt;"", J670&lt;&gt;""), HYPERLINK("#'" &amp; C670 &amp; "'!" &amp; J670, J670), "")</f>
        <v/>
      </c>
    </row>
    <row r="671">
      <c r="B671" s="21">
        <f>IF(AND(C671&lt;&gt;"", J671&lt;&gt;""), HYPERLINK("#'" &amp; C671 &amp; "'!" &amp; J671, J671), "")</f>
        <v/>
      </c>
    </row>
    <row r="672">
      <c r="B672" s="21">
        <f>IF(AND(C672&lt;&gt;"", J672&lt;&gt;""), HYPERLINK("#'" &amp; C672 &amp; "'!" &amp; J672, J672), "")</f>
        <v/>
      </c>
    </row>
    <row r="673">
      <c r="B673" s="21">
        <f>IF(AND(C673&lt;&gt;"", J673&lt;&gt;""), HYPERLINK("#'" &amp; C673 &amp; "'!" &amp; J673, J673), "")</f>
        <v/>
      </c>
    </row>
    <row r="674">
      <c r="B674" s="21">
        <f>IF(AND(C674&lt;&gt;"", J674&lt;&gt;""), HYPERLINK("#'" &amp; C674 &amp; "'!" &amp; J674, J674), "")</f>
        <v/>
      </c>
    </row>
    <row r="675">
      <c r="B675" s="21">
        <f>IF(AND(C675&lt;&gt;"", J675&lt;&gt;""), HYPERLINK("#'" &amp; C675 &amp; "'!" &amp; J675, J675), "")</f>
        <v/>
      </c>
    </row>
    <row r="676">
      <c r="B676" s="21">
        <f>IF(AND(C676&lt;&gt;"", J676&lt;&gt;""), HYPERLINK("#'" &amp; C676 &amp; "'!" &amp; J676, J676), "")</f>
        <v/>
      </c>
    </row>
    <row r="677">
      <c r="B677" s="21">
        <f>IF(AND(C677&lt;&gt;"", J677&lt;&gt;""), HYPERLINK("#'" &amp; C677 &amp; "'!" &amp; J677, J677), "")</f>
        <v/>
      </c>
    </row>
    <row r="678">
      <c r="B678" s="21">
        <f>IF(AND(C678&lt;&gt;"", J678&lt;&gt;""), HYPERLINK("#'" &amp; C678 &amp; "'!" &amp; J678, J678), "")</f>
        <v/>
      </c>
    </row>
    <row r="679">
      <c r="B679" s="21">
        <f>IF(AND(C679&lt;&gt;"", J679&lt;&gt;""), HYPERLINK("#'" &amp; C679 &amp; "'!" &amp; J679, J679), "")</f>
        <v/>
      </c>
    </row>
    <row r="680">
      <c r="B680" s="21">
        <f>IF(AND(C680&lt;&gt;"", J680&lt;&gt;""), HYPERLINK("#'" &amp; C680 &amp; "'!" &amp; J680, J680), "")</f>
        <v/>
      </c>
    </row>
    <row r="681">
      <c r="B681" s="21">
        <f>IF(AND(C681&lt;&gt;"", J681&lt;&gt;""), HYPERLINK("#'" &amp; C681 &amp; "'!" &amp; J681, J681), "")</f>
        <v/>
      </c>
    </row>
    <row r="682">
      <c r="B682" s="21">
        <f>IF(AND(C682&lt;&gt;"", J682&lt;&gt;""), HYPERLINK("#'" &amp; C682 &amp; "'!" &amp; J682, J682), "")</f>
        <v/>
      </c>
    </row>
    <row r="683">
      <c r="B683" s="21">
        <f>IF(AND(C683&lt;&gt;"", J683&lt;&gt;""), HYPERLINK("#'" &amp; C683 &amp; "'!" &amp; J683, J683), "")</f>
        <v/>
      </c>
    </row>
    <row r="684">
      <c r="B684" s="21">
        <f>IF(AND(C684&lt;&gt;"", J684&lt;&gt;""), HYPERLINK("#'" &amp; C684 &amp; "'!" &amp; J684, J684), "")</f>
        <v/>
      </c>
    </row>
    <row r="685">
      <c r="B685" s="21">
        <f>IF(AND(C685&lt;&gt;"", J685&lt;&gt;""), HYPERLINK("#'" &amp; C685 &amp; "'!" &amp; J685, J685), "")</f>
        <v/>
      </c>
    </row>
    <row r="686">
      <c r="B686" s="21">
        <f>IF(AND(C686&lt;&gt;"", J686&lt;&gt;""), HYPERLINK("#'" &amp; C686 &amp; "'!" &amp; J686, J686), "")</f>
        <v/>
      </c>
    </row>
    <row r="687">
      <c r="B687" s="21">
        <f>IF(AND(C687&lt;&gt;"", J687&lt;&gt;""), HYPERLINK("#'" &amp; C687 &amp; "'!" &amp; J687, J687), "")</f>
        <v/>
      </c>
    </row>
    <row r="688">
      <c r="B688" s="21">
        <f>IF(AND(C688&lt;&gt;"", J688&lt;&gt;""), HYPERLINK("#'" &amp; C688 &amp; "'!" &amp; J688, J688), "")</f>
        <v/>
      </c>
    </row>
    <row r="689">
      <c r="B689" s="21">
        <f>IF(AND(C689&lt;&gt;"", J689&lt;&gt;""), HYPERLINK("#'" &amp; C689 &amp; "'!" &amp; J689, J689), "")</f>
        <v/>
      </c>
    </row>
    <row r="690">
      <c r="B690" s="21">
        <f>IF(AND(C690&lt;&gt;"", J690&lt;&gt;""), HYPERLINK("#'" &amp; C690 &amp; "'!" &amp; J690, J690), "")</f>
        <v/>
      </c>
    </row>
    <row r="691">
      <c r="B691" s="21">
        <f>IF(AND(C691&lt;&gt;"", J691&lt;&gt;""), HYPERLINK("#'" &amp; C691 &amp; "'!" &amp; J691, J691), "")</f>
        <v/>
      </c>
    </row>
    <row r="692">
      <c r="B692" s="21">
        <f>IF(AND(C692&lt;&gt;"", J692&lt;&gt;""), HYPERLINK("#'" &amp; C692 &amp; "'!" &amp; J692, J692), "")</f>
        <v/>
      </c>
    </row>
    <row r="693">
      <c r="B693" s="21">
        <f>IF(AND(C693&lt;&gt;"", J693&lt;&gt;""), HYPERLINK("#'" &amp; C693 &amp; "'!" &amp; J693, J693), "")</f>
        <v/>
      </c>
    </row>
    <row r="694">
      <c r="B694" s="21">
        <f>IF(AND(C694&lt;&gt;"", J694&lt;&gt;""), HYPERLINK("#'" &amp; C694 &amp; "'!" &amp; J694, J694), "")</f>
        <v/>
      </c>
    </row>
    <row r="695">
      <c r="B695" s="21">
        <f>IF(AND(C695&lt;&gt;"", J695&lt;&gt;""), HYPERLINK("#'" &amp; C695 &amp; "'!" &amp; J695, J695), "")</f>
        <v/>
      </c>
    </row>
    <row r="696">
      <c r="B696" s="21">
        <f>IF(AND(C696&lt;&gt;"", J696&lt;&gt;""), HYPERLINK("#'" &amp; C696 &amp; "'!" &amp; J696, J696), "")</f>
        <v/>
      </c>
    </row>
    <row r="697">
      <c r="B697" s="21">
        <f>IF(AND(C697&lt;&gt;"", J697&lt;&gt;""), HYPERLINK("#'" &amp; C697 &amp; "'!" &amp; J697, J697), "")</f>
        <v/>
      </c>
    </row>
    <row r="698">
      <c r="B698" s="21">
        <f>IF(AND(C698&lt;&gt;"", J698&lt;&gt;""), HYPERLINK("#'" &amp; C698 &amp; "'!" &amp; J698, J698), "")</f>
        <v/>
      </c>
    </row>
    <row r="699">
      <c r="B699" s="21">
        <f>IF(AND(C699&lt;&gt;"", J699&lt;&gt;""), HYPERLINK("#'" &amp; C699 &amp; "'!" &amp; J699, J699), "")</f>
        <v/>
      </c>
    </row>
    <row r="700">
      <c r="B700" s="21">
        <f>IF(AND(C700&lt;&gt;"", J700&lt;&gt;""), HYPERLINK("#'" &amp; C700 &amp; "'!" &amp; J700, J700), "")</f>
        <v/>
      </c>
    </row>
    <row r="701">
      <c r="B701" s="21">
        <f>IF(AND(C701&lt;&gt;"", J701&lt;&gt;""), HYPERLINK("#'" &amp; C701 &amp; "'!" &amp; J701, J701), "")</f>
        <v/>
      </c>
    </row>
    <row r="702">
      <c r="B702" s="21">
        <f>IF(AND(C702&lt;&gt;"", J702&lt;&gt;""), HYPERLINK("#'" &amp; C702 &amp; "'!" &amp; J702, J702), "")</f>
        <v/>
      </c>
    </row>
    <row r="703">
      <c r="B703" s="21">
        <f>IF(AND(C703&lt;&gt;"", J703&lt;&gt;""), HYPERLINK("#'" &amp; C703 &amp; "'!" &amp; J703, J703), "")</f>
        <v/>
      </c>
    </row>
    <row r="704">
      <c r="B704" s="21">
        <f>IF(AND(C704&lt;&gt;"", J704&lt;&gt;""), HYPERLINK("#'" &amp; C704 &amp; "'!" &amp; J704, J704), "")</f>
        <v/>
      </c>
    </row>
    <row r="705">
      <c r="B705" s="21">
        <f>IF(AND(C705&lt;&gt;"", J705&lt;&gt;""), HYPERLINK("#'" &amp; C705 &amp; "'!" &amp; J705, J705), "")</f>
        <v/>
      </c>
    </row>
    <row r="706">
      <c r="B706" s="21">
        <f>IF(AND(C706&lt;&gt;"", J706&lt;&gt;""), HYPERLINK("#'" &amp; C706 &amp; "'!" &amp; J706, J706), "")</f>
        <v/>
      </c>
    </row>
    <row r="707">
      <c r="B707" s="21">
        <f>IF(AND(C707&lt;&gt;"", J707&lt;&gt;""), HYPERLINK("#'" &amp; C707 &amp; "'!" &amp; J707, J707), "")</f>
        <v/>
      </c>
    </row>
    <row r="708">
      <c r="B708" s="21">
        <f>IF(AND(C708&lt;&gt;"", J708&lt;&gt;""), HYPERLINK("#'" &amp; C708 &amp; "'!" &amp; J708, J708), "")</f>
        <v/>
      </c>
    </row>
    <row r="709">
      <c r="B709" s="21">
        <f>IF(AND(C709&lt;&gt;"", J709&lt;&gt;""), HYPERLINK("#'" &amp; C709 &amp; "'!" &amp; J709, J709), "")</f>
        <v/>
      </c>
    </row>
    <row r="710">
      <c r="B710" s="21">
        <f>IF(AND(C710&lt;&gt;"", J710&lt;&gt;""), HYPERLINK("#'" &amp; C710 &amp; "'!" &amp; J710, J710), "")</f>
        <v/>
      </c>
    </row>
    <row r="711">
      <c r="B711" s="21">
        <f>IF(AND(C711&lt;&gt;"", J711&lt;&gt;""), HYPERLINK("#'" &amp; C711 &amp; "'!" &amp; J711, J711), "")</f>
        <v/>
      </c>
    </row>
    <row r="712">
      <c r="B712" s="21">
        <f>IF(AND(C712&lt;&gt;"", J712&lt;&gt;""), HYPERLINK("#'" &amp; C712 &amp; "'!" &amp; J712, J712), "")</f>
        <v/>
      </c>
    </row>
    <row r="713">
      <c r="B713" s="21">
        <f>IF(AND(C713&lt;&gt;"", J713&lt;&gt;""), HYPERLINK("#'" &amp; C713 &amp; "'!" &amp; J713, J713), "")</f>
        <v/>
      </c>
    </row>
    <row r="714">
      <c r="B714" s="21">
        <f>IF(AND(C714&lt;&gt;"", J714&lt;&gt;""), HYPERLINK("#'" &amp; C714 &amp; "'!" &amp; J714, J714), "")</f>
        <v/>
      </c>
    </row>
    <row r="715">
      <c r="B715" s="21">
        <f>IF(AND(C715&lt;&gt;"", J715&lt;&gt;""), HYPERLINK("#'" &amp; C715 &amp; "'!" &amp; J715, J715), "")</f>
        <v/>
      </c>
    </row>
    <row r="716">
      <c r="B716" s="21">
        <f>IF(AND(C716&lt;&gt;"", J716&lt;&gt;""), HYPERLINK("#'" &amp; C716 &amp; "'!" &amp; J716, J716), "")</f>
        <v/>
      </c>
    </row>
    <row r="717">
      <c r="B717" s="21">
        <f>IF(AND(C717&lt;&gt;"", J717&lt;&gt;""), HYPERLINK("#'" &amp; C717 &amp; "'!" &amp; J717, J717), "")</f>
        <v/>
      </c>
    </row>
    <row r="718">
      <c r="B718" s="21">
        <f>IF(AND(C718&lt;&gt;"", J718&lt;&gt;""), HYPERLINK("#'" &amp; C718 &amp; "'!" &amp; J718, J718), "")</f>
        <v/>
      </c>
    </row>
    <row r="719">
      <c r="B719" s="21">
        <f>IF(AND(C719&lt;&gt;"", J719&lt;&gt;""), HYPERLINK("#'" &amp; C719 &amp; "'!" &amp; J719, J719), "")</f>
        <v/>
      </c>
    </row>
    <row r="720">
      <c r="B720" s="21">
        <f>IF(AND(C720&lt;&gt;"", J720&lt;&gt;""), HYPERLINK("#'" &amp; C720 &amp; "'!" &amp; J720, J720), "")</f>
        <v/>
      </c>
    </row>
    <row r="721">
      <c r="B721" s="21">
        <f>IF(AND(C721&lt;&gt;"", J721&lt;&gt;""), HYPERLINK("#'" &amp; C721 &amp; "'!" &amp; J721, J721), "")</f>
        <v/>
      </c>
    </row>
    <row r="722">
      <c r="B722" s="21">
        <f>IF(AND(C722&lt;&gt;"", J722&lt;&gt;""), HYPERLINK("#'" &amp; C722 &amp; "'!" &amp; J722, J722), "")</f>
        <v/>
      </c>
    </row>
    <row r="723">
      <c r="B723" s="21">
        <f>IF(AND(C723&lt;&gt;"", J723&lt;&gt;""), HYPERLINK("#'" &amp; C723 &amp; "'!" &amp; J723, J723), "")</f>
        <v/>
      </c>
    </row>
    <row r="724">
      <c r="B724" s="21">
        <f>IF(AND(C724&lt;&gt;"", J724&lt;&gt;""), HYPERLINK("#'" &amp; C724 &amp; "'!" &amp; J724, J724), "")</f>
        <v/>
      </c>
    </row>
    <row r="725">
      <c r="B725" s="21">
        <f>IF(AND(C725&lt;&gt;"", J725&lt;&gt;""), HYPERLINK("#'" &amp; C725 &amp; "'!" &amp; J725, J725), "")</f>
        <v/>
      </c>
    </row>
    <row r="726">
      <c r="B726" s="21">
        <f>IF(AND(C726&lt;&gt;"", J726&lt;&gt;""), HYPERLINK("#'" &amp; C726 &amp; "'!" &amp; J726, J726), "")</f>
        <v/>
      </c>
    </row>
    <row r="727">
      <c r="B727" s="21">
        <f>IF(AND(C727&lt;&gt;"", J727&lt;&gt;""), HYPERLINK("#'" &amp; C727 &amp; "'!" &amp; J727, J727), "")</f>
        <v/>
      </c>
    </row>
    <row r="728">
      <c r="B728" s="21">
        <f>IF(AND(C728&lt;&gt;"", J728&lt;&gt;""), HYPERLINK("#'" &amp; C728 &amp; "'!" &amp; J728, J728), "")</f>
        <v/>
      </c>
    </row>
    <row r="729">
      <c r="B729" s="21">
        <f>IF(AND(C729&lt;&gt;"", J729&lt;&gt;""), HYPERLINK("#'" &amp; C729 &amp; "'!" &amp; J729, J729), "")</f>
        <v/>
      </c>
    </row>
    <row r="730">
      <c r="B730" s="21">
        <f>IF(AND(C730&lt;&gt;"", J730&lt;&gt;""), HYPERLINK("#'" &amp; C730 &amp; "'!" &amp; J730, J730), "")</f>
        <v/>
      </c>
    </row>
    <row r="731">
      <c r="B731" s="21">
        <f>IF(AND(C731&lt;&gt;"", J731&lt;&gt;""), HYPERLINK("#'" &amp; C731 &amp; "'!" &amp; J731, J731), "")</f>
        <v/>
      </c>
    </row>
    <row r="732">
      <c r="B732" s="21">
        <f>IF(AND(C732&lt;&gt;"", J732&lt;&gt;""), HYPERLINK("#'" &amp; C732 &amp; "'!" &amp; J732, J732), "")</f>
        <v/>
      </c>
    </row>
    <row r="733">
      <c r="B733" s="21">
        <f>IF(AND(C733&lt;&gt;"", J733&lt;&gt;""), HYPERLINK("#'" &amp; C733 &amp; "'!" &amp; J733, J733), "")</f>
        <v/>
      </c>
    </row>
    <row r="734">
      <c r="B734" s="21">
        <f>IF(AND(C734&lt;&gt;"", J734&lt;&gt;""), HYPERLINK("#'" &amp; C734 &amp; "'!" &amp; J734, J734), "")</f>
        <v/>
      </c>
    </row>
    <row r="735">
      <c r="B735" s="21">
        <f>IF(AND(C735&lt;&gt;"", J735&lt;&gt;""), HYPERLINK("#'" &amp; C735 &amp; "'!" &amp; J735, J735), "")</f>
        <v/>
      </c>
    </row>
    <row r="736">
      <c r="B736" s="21">
        <f>IF(AND(C736&lt;&gt;"", J736&lt;&gt;""), HYPERLINK("#'" &amp; C736 &amp; "'!" &amp; J736, J736), "")</f>
        <v/>
      </c>
    </row>
    <row r="737">
      <c r="B737" s="21">
        <f>IF(AND(C737&lt;&gt;"", J737&lt;&gt;""), HYPERLINK("#'" &amp; C737 &amp; "'!" &amp; J737, J737), "")</f>
        <v/>
      </c>
    </row>
    <row r="738">
      <c r="B738" s="21">
        <f>IF(AND(C738&lt;&gt;"", J738&lt;&gt;""), HYPERLINK("#'" &amp; C738 &amp; "'!" &amp; J738, J738), "")</f>
        <v/>
      </c>
    </row>
    <row r="739">
      <c r="B739" s="21">
        <f>IF(AND(C739&lt;&gt;"", J739&lt;&gt;""), HYPERLINK("#'" &amp; C739 &amp; "'!" &amp; J739, J739), "")</f>
        <v/>
      </c>
    </row>
    <row r="740">
      <c r="B740" s="21">
        <f>IF(AND(C740&lt;&gt;"", J740&lt;&gt;""), HYPERLINK("#'" &amp; C740 &amp; "'!" &amp; J740, J740), "")</f>
        <v/>
      </c>
    </row>
    <row r="741">
      <c r="B741" s="21">
        <f>IF(AND(C741&lt;&gt;"", J741&lt;&gt;""), HYPERLINK("#'" &amp; C741 &amp; "'!" &amp; J741, J741), "")</f>
        <v/>
      </c>
    </row>
    <row r="742">
      <c r="B742" s="21">
        <f>IF(AND(C742&lt;&gt;"", J742&lt;&gt;""), HYPERLINK("#'" &amp; C742 &amp; "'!" &amp; J742, J742), "")</f>
        <v/>
      </c>
    </row>
    <row r="743">
      <c r="B743" s="21">
        <f>IF(AND(C743&lt;&gt;"", J743&lt;&gt;""), HYPERLINK("#'" &amp; C743 &amp; "'!" &amp; J743, J743), "")</f>
        <v/>
      </c>
    </row>
    <row r="744">
      <c r="B744" s="21">
        <f>IF(AND(C744&lt;&gt;"", J744&lt;&gt;""), HYPERLINK("#'" &amp; C744 &amp; "'!" &amp; J744, J744), "")</f>
        <v/>
      </c>
    </row>
    <row r="745">
      <c r="B745" s="21">
        <f>IF(AND(C745&lt;&gt;"", J745&lt;&gt;""), HYPERLINK("#'" &amp; C745 &amp; "'!" &amp; J745, J745), "")</f>
        <v/>
      </c>
    </row>
    <row r="746">
      <c r="B746" s="21">
        <f>IF(AND(C746&lt;&gt;"", J746&lt;&gt;""), HYPERLINK("#'" &amp; C746 &amp; "'!" &amp; J746, J746), "")</f>
        <v/>
      </c>
    </row>
    <row r="747">
      <c r="B747" s="21">
        <f>IF(AND(C747&lt;&gt;"", J747&lt;&gt;""), HYPERLINK("#'" &amp; C747 &amp; "'!" &amp; J747, J747), "")</f>
        <v/>
      </c>
    </row>
    <row r="748">
      <c r="B748" s="21">
        <f>IF(AND(C748&lt;&gt;"", J748&lt;&gt;""), HYPERLINK("#'" &amp; C748 &amp; "'!" &amp; J748, J748), "")</f>
        <v/>
      </c>
    </row>
    <row r="749">
      <c r="B749" s="21">
        <f>IF(AND(C749&lt;&gt;"", J749&lt;&gt;""), HYPERLINK("#'" &amp; C749 &amp; "'!" &amp; J749, J749), "")</f>
        <v/>
      </c>
    </row>
    <row r="750">
      <c r="B750" s="21">
        <f>IF(AND(C750&lt;&gt;"", J750&lt;&gt;""), HYPERLINK("#'" &amp; C750 &amp; "'!" &amp; J750, J750), "")</f>
        <v/>
      </c>
    </row>
    <row r="751">
      <c r="B751" s="21">
        <f>IF(AND(C751&lt;&gt;"", J751&lt;&gt;""), HYPERLINK("#'" &amp; C751 &amp; "'!" &amp; J751, J751), "")</f>
        <v/>
      </c>
    </row>
    <row r="752">
      <c r="B752" s="21">
        <f>IF(AND(C752&lt;&gt;"", J752&lt;&gt;""), HYPERLINK("#'" &amp; C752 &amp; "'!" &amp; J752, J752), "")</f>
        <v/>
      </c>
    </row>
    <row r="753">
      <c r="B753" s="21">
        <f>IF(AND(C753&lt;&gt;"", J753&lt;&gt;""), HYPERLINK("#'" &amp; C753 &amp; "'!" &amp; J753, J753), "")</f>
        <v/>
      </c>
    </row>
    <row r="754">
      <c r="B754" s="21">
        <f>IF(AND(C754&lt;&gt;"", J754&lt;&gt;""), HYPERLINK("#'" &amp; C754 &amp; "'!" &amp; J754, J754), "")</f>
        <v/>
      </c>
    </row>
    <row r="755">
      <c r="B755" s="21">
        <f>IF(AND(C755&lt;&gt;"", J755&lt;&gt;""), HYPERLINK("#'" &amp; C755 &amp; "'!" &amp; J755, J755), "")</f>
        <v/>
      </c>
    </row>
    <row r="756">
      <c r="B756" s="21">
        <f>IF(AND(C756&lt;&gt;"", J756&lt;&gt;""), HYPERLINK("#'" &amp; C756 &amp; "'!" &amp; J756, J756), "")</f>
        <v/>
      </c>
    </row>
    <row r="757">
      <c r="B757" s="21">
        <f>IF(AND(C757&lt;&gt;"", J757&lt;&gt;""), HYPERLINK("#'" &amp; C757 &amp; "'!" &amp; J757, J757), "")</f>
        <v/>
      </c>
    </row>
    <row r="758">
      <c r="B758" s="21">
        <f>IF(AND(C758&lt;&gt;"", J758&lt;&gt;""), HYPERLINK("#'" &amp; C758 &amp; "'!" &amp; J758, J758), "")</f>
        <v/>
      </c>
    </row>
    <row r="759">
      <c r="B759" s="21">
        <f>IF(AND(C759&lt;&gt;"", J759&lt;&gt;""), HYPERLINK("#'" &amp; C759 &amp; "'!" &amp; J759, J759), "")</f>
        <v/>
      </c>
    </row>
    <row r="760">
      <c r="B760" s="21">
        <f>IF(AND(C760&lt;&gt;"", J760&lt;&gt;""), HYPERLINK("#'" &amp; C760 &amp; "'!" &amp; J760, J760), "")</f>
        <v/>
      </c>
    </row>
    <row r="761">
      <c r="B761" s="21">
        <f>IF(AND(C761&lt;&gt;"", J761&lt;&gt;""), HYPERLINK("#'" &amp; C761 &amp; "'!" &amp; J761, J761), "")</f>
        <v/>
      </c>
    </row>
    <row r="762">
      <c r="B762" s="21">
        <f>IF(AND(C762&lt;&gt;"", J762&lt;&gt;""), HYPERLINK("#'" &amp; C762 &amp; "'!" &amp; J762, J762), "")</f>
        <v/>
      </c>
    </row>
    <row r="763">
      <c r="B763" s="21">
        <f>IF(AND(C763&lt;&gt;"", J763&lt;&gt;""), HYPERLINK("#'" &amp; C763 &amp; "'!" &amp; J763, J763), "")</f>
        <v/>
      </c>
    </row>
    <row r="764">
      <c r="B764" s="21">
        <f>IF(AND(C764&lt;&gt;"", J764&lt;&gt;""), HYPERLINK("#'" &amp; C764 &amp; "'!" &amp; J764, J764), "")</f>
        <v/>
      </c>
    </row>
    <row r="765">
      <c r="B765" s="21">
        <f>IF(AND(C765&lt;&gt;"", J765&lt;&gt;""), HYPERLINK("#'" &amp; C765 &amp; "'!" &amp; J765, J765), "")</f>
        <v/>
      </c>
    </row>
    <row r="766">
      <c r="B766" s="21">
        <f>IF(AND(C766&lt;&gt;"", J766&lt;&gt;""), HYPERLINK("#'" &amp; C766 &amp; "'!" &amp; J766, J766), "")</f>
        <v/>
      </c>
    </row>
    <row r="767">
      <c r="B767" s="21">
        <f>IF(AND(C767&lt;&gt;"", J767&lt;&gt;""), HYPERLINK("#'" &amp; C767 &amp; "'!" &amp; J767, J767), "")</f>
        <v/>
      </c>
    </row>
    <row r="768">
      <c r="B768" s="21">
        <f>IF(AND(C768&lt;&gt;"", J768&lt;&gt;""), HYPERLINK("#'" &amp; C768 &amp; "'!" &amp; J768, J768), "")</f>
        <v/>
      </c>
    </row>
    <row r="769">
      <c r="B769" s="21">
        <f>IF(AND(C769&lt;&gt;"", J769&lt;&gt;""), HYPERLINK("#'" &amp; C769 &amp; "'!" &amp; J769, J769), "")</f>
        <v/>
      </c>
    </row>
    <row r="770">
      <c r="B770" s="21">
        <f>IF(AND(C770&lt;&gt;"", J770&lt;&gt;""), HYPERLINK("#'" &amp; C770 &amp; "'!" &amp; J770, J770), "")</f>
        <v/>
      </c>
    </row>
    <row r="771">
      <c r="B771" s="21">
        <f>IF(AND(C771&lt;&gt;"", J771&lt;&gt;""), HYPERLINK("#'" &amp; C771 &amp; "'!" &amp; J771, J771), "")</f>
        <v/>
      </c>
    </row>
    <row r="772">
      <c r="B772" s="21">
        <f>IF(AND(C772&lt;&gt;"", J772&lt;&gt;""), HYPERLINK("#'" &amp; C772 &amp; "'!" &amp; J772, J772), "")</f>
        <v/>
      </c>
    </row>
    <row r="773">
      <c r="B773" s="21">
        <f>IF(AND(C773&lt;&gt;"", J773&lt;&gt;""), HYPERLINK("#'" &amp; C773 &amp; "'!" &amp; J773, J773), "")</f>
        <v/>
      </c>
    </row>
    <row r="774">
      <c r="B774" s="21">
        <f>IF(AND(C774&lt;&gt;"", J774&lt;&gt;""), HYPERLINK("#'" &amp; C774 &amp; "'!" &amp; J774, J774), "")</f>
        <v/>
      </c>
    </row>
    <row r="775">
      <c r="B775" s="21">
        <f>IF(AND(C775&lt;&gt;"", J775&lt;&gt;""), HYPERLINK("#'" &amp; C775 &amp; "'!" &amp; J775, J775), "")</f>
        <v/>
      </c>
    </row>
    <row r="776">
      <c r="B776" s="21">
        <f>IF(AND(C776&lt;&gt;"", J776&lt;&gt;""), HYPERLINK("#'" &amp; C776 &amp; "'!" &amp; J776, J776), "")</f>
        <v/>
      </c>
    </row>
    <row r="777">
      <c r="B777" s="21">
        <f>IF(AND(C777&lt;&gt;"", J777&lt;&gt;""), HYPERLINK("#'" &amp; C777 &amp; "'!" &amp; J777, J777), "")</f>
        <v/>
      </c>
    </row>
    <row r="778">
      <c r="B778" s="21">
        <f>IF(AND(C778&lt;&gt;"", J778&lt;&gt;""), HYPERLINK("#'" &amp; C778 &amp; "'!" &amp; J778, J778), "")</f>
        <v/>
      </c>
    </row>
    <row r="779">
      <c r="B779" s="21">
        <f>IF(AND(C779&lt;&gt;"", J779&lt;&gt;""), HYPERLINK("#'" &amp; C779 &amp; "'!" &amp; J779, J779), "")</f>
        <v/>
      </c>
    </row>
    <row r="780">
      <c r="B780" s="21">
        <f>IF(AND(C780&lt;&gt;"", J780&lt;&gt;""), HYPERLINK("#'" &amp; C780 &amp; "'!" &amp; J780, J780), "")</f>
        <v/>
      </c>
    </row>
    <row r="781">
      <c r="B781" s="21">
        <f>IF(AND(C781&lt;&gt;"", J781&lt;&gt;""), HYPERLINK("#'" &amp; C781 &amp; "'!" &amp; J781, J781), "")</f>
        <v/>
      </c>
    </row>
    <row r="782">
      <c r="B782" s="21">
        <f>IF(AND(C782&lt;&gt;"", J782&lt;&gt;""), HYPERLINK("#'" &amp; C782 &amp; "'!" &amp; J782, J782), "")</f>
        <v/>
      </c>
    </row>
    <row r="783">
      <c r="B783" s="21">
        <f>IF(AND(C783&lt;&gt;"", J783&lt;&gt;""), HYPERLINK("#'" &amp; C783 &amp; "'!" &amp; J783, J783), "")</f>
        <v/>
      </c>
    </row>
    <row r="784">
      <c r="B784" s="21">
        <f>IF(AND(C784&lt;&gt;"", J784&lt;&gt;""), HYPERLINK("#'" &amp; C784 &amp; "'!" &amp; J784, J784), "")</f>
        <v/>
      </c>
    </row>
    <row r="785">
      <c r="B785" s="21">
        <f>IF(AND(C785&lt;&gt;"", J785&lt;&gt;""), HYPERLINK("#'" &amp; C785 &amp; "'!" &amp; J785, J785), "")</f>
        <v/>
      </c>
    </row>
    <row r="786">
      <c r="B786" s="21">
        <f>IF(AND(C786&lt;&gt;"", J786&lt;&gt;""), HYPERLINK("#'" &amp; C786 &amp; "'!" &amp; J786, J786), "")</f>
        <v/>
      </c>
    </row>
    <row r="787">
      <c r="B787" s="21">
        <f>IF(AND(C787&lt;&gt;"", J787&lt;&gt;""), HYPERLINK("#'" &amp; C787 &amp; "'!" &amp; J787, J787), "")</f>
        <v/>
      </c>
    </row>
    <row r="788">
      <c r="B788" s="21">
        <f>IF(AND(C788&lt;&gt;"", J788&lt;&gt;""), HYPERLINK("#'" &amp; C788 &amp; "'!" &amp; J788, J788), "")</f>
        <v/>
      </c>
    </row>
    <row r="789">
      <c r="B789" s="21">
        <f>IF(AND(C789&lt;&gt;"", J789&lt;&gt;""), HYPERLINK("#'" &amp; C789 &amp; "'!" &amp; J789, J789), "")</f>
        <v/>
      </c>
    </row>
    <row r="790">
      <c r="B790" s="21">
        <f>IF(AND(C790&lt;&gt;"", J790&lt;&gt;""), HYPERLINK("#'" &amp; C790 &amp; "'!" &amp; J790, J790), "")</f>
        <v/>
      </c>
    </row>
    <row r="791">
      <c r="B791" s="21">
        <f>IF(AND(C791&lt;&gt;"", J791&lt;&gt;""), HYPERLINK("#'" &amp; C791 &amp; "'!" &amp; J791, J791), "")</f>
        <v/>
      </c>
    </row>
    <row r="792">
      <c r="B792" s="21">
        <f>IF(AND(C792&lt;&gt;"", J792&lt;&gt;""), HYPERLINK("#'" &amp; C792 &amp; "'!" &amp; J792, J792), "")</f>
        <v/>
      </c>
    </row>
    <row r="793">
      <c r="B793" s="21">
        <f>IF(AND(C793&lt;&gt;"", J793&lt;&gt;""), HYPERLINK("#'" &amp; C793 &amp; "'!" &amp; J793, J793), "")</f>
        <v/>
      </c>
    </row>
    <row r="794">
      <c r="B794" s="21">
        <f>IF(AND(C794&lt;&gt;"", J794&lt;&gt;""), HYPERLINK("#'" &amp; C794 &amp; "'!" &amp; J794, J794), "")</f>
        <v/>
      </c>
    </row>
    <row r="795">
      <c r="B795" s="21">
        <f>IF(AND(C795&lt;&gt;"", J795&lt;&gt;""), HYPERLINK("#'" &amp; C795 &amp; "'!" &amp; J795, J795), "")</f>
        <v/>
      </c>
    </row>
    <row r="796">
      <c r="B796" s="21">
        <f>IF(AND(C796&lt;&gt;"", J796&lt;&gt;""), HYPERLINK("#'" &amp; C796 &amp; "'!" &amp; J796, J796), "")</f>
        <v/>
      </c>
    </row>
    <row r="797">
      <c r="B797" s="21">
        <f>IF(AND(C797&lt;&gt;"", J797&lt;&gt;""), HYPERLINK("#'" &amp; C797 &amp; "'!" &amp; J797, J797), "")</f>
        <v/>
      </c>
    </row>
    <row r="798">
      <c r="B798" s="21">
        <f>IF(AND(C798&lt;&gt;"", J798&lt;&gt;""), HYPERLINK("#'" &amp; C798 &amp; "'!" &amp; J798, J798), "")</f>
        <v/>
      </c>
    </row>
    <row r="799">
      <c r="B799" s="21">
        <f>IF(AND(C799&lt;&gt;"", J799&lt;&gt;""), HYPERLINK("#'" &amp; C799 &amp; "'!" &amp; J799, J799), "")</f>
        <v/>
      </c>
    </row>
    <row r="800">
      <c r="B800" s="21">
        <f>IF(AND(C800&lt;&gt;"", J800&lt;&gt;""), HYPERLINK("#'" &amp; C800 &amp; "'!" &amp; J800, J800), "")</f>
        <v/>
      </c>
    </row>
    <row r="801">
      <c r="B801" s="21">
        <f>IF(AND(C801&lt;&gt;"", J801&lt;&gt;""), HYPERLINK("#'" &amp; C801 &amp; "'!" &amp; J801, J801), "")</f>
        <v/>
      </c>
    </row>
    <row r="802">
      <c r="B802" s="21">
        <f>IF(AND(C802&lt;&gt;"", J802&lt;&gt;""), HYPERLINK("#'" &amp; C802 &amp; "'!" &amp; J802, J802), "")</f>
        <v/>
      </c>
    </row>
    <row r="803">
      <c r="B803" s="21">
        <f>IF(AND(C803&lt;&gt;"", J803&lt;&gt;""), HYPERLINK("#'" &amp; C803 &amp; "'!" &amp; J803, J803), "")</f>
        <v/>
      </c>
    </row>
    <row r="804">
      <c r="B804" s="21">
        <f>IF(AND(C804&lt;&gt;"", J804&lt;&gt;""), HYPERLINK("#'" &amp; C804 &amp; "'!" &amp; J804, J804), "")</f>
        <v/>
      </c>
    </row>
    <row r="805">
      <c r="B805" s="21">
        <f>IF(AND(C805&lt;&gt;"", J805&lt;&gt;""), HYPERLINK("#'" &amp; C805 &amp; "'!" &amp; J805, J805), "")</f>
        <v/>
      </c>
    </row>
    <row r="806">
      <c r="B806" s="21">
        <f>IF(AND(C806&lt;&gt;"", J806&lt;&gt;""), HYPERLINK("#'" &amp; C806 &amp; "'!" &amp; J806, J806), "")</f>
        <v/>
      </c>
    </row>
    <row r="807">
      <c r="B807" s="21">
        <f>IF(AND(C807&lt;&gt;"", J807&lt;&gt;""), HYPERLINK("#'" &amp; C807 &amp; "'!" &amp; J807, J807), "")</f>
        <v/>
      </c>
    </row>
    <row r="808">
      <c r="B808" s="21">
        <f>IF(AND(C808&lt;&gt;"", J808&lt;&gt;""), HYPERLINK("#'" &amp; C808 &amp; "'!" &amp; J808, J808), "")</f>
        <v/>
      </c>
    </row>
    <row r="809">
      <c r="B809" s="21">
        <f>IF(AND(C809&lt;&gt;"", J809&lt;&gt;""), HYPERLINK("#'" &amp; C809 &amp; "'!" &amp; J809, J809), "")</f>
        <v/>
      </c>
    </row>
    <row r="810">
      <c r="B810" s="21">
        <f>IF(AND(C810&lt;&gt;"", J810&lt;&gt;""), HYPERLINK("#'" &amp; C810 &amp; "'!" &amp; J810, J810), "")</f>
        <v/>
      </c>
    </row>
    <row r="811">
      <c r="B811" s="21">
        <f>IF(AND(C811&lt;&gt;"", J811&lt;&gt;""), HYPERLINK("#'" &amp; C811 &amp; "'!" &amp; J811, J811), "")</f>
        <v/>
      </c>
    </row>
    <row r="812">
      <c r="B812" s="21">
        <f>IF(AND(C812&lt;&gt;"", J812&lt;&gt;""), HYPERLINK("#'" &amp; C812 &amp; "'!" &amp; J812, J812), "")</f>
        <v/>
      </c>
    </row>
    <row r="813">
      <c r="B813" s="21">
        <f>IF(AND(C813&lt;&gt;"", J813&lt;&gt;""), HYPERLINK("#'" &amp; C813 &amp; "'!" &amp; J813, J813), "")</f>
        <v/>
      </c>
    </row>
    <row r="814">
      <c r="B814" s="21">
        <f>IF(AND(C814&lt;&gt;"", J814&lt;&gt;""), HYPERLINK("#'" &amp; C814 &amp; "'!" &amp; J814, J814), "")</f>
        <v/>
      </c>
    </row>
    <row r="815">
      <c r="B815" s="21">
        <f>IF(AND(C815&lt;&gt;"", J815&lt;&gt;""), HYPERLINK("#'" &amp; C815 &amp; "'!" &amp; J815, J815), "")</f>
        <v/>
      </c>
    </row>
    <row r="816">
      <c r="B816" s="21">
        <f>IF(AND(C816&lt;&gt;"", J816&lt;&gt;""), HYPERLINK("#'" &amp; C816 &amp; "'!" &amp; J816, J816), "")</f>
        <v/>
      </c>
    </row>
    <row r="817">
      <c r="B817" s="21">
        <f>IF(AND(C817&lt;&gt;"", J817&lt;&gt;""), HYPERLINK("#'" &amp; C817 &amp; "'!" &amp; J817, J817), "")</f>
        <v/>
      </c>
    </row>
    <row r="818">
      <c r="B818" s="21">
        <f>IF(AND(C818&lt;&gt;"", J818&lt;&gt;""), HYPERLINK("#'" &amp; C818 &amp; "'!" &amp; J818, J818), "")</f>
        <v/>
      </c>
    </row>
    <row r="819">
      <c r="B819" s="21">
        <f>IF(AND(C819&lt;&gt;"", J819&lt;&gt;""), HYPERLINK("#'" &amp; C819 &amp; "'!" &amp; J819, J819), "")</f>
        <v/>
      </c>
    </row>
    <row r="820">
      <c r="B820" s="21">
        <f>IF(AND(C820&lt;&gt;"", J820&lt;&gt;""), HYPERLINK("#'" &amp; C820 &amp; "'!" &amp; J820, J820), "")</f>
        <v/>
      </c>
    </row>
    <row r="821">
      <c r="B821" s="21">
        <f>IF(AND(C821&lt;&gt;"", J821&lt;&gt;""), HYPERLINK("#'" &amp; C821 &amp; "'!" &amp; J821, J821), "")</f>
        <v/>
      </c>
    </row>
    <row r="822">
      <c r="B822" s="21">
        <f>IF(AND(C822&lt;&gt;"", J822&lt;&gt;""), HYPERLINK("#'" &amp; C822 &amp; "'!" &amp; J822, J822), "")</f>
        <v/>
      </c>
    </row>
    <row r="823">
      <c r="B823" s="21">
        <f>IF(AND(C823&lt;&gt;"", J823&lt;&gt;""), HYPERLINK("#'" &amp; C823 &amp; "'!" &amp; J823, J823), "")</f>
        <v/>
      </c>
    </row>
    <row r="824">
      <c r="B824" s="21">
        <f>IF(AND(C824&lt;&gt;"", J824&lt;&gt;""), HYPERLINK("#'" &amp; C824 &amp; "'!" &amp; J824, J824), "")</f>
        <v/>
      </c>
    </row>
    <row r="825">
      <c r="B825" s="21">
        <f>IF(AND(C825&lt;&gt;"", J825&lt;&gt;""), HYPERLINK("#'" &amp; C825 &amp; "'!" &amp; J825, J825), "")</f>
        <v/>
      </c>
    </row>
    <row r="826">
      <c r="B826" s="21">
        <f>IF(AND(C826&lt;&gt;"", J826&lt;&gt;""), HYPERLINK("#'" &amp; C826 &amp; "'!" &amp; J826, J826), "")</f>
        <v/>
      </c>
    </row>
    <row r="827">
      <c r="B827" s="21">
        <f>IF(AND(C827&lt;&gt;"", J827&lt;&gt;""), HYPERLINK("#'" &amp; C827 &amp; "'!" &amp; J827, J827), "")</f>
        <v/>
      </c>
    </row>
    <row r="828">
      <c r="B828" s="21">
        <f>IF(AND(C828&lt;&gt;"", J828&lt;&gt;""), HYPERLINK("#'" &amp; C828 &amp; "'!" &amp; J828, J828), "")</f>
        <v/>
      </c>
    </row>
    <row r="829">
      <c r="B829" s="21">
        <f>IF(AND(C829&lt;&gt;"", J829&lt;&gt;""), HYPERLINK("#'" &amp; C829 &amp; "'!" &amp; J829, J829), "")</f>
        <v/>
      </c>
    </row>
    <row r="830">
      <c r="B830" s="21">
        <f>IF(AND(C830&lt;&gt;"", J830&lt;&gt;""), HYPERLINK("#'" &amp; C830 &amp; "'!" &amp; J830, J830), "")</f>
        <v/>
      </c>
    </row>
    <row r="831">
      <c r="B831" s="21">
        <f>IF(AND(C831&lt;&gt;"", J831&lt;&gt;""), HYPERLINK("#'" &amp; C831 &amp; "'!" &amp; J831, J831), "")</f>
        <v/>
      </c>
    </row>
    <row r="832">
      <c r="B832" s="21">
        <f>IF(AND(C832&lt;&gt;"", J832&lt;&gt;""), HYPERLINK("#'" &amp; C832 &amp; "'!" &amp; J832, J832), "")</f>
        <v/>
      </c>
    </row>
    <row r="833">
      <c r="B833" s="21">
        <f>IF(AND(C833&lt;&gt;"", J833&lt;&gt;""), HYPERLINK("#'" &amp; C833 &amp; "'!" &amp; J833, J833), "")</f>
        <v/>
      </c>
    </row>
    <row r="834">
      <c r="B834" s="21">
        <f>IF(AND(C834&lt;&gt;"", J834&lt;&gt;""), HYPERLINK("#'" &amp; C834 &amp; "'!" &amp; J834, J834), "")</f>
        <v/>
      </c>
    </row>
    <row r="835">
      <c r="B835" s="21">
        <f>IF(AND(C835&lt;&gt;"", J835&lt;&gt;""), HYPERLINK("#'" &amp; C835 &amp; "'!" &amp; J835, J835), "")</f>
        <v/>
      </c>
    </row>
    <row r="836">
      <c r="B836" s="21">
        <f>IF(AND(C836&lt;&gt;"", J836&lt;&gt;""), HYPERLINK("#'" &amp; C836 &amp; "'!" &amp; J836, J836), "")</f>
        <v/>
      </c>
    </row>
    <row r="837">
      <c r="B837" s="21">
        <f>IF(AND(C837&lt;&gt;"", J837&lt;&gt;""), HYPERLINK("#'" &amp; C837 &amp; "'!" &amp; J837, J837), "")</f>
        <v/>
      </c>
    </row>
    <row r="838">
      <c r="B838" s="21">
        <f>IF(AND(C838&lt;&gt;"", J838&lt;&gt;""), HYPERLINK("#'" &amp; C838 &amp; "'!" &amp; J838, J838), "")</f>
        <v/>
      </c>
    </row>
    <row r="839">
      <c r="B839" s="21">
        <f>IF(AND(C839&lt;&gt;"", J839&lt;&gt;""), HYPERLINK("#'" &amp; C839 &amp; "'!" &amp; J839, J839), "")</f>
        <v/>
      </c>
    </row>
    <row r="840">
      <c r="B840" s="21">
        <f>IF(AND(C840&lt;&gt;"", J840&lt;&gt;""), HYPERLINK("#'" &amp; C840 &amp; "'!" &amp; J840, J840), "")</f>
        <v/>
      </c>
    </row>
    <row r="841">
      <c r="B841" s="21">
        <f>IF(AND(C841&lt;&gt;"", J841&lt;&gt;""), HYPERLINK("#'" &amp; C841 &amp; "'!" &amp; J841, J841), "")</f>
        <v/>
      </c>
    </row>
    <row r="842">
      <c r="B842" s="21">
        <f>IF(AND(C842&lt;&gt;"", J842&lt;&gt;""), HYPERLINK("#'" &amp; C842 &amp; "'!" &amp; J842, J842), "")</f>
        <v/>
      </c>
    </row>
    <row r="843">
      <c r="B843" s="21">
        <f>IF(AND(C843&lt;&gt;"", J843&lt;&gt;""), HYPERLINK("#'" &amp; C843 &amp; "'!" &amp; J843, J843), "")</f>
        <v/>
      </c>
    </row>
    <row r="844">
      <c r="B844" s="21">
        <f>IF(AND(C844&lt;&gt;"", J844&lt;&gt;""), HYPERLINK("#'" &amp; C844 &amp; "'!" &amp; J844, J844), "")</f>
        <v/>
      </c>
    </row>
    <row r="845">
      <c r="B845" s="21">
        <f>IF(AND(C845&lt;&gt;"", J845&lt;&gt;""), HYPERLINK("#'" &amp; C845 &amp; "'!" &amp; J845, J845), "")</f>
        <v/>
      </c>
    </row>
    <row r="846">
      <c r="B846" s="21">
        <f>IF(AND(C846&lt;&gt;"", J846&lt;&gt;""), HYPERLINK("#'" &amp; C846 &amp; "'!" &amp; J846, J846), "")</f>
        <v/>
      </c>
    </row>
    <row r="847">
      <c r="B847" s="21">
        <f>IF(AND(C847&lt;&gt;"", J847&lt;&gt;""), HYPERLINK("#'" &amp; C847 &amp; "'!" &amp; J847, J847), "")</f>
        <v/>
      </c>
    </row>
    <row r="848">
      <c r="B848" s="21">
        <f>IF(AND(C848&lt;&gt;"", J848&lt;&gt;""), HYPERLINK("#'" &amp; C848 &amp; "'!" &amp; J848, J848), "")</f>
        <v/>
      </c>
    </row>
    <row r="849">
      <c r="B849" s="21">
        <f>IF(AND(C849&lt;&gt;"", J849&lt;&gt;""), HYPERLINK("#'" &amp; C849 &amp; "'!" &amp; J849, J849), "")</f>
        <v/>
      </c>
    </row>
    <row r="850">
      <c r="B850" s="21">
        <f>IF(AND(C850&lt;&gt;"", J850&lt;&gt;""), HYPERLINK("#'" &amp; C850 &amp; "'!" &amp; J850, J850), "")</f>
        <v/>
      </c>
    </row>
    <row r="851">
      <c r="B851" s="21">
        <f>IF(AND(C851&lt;&gt;"", J851&lt;&gt;""), HYPERLINK("#'" &amp; C851 &amp; "'!" &amp; J851, J851), "")</f>
        <v/>
      </c>
    </row>
    <row r="852">
      <c r="B852" s="21">
        <f>IF(AND(C852&lt;&gt;"", J852&lt;&gt;""), HYPERLINK("#'" &amp; C852 &amp; "'!" &amp; J852, J852), "")</f>
        <v/>
      </c>
    </row>
    <row r="853">
      <c r="B853" s="21">
        <f>IF(AND(C853&lt;&gt;"", J853&lt;&gt;""), HYPERLINK("#'" &amp; C853 &amp; "'!" &amp; J853, J853), "")</f>
        <v/>
      </c>
    </row>
    <row r="854">
      <c r="B854" s="21">
        <f>IF(AND(C854&lt;&gt;"", J854&lt;&gt;""), HYPERLINK("#'" &amp; C854 &amp; "'!" &amp; J854, J854), "")</f>
        <v/>
      </c>
    </row>
    <row r="855">
      <c r="B855" s="21">
        <f>IF(AND(C855&lt;&gt;"", J855&lt;&gt;""), HYPERLINK("#'" &amp; C855 &amp; "'!" &amp; J855, J855), "")</f>
        <v/>
      </c>
    </row>
    <row r="856">
      <c r="B856" s="21">
        <f>IF(AND(C856&lt;&gt;"", J856&lt;&gt;""), HYPERLINK("#'" &amp; C856 &amp; "'!" &amp; J856, J856), "")</f>
        <v/>
      </c>
    </row>
    <row r="857">
      <c r="B857" s="21">
        <f>IF(AND(C857&lt;&gt;"", J857&lt;&gt;""), HYPERLINK("#'" &amp; C857 &amp; "'!" &amp; J857, J857), "")</f>
        <v/>
      </c>
    </row>
    <row r="858">
      <c r="B858" s="21">
        <f>IF(AND(C858&lt;&gt;"", J858&lt;&gt;""), HYPERLINK("#'" &amp; C858 &amp; "'!" &amp; J858, J858), "")</f>
        <v/>
      </c>
    </row>
    <row r="859">
      <c r="B859" s="21">
        <f>IF(AND(C859&lt;&gt;"", J859&lt;&gt;""), HYPERLINK("#'" &amp; C859 &amp; "'!" &amp; J859, J859), "")</f>
        <v/>
      </c>
    </row>
    <row r="860">
      <c r="B860" s="21">
        <f>IF(AND(C860&lt;&gt;"", J860&lt;&gt;""), HYPERLINK("#'" &amp; C860 &amp; "'!" &amp; J860, J860), "")</f>
        <v/>
      </c>
    </row>
    <row r="861">
      <c r="B861" s="21">
        <f>IF(AND(C861&lt;&gt;"", J861&lt;&gt;""), HYPERLINK("#'" &amp; C861 &amp; "'!" &amp; J861, J861), "")</f>
        <v/>
      </c>
    </row>
    <row r="862">
      <c r="B862" s="21">
        <f>IF(AND(C862&lt;&gt;"", J862&lt;&gt;""), HYPERLINK("#'" &amp; C862 &amp; "'!" &amp; J862, J862), "")</f>
        <v/>
      </c>
    </row>
    <row r="863">
      <c r="B863" s="21">
        <f>IF(AND(C863&lt;&gt;"", J863&lt;&gt;""), HYPERLINK("#'" &amp; C863 &amp; "'!" &amp; J863, J863), "")</f>
        <v/>
      </c>
    </row>
    <row r="864">
      <c r="B864" s="21">
        <f>IF(AND(C864&lt;&gt;"", J864&lt;&gt;""), HYPERLINK("#'" &amp; C864 &amp; "'!" &amp; J864, J864), "")</f>
        <v/>
      </c>
    </row>
    <row r="865">
      <c r="B865" s="21">
        <f>IF(AND(C865&lt;&gt;"", J865&lt;&gt;""), HYPERLINK("#'" &amp; C865 &amp; "'!" &amp; J865, J865), "")</f>
        <v/>
      </c>
    </row>
    <row r="866">
      <c r="B866" s="21">
        <f>IF(AND(C866&lt;&gt;"", J866&lt;&gt;""), HYPERLINK("#'" &amp; C866 &amp; "'!" &amp; J866, J866), "")</f>
        <v/>
      </c>
    </row>
    <row r="867">
      <c r="B867" s="21">
        <f>IF(AND(C867&lt;&gt;"", J867&lt;&gt;""), HYPERLINK("#'" &amp; C867 &amp; "'!" &amp; J867, J867), "")</f>
        <v/>
      </c>
    </row>
    <row r="868">
      <c r="B868" s="21">
        <f>IF(AND(C868&lt;&gt;"", J868&lt;&gt;""), HYPERLINK("#'" &amp; C868 &amp; "'!" &amp; J868, J868), "")</f>
        <v/>
      </c>
    </row>
    <row r="869">
      <c r="B869" s="21">
        <f>IF(AND(C869&lt;&gt;"", J869&lt;&gt;""), HYPERLINK("#'" &amp; C869 &amp; "'!" &amp; J869, J869), "")</f>
        <v/>
      </c>
    </row>
    <row r="870">
      <c r="B870" s="21">
        <f>IF(AND(C870&lt;&gt;"", J870&lt;&gt;""), HYPERLINK("#'" &amp; C870 &amp; "'!" &amp; J870, J870), "")</f>
        <v/>
      </c>
    </row>
    <row r="871">
      <c r="B871" s="21">
        <f>IF(AND(C871&lt;&gt;"", J871&lt;&gt;""), HYPERLINK("#'" &amp; C871 &amp; "'!" &amp; J871, J871), "")</f>
        <v/>
      </c>
    </row>
    <row r="872">
      <c r="B872" s="21">
        <f>IF(AND(C872&lt;&gt;"", J872&lt;&gt;""), HYPERLINK("#'" &amp; C872 &amp; "'!" &amp; J872, J872), "")</f>
        <v/>
      </c>
    </row>
    <row r="873">
      <c r="B873" s="21">
        <f>IF(AND(C873&lt;&gt;"", J873&lt;&gt;""), HYPERLINK("#'" &amp; C873 &amp; "'!" &amp; J873, J873), "")</f>
        <v/>
      </c>
    </row>
    <row r="874">
      <c r="B874" s="21">
        <f>IF(AND(C874&lt;&gt;"", J874&lt;&gt;""), HYPERLINK("#'" &amp; C874 &amp; "'!" &amp; J874, J874), "")</f>
        <v/>
      </c>
    </row>
    <row r="875">
      <c r="B875" s="21">
        <f>IF(AND(C875&lt;&gt;"", J875&lt;&gt;""), HYPERLINK("#'" &amp; C875 &amp; "'!" &amp; J875, J875), "")</f>
        <v/>
      </c>
    </row>
    <row r="876">
      <c r="B876" s="21">
        <f>IF(AND(C876&lt;&gt;"", J876&lt;&gt;""), HYPERLINK("#'" &amp; C876 &amp; "'!" &amp; J876, J876), "")</f>
        <v/>
      </c>
    </row>
    <row r="877">
      <c r="B877" s="21">
        <f>IF(AND(C877&lt;&gt;"", J877&lt;&gt;""), HYPERLINK("#'" &amp; C877 &amp; "'!" &amp; J877, J877), "")</f>
        <v/>
      </c>
    </row>
    <row r="878">
      <c r="B878" s="21">
        <f>IF(AND(C878&lt;&gt;"", J878&lt;&gt;""), HYPERLINK("#'" &amp; C878 &amp; "'!" &amp; J878, J878), "")</f>
        <v/>
      </c>
    </row>
    <row r="879">
      <c r="B879" s="21">
        <f>IF(AND(C879&lt;&gt;"", J879&lt;&gt;""), HYPERLINK("#'" &amp; C879 &amp; "'!" &amp; J879, J879), "")</f>
        <v/>
      </c>
    </row>
    <row r="880">
      <c r="B880" s="21">
        <f>IF(AND(C880&lt;&gt;"", J880&lt;&gt;""), HYPERLINK("#'" &amp; C880 &amp; "'!" &amp; J880, J880), "")</f>
        <v/>
      </c>
    </row>
    <row r="881">
      <c r="B881" s="21">
        <f>IF(AND(C881&lt;&gt;"", J881&lt;&gt;""), HYPERLINK("#'" &amp; C881 &amp; "'!" &amp; J881, J881), "")</f>
        <v/>
      </c>
    </row>
    <row r="882">
      <c r="B882" s="21">
        <f>IF(AND(C882&lt;&gt;"", J882&lt;&gt;""), HYPERLINK("#'" &amp; C882 &amp; "'!" &amp; J882, J882), "")</f>
        <v/>
      </c>
    </row>
    <row r="883">
      <c r="B883" s="21">
        <f>IF(AND(C883&lt;&gt;"", J883&lt;&gt;""), HYPERLINK("#'" &amp; C883 &amp; "'!" &amp; J883, J883), "")</f>
        <v/>
      </c>
    </row>
    <row r="884">
      <c r="B884" s="21">
        <f>IF(AND(C884&lt;&gt;"", J884&lt;&gt;""), HYPERLINK("#'" &amp; C884 &amp; "'!" &amp; J884, J884), "")</f>
        <v/>
      </c>
    </row>
    <row r="885">
      <c r="B885" s="21">
        <f>IF(AND(C885&lt;&gt;"", J885&lt;&gt;""), HYPERLINK("#'" &amp; C885 &amp; "'!" &amp; J885, J885), "")</f>
        <v/>
      </c>
    </row>
    <row r="886">
      <c r="B886" s="21">
        <f>IF(AND(C886&lt;&gt;"", J886&lt;&gt;""), HYPERLINK("#'" &amp; C886 &amp; "'!" &amp; J886, J886), "")</f>
        <v/>
      </c>
    </row>
    <row r="887">
      <c r="B887" s="21">
        <f>IF(AND(C887&lt;&gt;"", J887&lt;&gt;""), HYPERLINK("#'" &amp; C887 &amp; "'!" &amp; J887, J887), "")</f>
        <v/>
      </c>
    </row>
    <row r="888">
      <c r="B888" s="21">
        <f>IF(AND(C888&lt;&gt;"", J888&lt;&gt;""), HYPERLINK("#'" &amp; C888 &amp; "'!" &amp; J888, J888), "")</f>
        <v/>
      </c>
    </row>
    <row r="889">
      <c r="B889" s="21">
        <f>IF(AND(C889&lt;&gt;"", J889&lt;&gt;""), HYPERLINK("#'" &amp; C889 &amp; "'!" &amp; J889, J889), "")</f>
        <v/>
      </c>
    </row>
    <row r="890">
      <c r="B890" s="21">
        <f>IF(AND(C890&lt;&gt;"", J890&lt;&gt;""), HYPERLINK("#'" &amp; C890 &amp; "'!" &amp; J890, J890), "")</f>
        <v/>
      </c>
    </row>
    <row r="891">
      <c r="B891" s="21">
        <f>IF(AND(C891&lt;&gt;"", J891&lt;&gt;""), HYPERLINK("#'" &amp; C891 &amp; "'!" &amp; J891, J891), "")</f>
        <v/>
      </c>
    </row>
    <row r="892">
      <c r="B892" s="21">
        <f>IF(AND(C892&lt;&gt;"", J892&lt;&gt;""), HYPERLINK("#'" &amp; C892 &amp; "'!" &amp; J892, J892), "")</f>
        <v/>
      </c>
    </row>
    <row r="893">
      <c r="B893" s="21">
        <f>IF(AND(C893&lt;&gt;"", J893&lt;&gt;""), HYPERLINK("#'" &amp; C893 &amp; "'!" &amp; J893, J893), "")</f>
        <v/>
      </c>
    </row>
    <row r="894">
      <c r="B894" s="21">
        <f>IF(AND(C894&lt;&gt;"", J894&lt;&gt;""), HYPERLINK("#'" &amp; C894 &amp; "'!" &amp; J894, J894), "")</f>
        <v/>
      </c>
    </row>
    <row r="895">
      <c r="B895" s="21">
        <f>IF(AND(C895&lt;&gt;"", J895&lt;&gt;""), HYPERLINK("#'" &amp; C895 &amp; "'!" &amp; J895, J895), "")</f>
        <v/>
      </c>
    </row>
    <row r="896">
      <c r="B896" s="21">
        <f>IF(AND(C896&lt;&gt;"", J896&lt;&gt;""), HYPERLINK("#'" &amp; C896 &amp; "'!" &amp; J896, J896), "")</f>
        <v/>
      </c>
    </row>
    <row r="897">
      <c r="B897" s="21">
        <f>IF(AND(C897&lt;&gt;"", J897&lt;&gt;""), HYPERLINK("#'" &amp; C897 &amp; "'!" &amp; J897, J897), "")</f>
        <v/>
      </c>
    </row>
    <row r="898">
      <c r="B898" s="21">
        <f>IF(AND(C898&lt;&gt;"", J898&lt;&gt;""), HYPERLINK("#'" &amp; C898 &amp; "'!" &amp; J898, J898), "")</f>
        <v/>
      </c>
    </row>
    <row r="899">
      <c r="B899" s="21">
        <f>IF(AND(C899&lt;&gt;"", J899&lt;&gt;""), HYPERLINK("#'" &amp; C899 &amp; "'!" &amp; J899, J899), "")</f>
        <v/>
      </c>
    </row>
    <row r="900">
      <c r="B900" s="21">
        <f>IF(AND(C900&lt;&gt;"", J900&lt;&gt;""), HYPERLINK("#'" &amp; C900 &amp; "'!" &amp; J900, J900), "")</f>
        <v/>
      </c>
    </row>
    <row r="901">
      <c r="B901" s="21">
        <f>IF(AND(C901&lt;&gt;"", J901&lt;&gt;""), HYPERLINK("#'" &amp; C901 &amp; "'!" &amp; J901, J901), "")</f>
        <v/>
      </c>
    </row>
    <row r="902">
      <c r="B902" s="21">
        <f>IF(AND(C902&lt;&gt;"", J902&lt;&gt;""), HYPERLINK("#'" &amp; C902 &amp; "'!" &amp; J902, J902), "")</f>
        <v/>
      </c>
    </row>
    <row r="903">
      <c r="B903" s="21">
        <f>IF(AND(C903&lt;&gt;"", J903&lt;&gt;""), HYPERLINK("#'" &amp; C903 &amp; "'!" &amp; J903, J903), "")</f>
        <v/>
      </c>
    </row>
    <row r="904">
      <c r="B904" s="21">
        <f>IF(AND(C904&lt;&gt;"", J904&lt;&gt;""), HYPERLINK("#'" &amp; C904 &amp; "'!" &amp; J904, J904), "")</f>
        <v/>
      </c>
    </row>
    <row r="905">
      <c r="B905" s="21">
        <f>IF(AND(C905&lt;&gt;"", J905&lt;&gt;""), HYPERLINK("#'" &amp; C905 &amp; "'!" &amp; J905, J905), "")</f>
        <v/>
      </c>
    </row>
    <row r="906">
      <c r="B906" s="21">
        <f>IF(AND(C906&lt;&gt;"", J906&lt;&gt;""), HYPERLINK("#'" &amp; C906 &amp; "'!" &amp; J906, J906), "")</f>
        <v/>
      </c>
    </row>
    <row r="907">
      <c r="B907" s="21">
        <f>IF(AND(C907&lt;&gt;"", J907&lt;&gt;""), HYPERLINK("#'" &amp; C907 &amp; "'!" &amp; J907, J907), "")</f>
        <v/>
      </c>
    </row>
    <row r="908">
      <c r="B908" s="21">
        <f>IF(AND(C908&lt;&gt;"", J908&lt;&gt;""), HYPERLINK("#'" &amp; C908 &amp; "'!" &amp; J908, J908), "")</f>
        <v/>
      </c>
    </row>
    <row r="909">
      <c r="B909" s="21">
        <f>IF(AND(C909&lt;&gt;"", J909&lt;&gt;""), HYPERLINK("#'" &amp; C909 &amp; "'!" &amp; J909, J909), "")</f>
        <v/>
      </c>
    </row>
    <row r="910">
      <c r="B910" s="21">
        <f>IF(AND(C910&lt;&gt;"", J910&lt;&gt;""), HYPERLINK("#'" &amp; C910 &amp; "'!" &amp; J910, J910), "")</f>
        <v/>
      </c>
    </row>
    <row r="911">
      <c r="B911" s="21">
        <f>IF(AND(C911&lt;&gt;"", J911&lt;&gt;""), HYPERLINK("#'" &amp; C911 &amp; "'!" &amp; J911, J911), "")</f>
        <v/>
      </c>
    </row>
    <row r="912">
      <c r="B912" s="21">
        <f>IF(AND(C912&lt;&gt;"", J912&lt;&gt;""), HYPERLINK("#'" &amp; C912 &amp; "'!" &amp; J912, J912), "")</f>
        <v/>
      </c>
    </row>
    <row r="913">
      <c r="B913" s="21">
        <f>IF(AND(C913&lt;&gt;"", J913&lt;&gt;""), HYPERLINK("#'" &amp; C913 &amp; "'!" &amp; J913, J913), "")</f>
        <v/>
      </c>
    </row>
    <row r="914">
      <c r="B914" s="21">
        <f>IF(AND(C914&lt;&gt;"", J914&lt;&gt;""), HYPERLINK("#'" &amp; C914 &amp; "'!" &amp; J914, J914), "")</f>
        <v/>
      </c>
    </row>
    <row r="915">
      <c r="B915" s="21">
        <f>IF(AND(C915&lt;&gt;"", J915&lt;&gt;""), HYPERLINK("#'" &amp; C915 &amp; "'!" &amp; J915, J915), "")</f>
        <v/>
      </c>
    </row>
    <row r="916">
      <c r="B916" s="21">
        <f>IF(AND(C916&lt;&gt;"", J916&lt;&gt;""), HYPERLINK("#'" &amp; C916 &amp; "'!" &amp; J916, J916), "")</f>
        <v/>
      </c>
    </row>
    <row r="917">
      <c r="B917" s="21">
        <f>IF(AND(C917&lt;&gt;"", J917&lt;&gt;""), HYPERLINK("#'" &amp; C917 &amp; "'!" &amp; J917, J917), "")</f>
        <v/>
      </c>
    </row>
    <row r="918">
      <c r="B918" s="21">
        <f>IF(AND(C918&lt;&gt;"", J918&lt;&gt;""), HYPERLINK("#'" &amp; C918 &amp; "'!" &amp; J918, J918), "")</f>
        <v/>
      </c>
    </row>
    <row r="919">
      <c r="B919" s="21">
        <f>IF(AND(C919&lt;&gt;"", J919&lt;&gt;""), HYPERLINK("#'" &amp; C919 &amp; "'!" &amp; J919, J919), "")</f>
        <v/>
      </c>
    </row>
    <row r="920">
      <c r="B920" s="21">
        <f>IF(AND(C920&lt;&gt;"", J920&lt;&gt;""), HYPERLINK("#'" &amp; C920 &amp; "'!" &amp; J920, J920), "")</f>
        <v/>
      </c>
    </row>
    <row r="921">
      <c r="B921" s="21">
        <f>IF(AND(C921&lt;&gt;"", J921&lt;&gt;""), HYPERLINK("#'" &amp; C921 &amp; "'!" &amp; J921, J921), "")</f>
        <v/>
      </c>
    </row>
    <row r="922">
      <c r="B922" s="21">
        <f>IF(AND(C922&lt;&gt;"", J922&lt;&gt;""), HYPERLINK("#'" &amp; C922 &amp; "'!" &amp; J922, J922), "")</f>
        <v/>
      </c>
    </row>
    <row r="923">
      <c r="B923" s="21">
        <f>IF(AND(C923&lt;&gt;"", J923&lt;&gt;""), HYPERLINK("#'" &amp; C923 &amp; "'!" &amp; J923, J923), "")</f>
        <v/>
      </c>
    </row>
    <row r="924">
      <c r="B924" s="21">
        <f>IF(AND(C924&lt;&gt;"", J924&lt;&gt;""), HYPERLINK("#'" &amp; C924 &amp; "'!" &amp; J924, J924), "")</f>
        <v/>
      </c>
    </row>
    <row r="925">
      <c r="B925" s="21">
        <f>IF(AND(C925&lt;&gt;"", J925&lt;&gt;""), HYPERLINK("#'" &amp; C925 &amp; "'!" &amp; J925, J925), "")</f>
        <v/>
      </c>
    </row>
    <row r="926">
      <c r="B926" s="21">
        <f>IF(AND(C926&lt;&gt;"", J926&lt;&gt;""), HYPERLINK("#'" &amp; C926 &amp; "'!" &amp; J926, J926), "")</f>
        <v/>
      </c>
    </row>
    <row r="927">
      <c r="B927" s="21">
        <f>IF(AND(C927&lt;&gt;"", J927&lt;&gt;""), HYPERLINK("#'" &amp; C927 &amp; "'!" &amp; J927, J927), "")</f>
        <v/>
      </c>
    </row>
    <row r="928">
      <c r="B928" s="21">
        <f>IF(AND(C928&lt;&gt;"", J928&lt;&gt;""), HYPERLINK("#'" &amp; C928 &amp; "'!" &amp; J928, J928), "")</f>
        <v/>
      </c>
    </row>
    <row r="929">
      <c r="B929" s="21">
        <f>IF(AND(C929&lt;&gt;"", J929&lt;&gt;""), HYPERLINK("#'" &amp; C929 &amp; "'!" &amp; J929, J929), "")</f>
        <v/>
      </c>
    </row>
    <row r="930">
      <c r="B930" s="21">
        <f>IF(AND(C930&lt;&gt;"", J930&lt;&gt;""), HYPERLINK("#'" &amp; C930 &amp; "'!" &amp; J930, J930), "")</f>
        <v/>
      </c>
    </row>
    <row r="931">
      <c r="B931" s="21">
        <f>IF(AND(C931&lt;&gt;"", J931&lt;&gt;""), HYPERLINK("#'" &amp; C931 &amp; "'!" &amp; J931, J931), "")</f>
        <v/>
      </c>
    </row>
    <row r="932">
      <c r="B932" s="21">
        <f>IF(AND(C932&lt;&gt;"", J932&lt;&gt;""), HYPERLINK("#'" &amp; C932 &amp; "'!" &amp; J932, J932), "")</f>
        <v/>
      </c>
    </row>
    <row r="933">
      <c r="B933" s="21">
        <f>IF(AND(C933&lt;&gt;"", J933&lt;&gt;""), HYPERLINK("#'" &amp; C933 &amp; "'!" &amp; J933, J933), "")</f>
        <v/>
      </c>
    </row>
    <row r="934">
      <c r="B934" s="21">
        <f>IF(AND(C934&lt;&gt;"", J934&lt;&gt;""), HYPERLINK("#'" &amp; C934 &amp; "'!" &amp; J934, J934), "")</f>
        <v/>
      </c>
    </row>
    <row r="935">
      <c r="B935" s="21">
        <f>IF(AND(C935&lt;&gt;"", J935&lt;&gt;""), HYPERLINK("#'" &amp; C935 &amp; "'!" &amp; J935, J935), "")</f>
        <v/>
      </c>
    </row>
    <row r="936">
      <c r="B936" s="21">
        <f>IF(AND(C936&lt;&gt;"", J936&lt;&gt;""), HYPERLINK("#'" &amp; C936 &amp; "'!" &amp; J936, J936), "")</f>
        <v/>
      </c>
    </row>
    <row r="937">
      <c r="B937" s="21">
        <f>IF(AND(C937&lt;&gt;"", J937&lt;&gt;""), HYPERLINK("#'" &amp; C937 &amp; "'!" &amp; J937, J937), "")</f>
        <v/>
      </c>
    </row>
    <row r="938">
      <c r="B938" s="21">
        <f>IF(AND(C938&lt;&gt;"", J938&lt;&gt;""), HYPERLINK("#'" &amp; C938 &amp; "'!" &amp; J938, J938), "")</f>
        <v/>
      </c>
    </row>
    <row r="939">
      <c r="B939" s="21">
        <f>IF(AND(C939&lt;&gt;"", J939&lt;&gt;""), HYPERLINK("#'" &amp; C939 &amp; "'!" &amp; J939, J939), "")</f>
        <v/>
      </c>
    </row>
    <row r="940">
      <c r="B940" s="21">
        <f>IF(AND(C940&lt;&gt;"", J940&lt;&gt;""), HYPERLINK("#'" &amp; C940 &amp; "'!" &amp; J940, J940), "")</f>
        <v/>
      </c>
    </row>
    <row r="941">
      <c r="B941" s="21">
        <f>IF(AND(C941&lt;&gt;"", J941&lt;&gt;""), HYPERLINK("#'" &amp; C941 &amp; "'!" &amp; J941, J941), "")</f>
        <v/>
      </c>
    </row>
    <row r="942">
      <c r="B942" s="21">
        <f>IF(AND(C942&lt;&gt;"", J942&lt;&gt;""), HYPERLINK("#'" &amp; C942 &amp; "'!" &amp; J942, J942), "")</f>
        <v/>
      </c>
    </row>
    <row r="943">
      <c r="B943" s="21">
        <f>IF(AND(C943&lt;&gt;"", J943&lt;&gt;""), HYPERLINK("#'" &amp; C943 &amp; "'!" &amp; J943, J943), "")</f>
        <v/>
      </c>
    </row>
    <row r="944">
      <c r="B944" s="21">
        <f>IF(AND(C944&lt;&gt;"", J944&lt;&gt;""), HYPERLINK("#'" &amp; C944 &amp; "'!" &amp; J944, J944), "")</f>
        <v/>
      </c>
    </row>
    <row r="945">
      <c r="B945" s="21">
        <f>IF(AND(C945&lt;&gt;"", J945&lt;&gt;""), HYPERLINK("#'" &amp; C945 &amp; "'!" &amp; J945, J945), "")</f>
        <v/>
      </c>
    </row>
    <row r="946">
      <c r="B946" s="21">
        <f>IF(AND(C946&lt;&gt;"", J946&lt;&gt;""), HYPERLINK("#'" &amp; C946 &amp; "'!" &amp; J946, J946), "")</f>
        <v/>
      </c>
    </row>
    <row r="947">
      <c r="B947" s="21">
        <f>IF(AND(C947&lt;&gt;"", J947&lt;&gt;""), HYPERLINK("#'" &amp; C947 &amp; "'!" &amp; J947, J947), "")</f>
        <v/>
      </c>
    </row>
    <row r="948">
      <c r="B948" s="21">
        <f>IF(AND(C948&lt;&gt;"", J948&lt;&gt;""), HYPERLINK("#'" &amp; C948 &amp; "'!" &amp; J948, J948), "")</f>
        <v/>
      </c>
    </row>
    <row r="949">
      <c r="B949" s="21">
        <f>IF(AND(C949&lt;&gt;"", J949&lt;&gt;""), HYPERLINK("#'" &amp; C949 &amp; "'!" &amp; J949, J949), "")</f>
        <v/>
      </c>
    </row>
    <row r="950">
      <c r="B950" s="21">
        <f>IF(AND(C950&lt;&gt;"", J950&lt;&gt;""), HYPERLINK("#'" &amp; C950 &amp; "'!" &amp; J950, J950), "")</f>
        <v/>
      </c>
    </row>
    <row r="951">
      <c r="B951" s="21">
        <f>IF(AND(C951&lt;&gt;"", J951&lt;&gt;""), HYPERLINK("#'" &amp; C951 &amp; "'!" &amp; J951, J951), "")</f>
        <v/>
      </c>
    </row>
    <row r="952">
      <c r="B952" s="21">
        <f>IF(AND(C952&lt;&gt;"", J952&lt;&gt;""), HYPERLINK("#'" &amp; C952 &amp; "'!" &amp; J952, J952), "")</f>
        <v/>
      </c>
    </row>
    <row r="953">
      <c r="B953" s="21">
        <f>IF(AND(C953&lt;&gt;"", J953&lt;&gt;""), HYPERLINK("#'" &amp; C953 &amp; "'!" &amp; J953, J953), "")</f>
        <v/>
      </c>
    </row>
    <row r="954">
      <c r="B954" s="21">
        <f>IF(AND(C954&lt;&gt;"", J954&lt;&gt;""), HYPERLINK("#'" &amp; C954 &amp; "'!" &amp; J954, J954), "")</f>
        <v/>
      </c>
    </row>
    <row r="955">
      <c r="B955" s="21">
        <f>IF(AND(C955&lt;&gt;"", J955&lt;&gt;""), HYPERLINK("#'" &amp; C955 &amp; "'!" &amp; J955, J955), "")</f>
        <v/>
      </c>
    </row>
    <row r="956">
      <c r="B956" s="21">
        <f>IF(AND(C956&lt;&gt;"", J956&lt;&gt;""), HYPERLINK("#'" &amp; C956 &amp; "'!" &amp; J956, J956), "")</f>
        <v/>
      </c>
    </row>
    <row r="957">
      <c r="B957" s="21">
        <f>IF(AND(C957&lt;&gt;"", J957&lt;&gt;""), HYPERLINK("#'" &amp; C957 &amp; "'!" &amp; J957, J957), "")</f>
        <v/>
      </c>
    </row>
    <row r="958">
      <c r="B958" s="21">
        <f>IF(AND(C958&lt;&gt;"", J958&lt;&gt;""), HYPERLINK("#'" &amp; C958 &amp; "'!" &amp; J958, J958), "")</f>
        <v/>
      </c>
    </row>
    <row r="959">
      <c r="B959" s="21">
        <f>IF(AND(C959&lt;&gt;"", J959&lt;&gt;""), HYPERLINK("#'" &amp; C959 &amp; "'!" &amp; J959, J959), "")</f>
        <v/>
      </c>
    </row>
    <row r="960">
      <c r="B960" s="21">
        <f>IF(AND(C960&lt;&gt;"", J960&lt;&gt;""), HYPERLINK("#'" &amp; C960 &amp; "'!" &amp; J960, J960), "")</f>
        <v/>
      </c>
    </row>
    <row r="961">
      <c r="B961" s="21">
        <f>IF(AND(C961&lt;&gt;"", J961&lt;&gt;""), HYPERLINK("#'" &amp; C961 &amp; "'!" &amp; J961, J961), "")</f>
        <v/>
      </c>
    </row>
    <row r="962">
      <c r="B962" s="21">
        <f>IF(AND(C962&lt;&gt;"", J962&lt;&gt;""), HYPERLINK("#'" &amp; C962 &amp; "'!" &amp; J962, J962), "")</f>
        <v/>
      </c>
    </row>
    <row r="963">
      <c r="B963" s="21">
        <f>IF(AND(C963&lt;&gt;"", J963&lt;&gt;""), HYPERLINK("#'" &amp; C963 &amp; "'!" &amp; J963, J963), "")</f>
        <v/>
      </c>
    </row>
    <row r="964">
      <c r="B964" s="21">
        <f>IF(AND(C964&lt;&gt;"", J964&lt;&gt;""), HYPERLINK("#'" &amp; C964 &amp; "'!" &amp; J964, J964), "")</f>
        <v/>
      </c>
    </row>
    <row r="965">
      <c r="B965" s="21">
        <f>IF(AND(C965&lt;&gt;"", J965&lt;&gt;""), HYPERLINK("#'" &amp; C965 &amp; "'!" &amp; J965, J965), "")</f>
        <v/>
      </c>
    </row>
    <row r="966">
      <c r="B966" s="21">
        <f>IF(AND(C966&lt;&gt;"", J966&lt;&gt;""), HYPERLINK("#'" &amp; C966 &amp; "'!" &amp; J966, J966), "")</f>
        <v/>
      </c>
    </row>
    <row r="967">
      <c r="B967" s="21">
        <f>IF(AND(C967&lt;&gt;"", J967&lt;&gt;""), HYPERLINK("#'" &amp; C967 &amp; "'!" &amp; J967, J967), "")</f>
        <v/>
      </c>
    </row>
    <row r="968">
      <c r="B968" s="21">
        <f>IF(AND(C968&lt;&gt;"", J968&lt;&gt;""), HYPERLINK("#'" &amp; C968 &amp; "'!" &amp; J968, J968), "")</f>
        <v/>
      </c>
    </row>
    <row r="969">
      <c r="B969" s="21">
        <f>IF(AND(C969&lt;&gt;"", J969&lt;&gt;""), HYPERLINK("#'" &amp; C969 &amp; "'!" &amp; J969, J969), "")</f>
        <v/>
      </c>
    </row>
    <row r="970">
      <c r="B970" s="21">
        <f>IF(AND(C970&lt;&gt;"", J970&lt;&gt;""), HYPERLINK("#'" &amp; C970 &amp; "'!" &amp; J970, J970), "")</f>
        <v/>
      </c>
    </row>
    <row r="971">
      <c r="B971" s="21">
        <f>IF(AND(C971&lt;&gt;"", J971&lt;&gt;""), HYPERLINK("#'" &amp; C971 &amp; "'!" &amp; J971, J971), "")</f>
        <v/>
      </c>
    </row>
    <row r="972">
      <c r="B972" s="21">
        <f>IF(AND(C972&lt;&gt;"", J972&lt;&gt;""), HYPERLINK("#'" &amp; C972 &amp; "'!" &amp; J972, J972), "")</f>
        <v/>
      </c>
    </row>
    <row r="973">
      <c r="B973" s="21">
        <f>IF(AND(C973&lt;&gt;"", J973&lt;&gt;""), HYPERLINK("#'" &amp; C973 &amp; "'!" &amp; J973, J973), "")</f>
        <v/>
      </c>
    </row>
    <row r="974">
      <c r="B974" s="21">
        <f>IF(AND(C974&lt;&gt;"", J974&lt;&gt;""), HYPERLINK("#'" &amp; C974 &amp; "'!" &amp; J974, J974), "")</f>
        <v/>
      </c>
    </row>
    <row r="975">
      <c r="B975" s="21">
        <f>IF(AND(C975&lt;&gt;"", J975&lt;&gt;""), HYPERLINK("#'" &amp; C975 &amp; "'!" &amp; J975, J975), "")</f>
        <v/>
      </c>
    </row>
    <row r="976">
      <c r="B976" s="21">
        <f>IF(AND(C976&lt;&gt;"", J976&lt;&gt;""), HYPERLINK("#'" &amp; C976 &amp; "'!" &amp; J976, J976), "")</f>
        <v/>
      </c>
    </row>
    <row r="977">
      <c r="B977" s="21">
        <f>IF(AND(C977&lt;&gt;"", J977&lt;&gt;""), HYPERLINK("#'" &amp; C977 &amp; "'!" &amp; J977, J977), "")</f>
        <v/>
      </c>
    </row>
    <row r="978">
      <c r="B978" s="21">
        <f>IF(AND(C978&lt;&gt;"", J978&lt;&gt;""), HYPERLINK("#'" &amp; C978 &amp; "'!" &amp; J978, J978), "")</f>
        <v/>
      </c>
    </row>
    <row r="979">
      <c r="B979" s="21">
        <f>IF(AND(C979&lt;&gt;"", J979&lt;&gt;""), HYPERLINK("#'" &amp; C979 &amp; "'!" &amp; J979, J979), "")</f>
        <v/>
      </c>
    </row>
    <row r="980">
      <c r="B980" s="21">
        <f>IF(AND(C980&lt;&gt;"", J980&lt;&gt;""), HYPERLINK("#'" &amp; C980 &amp; "'!" &amp; J980, J980), "")</f>
        <v/>
      </c>
    </row>
    <row r="981">
      <c r="B981" s="21">
        <f>IF(AND(C981&lt;&gt;"", J981&lt;&gt;""), HYPERLINK("#'" &amp; C981 &amp; "'!" &amp; J981, J981), "")</f>
        <v/>
      </c>
    </row>
    <row r="982">
      <c r="B982" s="21">
        <f>IF(AND(C982&lt;&gt;"", J982&lt;&gt;""), HYPERLINK("#'" &amp; C982 &amp; "'!" &amp; J982, J982), "")</f>
        <v/>
      </c>
    </row>
    <row r="983">
      <c r="B983" s="21">
        <f>IF(AND(C983&lt;&gt;"", J983&lt;&gt;""), HYPERLINK("#'" &amp; C983 &amp; "'!" &amp; J983, J983), "")</f>
        <v/>
      </c>
    </row>
    <row r="984">
      <c r="B984" s="21">
        <f>IF(AND(C984&lt;&gt;"", J984&lt;&gt;""), HYPERLINK("#'" &amp; C984 &amp; "'!" &amp; J984, J984), "")</f>
        <v/>
      </c>
    </row>
    <row r="985">
      <c r="B985" s="21">
        <f>IF(AND(C985&lt;&gt;"", J985&lt;&gt;""), HYPERLINK("#'" &amp; C985 &amp; "'!" &amp; J985, J985), "")</f>
        <v/>
      </c>
    </row>
    <row r="986">
      <c r="B986" s="21">
        <f>IF(AND(C986&lt;&gt;"", J986&lt;&gt;""), HYPERLINK("#'" &amp; C986 &amp; "'!" &amp; J986, J986), "")</f>
        <v/>
      </c>
    </row>
    <row r="987">
      <c r="B987" s="21">
        <f>IF(AND(C987&lt;&gt;"", J987&lt;&gt;""), HYPERLINK("#'" &amp; C987 &amp; "'!" &amp; J987, J987), "")</f>
        <v/>
      </c>
    </row>
    <row r="988">
      <c r="B988" s="21">
        <f>IF(AND(C988&lt;&gt;"", J988&lt;&gt;""), HYPERLINK("#'" &amp; C988 &amp; "'!" &amp; J988, J988), "")</f>
        <v/>
      </c>
    </row>
    <row r="989">
      <c r="B989" s="21">
        <f>IF(AND(C989&lt;&gt;"", J989&lt;&gt;""), HYPERLINK("#'" &amp; C989 &amp; "'!" &amp; J989, J989), "")</f>
        <v/>
      </c>
    </row>
    <row r="990">
      <c r="B990" s="21">
        <f>IF(AND(C990&lt;&gt;"", J990&lt;&gt;""), HYPERLINK("#'" &amp; C990 &amp; "'!" &amp; J990, J990), "")</f>
        <v/>
      </c>
    </row>
    <row r="991">
      <c r="B991" s="21">
        <f>IF(AND(C991&lt;&gt;"", J991&lt;&gt;""), HYPERLINK("#'" &amp; C991 &amp; "'!" &amp; J991, J991), "")</f>
        <v/>
      </c>
    </row>
    <row r="992">
      <c r="B992" s="21">
        <f>IF(AND(C992&lt;&gt;"", J992&lt;&gt;""), HYPERLINK("#'" &amp; C992 &amp; "'!" &amp; J992, J992), "")</f>
        <v/>
      </c>
    </row>
    <row r="993">
      <c r="B993" s="21">
        <f>IF(AND(C993&lt;&gt;"", J993&lt;&gt;""), HYPERLINK("#'" &amp; C993 &amp; "'!" &amp; J993, J993), "")</f>
        <v/>
      </c>
    </row>
    <row r="994">
      <c r="B994" s="21">
        <f>IF(AND(C994&lt;&gt;"", J994&lt;&gt;""), HYPERLINK("#'" &amp; C994 &amp; "'!" &amp; J994, J994), "")</f>
        <v/>
      </c>
    </row>
    <row r="995">
      <c r="B995" s="21">
        <f>IF(AND(C995&lt;&gt;"", J995&lt;&gt;""), HYPERLINK("#'" &amp; C995 &amp; "'!" &amp; J995, J995), "")</f>
        <v/>
      </c>
    </row>
    <row r="996">
      <c r="B996" s="21">
        <f>IF(AND(C996&lt;&gt;"", J996&lt;&gt;""), HYPERLINK("#'" &amp; C996 &amp; "'!" &amp; J996, J996), "")</f>
        <v/>
      </c>
    </row>
    <row r="997">
      <c r="B997" s="21">
        <f>IF(AND(C997&lt;&gt;"", J997&lt;&gt;""), HYPERLINK("#'" &amp; C997 &amp; "'!" &amp; J997, J997), "")</f>
        <v/>
      </c>
    </row>
    <row r="998">
      <c r="B998" s="21">
        <f>IF(AND(C998&lt;&gt;"", J998&lt;&gt;""), HYPERLINK("#'" &amp; C998 &amp; "'!" &amp; J998, J998), "")</f>
        <v/>
      </c>
    </row>
    <row r="999">
      <c r="B999" s="21">
        <f>IF(AND(C999&lt;&gt;"", J999&lt;&gt;""), HYPERLINK("#'" &amp; C999 &amp; "'!" &amp; J999, J999), "")</f>
        <v/>
      </c>
    </row>
    <row r="1000">
      <c r="B1000" s="21">
        <f>IF(AND(C1000&lt;&gt;"", J1000&lt;&gt;""), HYPERLINK("#'" &amp; C1000 &amp; "'!" &amp; J1000, J1000), "")</f>
        <v/>
      </c>
    </row>
    <row r="1001">
      <c r="B1001" s="21">
        <f>IF(AND(C1001&lt;&gt;"", J1001&lt;&gt;""), HYPERLINK("#'" &amp; C1001 &amp; "'!" &amp; J1001, J1001), "")</f>
        <v/>
      </c>
    </row>
    <row r="1002">
      <c r="B1002" s="21">
        <f>IF(AND(C1002&lt;&gt;"", J1002&lt;&gt;""), HYPERLINK("#'" &amp; C1002 &amp; "'!" &amp; J1002, J1002), "")</f>
        <v/>
      </c>
    </row>
    <row r="1003">
      <c r="B1003" s="21">
        <f>IF(AND(C1003&lt;&gt;"", J1003&lt;&gt;""), HYPERLINK("#'" &amp; C1003 &amp; "'!" &amp; J1003, J1003), "")</f>
        <v/>
      </c>
    </row>
    <row r="1004">
      <c r="B1004" s="21">
        <f>IF(AND(C1004&lt;&gt;"", J1004&lt;&gt;""), HYPERLINK("#'" &amp; C1004 &amp; "'!" &amp; J1004, J1004), "")</f>
        <v/>
      </c>
    </row>
    <row r="1005">
      <c r="B1005" s="21">
        <f>IF(AND(C1005&lt;&gt;"", J1005&lt;&gt;""), HYPERLINK("#'" &amp; C1005 &amp; "'!" &amp; J1005, J1005), "")</f>
        <v/>
      </c>
    </row>
    <row r="1006">
      <c r="B1006" s="21">
        <f>IF(AND(C1006&lt;&gt;"", J1006&lt;&gt;""), HYPERLINK("#'" &amp; C1006 &amp; "'!" &amp; J1006, J1006), "")</f>
        <v/>
      </c>
    </row>
    <row r="1007">
      <c r="B1007" s="21">
        <f>IF(AND(C1007&lt;&gt;"", J1007&lt;&gt;""), HYPERLINK("#'" &amp; C1007 &amp; "'!" &amp; J1007, J1007), "")</f>
        <v/>
      </c>
    </row>
    <row r="1008">
      <c r="B1008" s="21">
        <f>IF(AND(C1008&lt;&gt;"", J1008&lt;&gt;""), HYPERLINK("#'" &amp; C1008 &amp; "'!" &amp; J1008, J1008), "")</f>
        <v/>
      </c>
    </row>
    <row r="1009">
      <c r="B1009" s="21">
        <f>IF(AND(C1009&lt;&gt;"", J1009&lt;&gt;""), HYPERLINK("#'" &amp; C1009 &amp; "'!" &amp; J1009, J1009), "")</f>
        <v/>
      </c>
    </row>
    <row r="1010">
      <c r="B1010" s="21">
        <f>IF(AND(C1010&lt;&gt;"", J1010&lt;&gt;""), HYPERLINK("#'" &amp; C1010 &amp; "'!" &amp; J1010, J1010), "")</f>
        <v/>
      </c>
    </row>
    <row r="1011">
      <c r="B1011" s="21">
        <f>IF(AND(C1011&lt;&gt;"", J1011&lt;&gt;""), HYPERLINK("#'" &amp; C1011 &amp; "'!" &amp; J1011, J1011), "")</f>
        <v/>
      </c>
    </row>
    <row r="1012">
      <c r="B1012" s="21">
        <f>IF(AND(C1012&lt;&gt;"", J1012&lt;&gt;""), HYPERLINK("#'" &amp; C1012 &amp; "'!" &amp; J1012, J1012), "")</f>
        <v/>
      </c>
    </row>
    <row r="1013">
      <c r="B1013" s="21">
        <f>IF(AND(C1013&lt;&gt;"", J1013&lt;&gt;""), HYPERLINK("#'" &amp; C1013 &amp; "'!" &amp; J1013, J1013), "")</f>
        <v/>
      </c>
    </row>
    <row r="1014">
      <c r="B1014" s="21">
        <f>IF(AND(C1014&lt;&gt;"", J1014&lt;&gt;""), HYPERLINK("#'" &amp; C1014 &amp; "'!" &amp; J1014, J1014), "")</f>
        <v/>
      </c>
    </row>
    <row r="1015">
      <c r="B1015" s="21">
        <f>IF(AND(C1015&lt;&gt;"", J1015&lt;&gt;""), HYPERLINK("#'" &amp; C1015 &amp; "'!" &amp; J1015, J1015), "")</f>
        <v/>
      </c>
    </row>
    <row r="1016">
      <c r="B1016" s="21">
        <f>IF(AND(C1016&lt;&gt;"", J1016&lt;&gt;""), HYPERLINK("#'" &amp; C1016 &amp; "'!" &amp; J1016, J1016), "")</f>
        <v/>
      </c>
    </row>
    <row r="1017">
      <c r="B1017" s="21">
        <f>IF(AND(C1017&lt;&gt;"", J1017&lt;&gt;""), HYPERLINK("#'" &amp; C1017 &amp; "'!" &amp; J1017, J1017), "")</f>
        <v/>
      </c>
    </row>
    <row r="1018">
      <c r="B1018" s="21">
        <f>IF(AND(C1018&lt;&gt;"", J1018&lt;&gt;""), HYPERLINK("#'" &amp; C1018 &amp; "'!" &amp; J1018, J1018), "")</f>
        <v/>
      </c>
    </row>
    <row r="1019">
      <c r="B1019" s="21">
        <f>IF(AND(C1019&lt;&gt;"", J1019&lt;&gt;""), HYPERLINK("#'" &amp; C1019 &amp; "'!" &amp; J1019, J1019), "")</f>
        <v/>
      </c>
    </row>
    <row r="1020">
      <c r="B1020" s="21">
        <f>IF(AND(C1020&lt;&gt;"", J1020&lt;&gt;""), HYPERLINK("#'" &amp; C1020 &amp; "'!" &amp; J1020, J1020), "")</f>
        <v/>
      </c>
    </row>
    <row r="1021">
      <c r="B1021" s="21">
        <f>IF(AND(C1021&lt;&gt;"", J1021&lt;&gt;""), HYPERLINK("#'" &amp; C1021 &amp; "'!" &amp; J1021, J1021), "")</f>
        <v/>
      </c>
    </row>
    <row r="1022">
      <c r="B1022" s="21">
        <f>IF(AND(C1022&lt;&gt;"", J1022&lt;&gt;""), HYPERLINK("#'" &amp; C1022 &amp; "'!" &amp; J1022, J1022), "")</f>
        <v/>
      </c>
    </row>
    <row r="1023">
      <c r="B1023" s="21">
        <f>IF(AND(C1023&lt;&gt;"", J1023&lt;&gt;""), HYPERLINK("#'" &amp; C1023 &amp; "'!" &amp; J1023, J1023), "")</f>
        <v/>
      </c>
    </row>
    <row r="1024">
      <c r="B1024" s="21">
        <f>IF(AND(C1024&lt;&gt;"", J1024&lt;&gt;""), HYPERLINK("#'" &amp; C1024 &amp; "'!" &amp; J1024, J1024), "")</f>
        <v/>
      </c>
    </row>
    <row r="1025">
      <c r="B1025" s="21">
        <f>IF(AND(C1025&lt;&gt;"", J1025&lt;&gt;""), HYPERLINK("#'" &amp; C1025 &amp; "'!" &amp; J1025, J1025), "")</f>
        <v/>
      </c>
    </row>
    <row r="1026">
      <c r="B1026" s="21">
        <f>IF(AND(C1026&lt;&gt;"", J1026&lt;&gt;""), HYPERLINK("#'" &amp; C1026 &amp; "'!" &amp; J1026, J1026), "")</f>
        <v/>
      </c>
    </row>
    <row r="1027">
      <c r="B1027" s="21">
        <f>IF(AND(C1027&lt;&gt;"", J1027&lt;&gt;""), HYPERLINK("#'" &amp; C1027 &amp; "'!" &amp; J1027, J1027), "")</f>
        <v/>
      </c>
    </row>
    <row r="1028">
      <c r="B1028" s="21">
        <f>IF(AND(C1028&lt;&gt;"", J1028&lt;&gt;""), HYPERLINK("#'" &amp; C1028 &amp; "'!" &amp; J1028, J1028), "")</f>
        <v/>
      </c>
    </row>
    <row r="1029">
      <c r="B1029" s="21">
        <f>IF(AND(C1029&lt;&gt;"", J1029&lt;&gt;""), HYPERLINK("#'" &amp; C1029 &amp; "'!" &amp; J1029, J1029), "")</f>
        <v/>
      </c>
    </row>
    <row r="1030">
      <c r="B1030" s="21">
        <f>IF(AND(C1030&lt;&gt;"", J1030&lt;&gt;""), HYPERLINK("#'" &amp; C1030 &amp; "'!" &amp; J1030, J1030), "")</f>
        <v/>
      </c>
    </row>
    <row r="1031">
      <c r="B1031" s="21">
        <f>IF(AND(C1031&lt;&gt;"", J1031&lt;&gt;""), HYPERLINK("#'" &amp; C1031 &amp; "'!" &amp; J1031, J1031), "")</f>
        <v/>
      </c>
    </row>
    <row r="1032">
      <c r="B1032" s="21">
        <f>IF(AND(C1032&lt;&gt;"", J1032&lt;&gt;""), HYPERLINK("#'" &amp; C1032 &amp; "'!" &amp; J1032, J1032), "")</f>
        <v/>
      </c>
    </row>
    <row r="1033">
      <c r="B1033" s="21">
        <f>IF(AND(C1033&lt;&gt;"", J1033&lt;&gt;""), HYPERLINK("#'" &amp; C1033 &amp; "'!" &amp; J1033, J1033), "")</f>
        <v/>
      </c>
    </row>
    <row r="1034">
      <c r="B1034" s="21">
        <f>IF(AND(C1034&lt;&gt;"", J1034&lt;&gt;""), HYPERLINK("#'" &amp; C1034 &amp; "'!" &amp; J1034, J1034), "")</f>
        <v/>
      </c>
    </row>
    <row r="1035">
      <c r="B1035" s="21">
        <f>IF(AND(C1035&lt;&gt;"", J1035&lt;&gt;""), HYPERLINK("#'" &amp; C1035 &amp; "'!" &amp; J1035, J1035), "")</f>
        <v/>
      </c>
    </row>
    <row r="1036">
      <c r="B1036" s="21">
        <f>IF(AND(C1036&lt;&gt;"", J1036&lt;&gt;""), HYPERLINK("#'" &amp; C1036 &amp; "'!" &amp; J1036, J1036), "")</f>
        <v/>
      </c>
    </row>
    <row r="1037">
      <c r="B1037" s="21">
        <f>IF(AND(C1037&lt;&gt;"", J1037&lt;&gt;""), HYPERLINK("#'" &amp; C1037 &amp; "'!" &amp; J1037, J1037), "")</f>
        <v/>
      </c>
    </row>
    <row r="1038">
      <c r="B1038" s="21">
        <f>IF(AND(C1038&lt;&gt;"", J1038&lt;&gt;""), HYPERLINK("#'" &amp; C1038 &amp; "'!" &amp; J1038, J1038), "")</f>
        <v/>
      </c>
    </row>
    <row r="1039">
      <c r="B1039" s="21">
        <f>IF(AND(C1039&lt;&gt;"", J1039&lt;&gt;""), HYPERLINK("#'" &amp; C1039 &amp; "'!" &amp; J1039, J1039), "")</f>
        <v/>
      </c>
    </row>
    <row r="1040">
      <c r="B1040" s="21">
        <f>IF(AND(C1040&lt;&gt;"", J1040&lt;&gt;""), HYPERLINK("#'" &amp; C1040 &amp; "'!" &amp; J1040, J1040), "")</f>
        <v/>
      </c>
    </row>
    <row r="1041">
      <c r="B1041" s="21">
        <f>IF(AND(C1041&lt;&gt;"", J1041&lt;&gt;""), HYPERLINK("#'" &amp; C1041 &amp; "'!" &amp; J1041, J1041), "")</f>
        <v/>
      </c>
    </row>
    <row r="1042">
      <c r="B1042" s="21">
        <f>IF(AND(C1042&lt;&gt;"", J1042&lt;&gt;""), HYPERLINK("#'" &amp; C1042 &amp; "'!" &amp; J1042, J1042), "")</f>
        <v/>
      </c>
    </row>
    <row r="1043">
      <c r="B1043" s="21">
        <f>IF(AND(C1043&lt;&gt;"", J1043&lt;&gt;""), HYPERLINK("#'" &amp; C1043 &amp; "'!" &amp; J1043, J1043), "")</f>
        <v/>
      </c>
    </row>
    <row r="1044">
      <c r="B1044" s="21">
        <f>IF(AND(C1044&lt;&gt;"", J1044&lt;&gt;""), HYPERLINK("#'" &amp; C1044 &amp; "'!" &amp; J1044, J1044), "")</f>
        <v/>
      </c>
    </row>
    <row r="1045">
      <c r="B1045" s="21">
        <f>IF(AND(C1045&lt;&gt;"", J1045&lt;&gt;""), HYPERLINK("#'" &amp; C1045 &amp; "'!" &amp; J1045, J1045), "")</f>
        <v/>
      </c>
    </row>
    <row r="1046">
      <c r="B1046" s="21">
        <f>IF(AND(C1046&lt;&gt;"", J1046&lt;&gt;""), HYPERLINK("#'" &amp; C1046 &amp; "'!" &amp; J1046, J1046), "")</f>
        <v/>
      </c>
    </row>
    <row r="1047">
      <c r="B1047" s="21">
        <f>IF(AND(C1047&lt;&gt;"", J1047&lt;&gt;""), HYPERLINK("#'" &amp; C1047 &amp; "'!" &amp; J1047, J1047), "")</f>
        <v/>
      </c>
    </row>
    <row r="1048">
      <c r="B1048" s="21">
        <f>IF(AND(C1048&lt;&gt;"", J1048&lt;&gt;""), HYPERLINK("#'" &amp; C1048 &amp; "'!" &amp; J1048, J1048), "")</f>
        <v/>
      </c>
    </row>
    <row r="1049">
      <c r="B1049" s="21">
        <f>IF(AND(C1049&lt;&gt;"", J1049&lt;&gt;""), HYPERLINK("#'" &amp; C1049 &amp; "'!" &amp; J1049, J1049), "")</f>
        <v/>
      </c>
    </row>
    <row r="1050">
      <c r="B1050" s="21">
        <f>IF(AND(C1050&lt;&gt;"", J1050&lt;&gt;""), HYPERLINK("#'" &amp; C1050 &amp; "'!" &amp; J1050, J1050), "")</f>
        <v/>
      </c>
    </row>
    <row r="1051">
      <c r="B1051" s="21">
        <f>IF(AND(C1051&lt;&gt;"", J1051&lt;&gt;""), HYPERLINK("#'" &amp; C1051 &amp; "'!" &amp; J1051, J1051), "")</f>
        <v/>
      </c>
    </row>
    <row r="1052">
      <c r="B1052" s="21">
        <f>IF(AND(C1052&lt;&gt;"", J1052&lt;&gt;""), HYPERLINK("#'" &amp; C1052 &amp; "'!" &amp; J1052, J1052), "")</f>
        <v/>
      </c>
    </row>
    <row r="1053">
      <c r="B1053" s="21">
        <f>IF(AND(C1053&lt;&gt;"", J1053&lt;&gt;""), HYPERLINK("#'" &amp; C1053 &amp; "'!" &amp; J1053, J1053), "")</f>
        <v/>
      </c>
    </row>
    <row r="1054">
      <c r="B1054" s="21">
        <f>IF(AND(C1054&lt;&gt;"", J1054&lt;&gt;""), HYPERLINK("#'" &amp; C1054 &amp; "'!" &amp; J1054, J1054), "")</f>
        <v/>
      </c>
    </row>
    <row r="1055">
      <c r="B1055" s="21">
        <f>IF(AND(C1055&lt;&gt;"", J1055&lt;&gt;""), HYPERLINK("#'" &amp; C1055 &amp; "'!" &amp; J1055, J1055), "")</f>
        <v/>
      </c>
    </row>
    <row r="1056">
      <c r="B1056" s="21">
        <f>IF(AND(C1056&lt;&gt;"", J1056&lt;&gt;""), HYPERLINK("#'" &amp; C1056 &amp; "'!" &amp; J1056, J1056), "")</f>
        <v/>
      </c>
    </row>
    <row r="1057">
      <c r="B1057" s="21">
        <f>IF(AND(C1057&lt;&gt;"", J1057&lt;&gt;""), HYPERLINK("#'" &amp; C1057 &amp; "'!" &amp; J1057, J1057), "")</f>
        <v/>
      </c>
    </row>
    <row r="1058">
      <c r="B1058" s="21">
        <f>IF(AND(C1058&lt;&gt;"", J1058&lt;&gt;""), HYPERLINK("#'" &amp; C1058 &amp; "'!" &amp; J1058, J1058), "")</f>
        <v/>
      </c>
    </row>
    <row r="1059">
      <c r="B1059" s="21">
        <f>IF(AND(C1059&lt;&gt;"", J1059&lt;&gt;""), HYPERLINK("#'" &amp; C1059 &amp; "'!" &amp; J1059, J1059), "")</f>
        <v/>
      </c>
    </row>
    <row r="1060">
      <c r="B1060" s="21">
        <f>IF(AND(C1060&lt;&gt;"", J1060&lt;&gt;""), HYPERLINK("#'" &amp; C1060 &amp; "'!" &amp; J1060, J1060), "")</f>
        <v/>
      </c>
    </row>
    <row r="1061">
      <c r="B1061" s="21">
        <f>IF(AND(C1061&lt;&gt;"", J1061&lt;&gt;""), HYPERLINK("#'" &amp; C1061 &amp; "'!" &amp; J1061, J1061), "")</f>
        <v/>
      </c>
    </row>
    <row r="1062">
      <c r="B1062" s="21">
        <f>IF(AND(C1062&lt;&gt;"", J1062&lt;&gt;""), HYPERLINK("#'" &amp; C1062 &amp; "'!" &amp; J1062, J1062), "")</f>
        <v/>
      </c>
    </row>
    <row r="1063">
      <c r="B1063" s="21">
        <f>IF(AND(C1063&lt;&gt;"", J1063&lt;&gt;""), HYPERLINK("#'" &amp; C1063 &amp; "'!" &amp; J1063, J1063), "")</f>
        <v/>
      </c>
    </row>
    <row r="1064">
      <c r="B1064" s="21">
        <f>IF(AND(C1064&lt;&gt;"", J1064&lt;&gt;""), HYPERLINK("#'" &amp; C1064 &amp; "'!" &amp; J1064, J1064), "")</f>
        <v/>
      </c>
    </row>
    <row r="1065">
      <c r="B1065" s="21">
        <f>IF(AND(C1065&lt;&gt;"", J1065&lt;&gt;""), HYPERLINK("#'" &amp; C1065 &amp; "'!" &amp; J1065, J1065), "")</f>
        <v/>
      </c>
    </row>
    <row r="1066">
      <c r="B1066" s="21">
        <f>IF(AND(C1066&lt;&gt;"", J1066&lt;&gt;""), HYPERLINK("#'" &amp; C1066 &amp; "'!" &amp; J1066, J1066), "")</f>
        <v/>
      </c>
    </row>
    <row r="1067">
      <c r="B1067" s="21">
        <f>IF(AND(C1067&lt;&gt;"", J1067&lt;&gt;""), HYPERLINK("#'" &amp; C1067 &amp; "'!" &amp; J1067, J1067), "")</f>
        <v/>
      </c>
    </row>
    <row r="1068">
      <c r="B1068" s="21">
        <f>IF(AND(C1068&lt;&gt;"", J1068&lt;&gt;""), HYPERLINK("#'" &amp; C1068 &amp; "'!" &amp; J1068, J1068), "")</f>
        <v/>
      </c>
    </row>
    <row r="1069">
      <c r="B1069" s="21">
        <f>IF(AND(C1069&lt;&gt;"", J1069&lt;&gt;""), HYPERLINK("#'" &amp; C1069 &amp; "'!" &amp; J1069, J1069), "")</f>
        <v/>
      </c>
    </row>
    <row r="1070">
      <c r="B1070" s="21">
        <f>IF(AND(C1070&lt;&gt;"", J1070&lt;&gt;""), HYPERLINK("#'" &amp; C1070 &amp; "'!" &amp; J1070, J1070), "")</f>
        <v/>
      </c>
    </row>
    <row r="1071">
      <c r="B1071" s="21">
        <f>IF(AND(C1071&lt;&gt;"", J1071&lt;&gt;""), HYPERLINK("#'" &amp; C1071 &amp; "'!" &amp; J1071, J1071), "")</f>
        <v/>
      </c>
    </row>
    <row r="1072">
      <c r="B1072" s="21">
        <f>IF(AND(C1072&lt;&gt;"", J1072&lt;&gt;""), HYPERLINK("#'" &amp; C1072 &amp; "'!" &amp; J1072, J1072), "")</f>
        <v/>
      </c>
    </row>
    <row r="1073">
      <c r="B1073" s="21">
        <f>IF(AND(C1073&lt;&gt;"", J1073&lt;&gt;""), HYPERLINK("#'" &amp; C1073 &amp; "'!" &amp; J1073, J1073), "")</f>
        <v/>
      </c>
    </row>
    <row r="1074">
      <c r="B1074" s="21">
        <f>IF(AND(C1074&lt;&gt;"", J1074&lt;&gt;""), HYPERLINK("#'" &amp; C1074 &amp; "'!" &amp; J1074, J1074), "")</f>
        <v/>
      </c>
    </row>
    <row r="1075">
      <c r="B1075" s="21">
        <f>IF(AND(C1075&lt;&gt;"", J1075&lt;&gt;""), HYPERLINK("#'" &amp; C1075 &amp; "'!" &amp; J1075, J1075), "")</f>
        <v/>
      </c>
    </row>
    <row r="1076">
      <c r="B1076" s="21">
        <f>IF(AND(C1076&lt;&gt;"", J1076&lt;&gt;""), HYPERLINK("#'" &amp; C1076 &amp; "'!" &amp; J1076, J1076), "")</f>
        <v/>
      </c>
    </row>
    <row r="1077">
      <c r="B1077" s="21">
        <f>IF(AND(C1077&lt;&gt;"", J1077&lt;&gt;""), HYPERLINK("#'" &amp; C1077 &amp; "'!" &amp; J1077, J1077), "")</f>
        <v/>
      </c>
    </row>
    <row r="1078">
      <c r="B1078" s="21">
        <f>IF(AND(C1078&lt;&gt;"", J1078&lt;&gt;""), HYPERLINK("#'" &amp; C1078 &amp; "'!" &amp; J1078, J1078), "")</f>
        <v/>
      </c>
    </row>
    <row r="1079">
      <c r="B1079" s="21">
        <f>IF(AND(C1079&lt;&gt;"", J1079&lt;&gt;""), HYPERLINK("#'" &amp; C1079 &amp; "'!" &amp; J1079, J1079), "")</f>
        <v/>
      </c>
    </row>
    <row r="1080">
      <c r="B1080" s="21">
        <f>IF(AND(C1080&lt;&gt;"", J1080&lt;&gt;""), HYPERLINK("#'" &amp; C1080 &amp; "'!" &amp; J1080, J1080), "")</f>
        <v/>
      </c>
    </row>
    <row r="1081">
      <c r="B1081" s="21">
        <f>IF(AND(C1081&lt;&gt;"", J1081&lt;&gt;""), HYPERLINK("#'" &amp; C1081 &amp; "'!" &amp; J1081, J1081), "")</f>
        <v/>
      </c>
    </row>
    <row r="1082">
      <c r="B1082" s="21">
        <f>IF(AND(C1082&lt;&gt;"", J1082&lt;&gt;""), HYPERLINK("#'" &amp; C1082 &amp; "'!" &amp; J1082, J1082), "")</f>
        <v/>
      </c>
    </row>
    <row r="1083">
      <c r="B1083" s="21">
        <f>IF(AND(C1083&lt;&gt;"", J1083&lt;&gt;""), HYPERLINK("#'" &amp; C1083 &amp; "'!" &amp; J1083, J1083), "")</f>
        <v/>
      </c>
    </row>
    <row r="1084">
      <c r="B1084" s="21">
        <f>IF(AND(C1084&lt;&gt;"", J1084&lt;&gt;""), HYPERLINK("#'" &amp; C1084 &amp; "'!" &amp; J1084, J1084), "")</f>
        <v/>
      </c>
    </row>
    <row r="1085">
      <c r="B1085" s="21">
        <f>IF(AND(C1085&lt;&gt;"", J1085&lt;&gt;""), HYPERLINK("#'" &amp; C1085 &amp; "'!" &amp; J1085, J1085), "")</f>
        <v/>
      </c>
    </row>
    <row r="1086">
      <c r="B1086" s="21">
        <f>IF(AND(C1086&lt;&gt;"", J1086&lt;&gt;""), HYPERLINK("#'" &amp; C1086 &amp; "'!" &amp; J1086, J1086), "")</f>
        <v/>
      </c>
    </row>
    <row r="1087">
      <c r="B1087" s="21">
        <f>IF(AND(C1087&lt;&gt;"", J1087&lt;&gt;""), HYPERLINK("#'" &amp; C1087 &amp; "'!" &amp; J1087, J1087), "")</f>
        <v/>
      </c>
    </row>
    <row r="1088">
      <c r="B1088" s="21">
        <f>IF(AND(C1088&lt;&gt;"", J1088&lt;&gt;""), HYPERLINK("#'" &amp; C1088 &amp; "'!" &amp; J1088, J1088), "")</f>
        <v/>
      </c>
    </row>
    <row r="1089">
      <c r="B1089" s="21">
        <f>IF(AND(C1089&lt;&gt;"", J1089&lt;&gt;""), HYPERLINK("#'" &amp; C1089 &amp; "'!" &amp; J1089, J1089), "")</f>
        <v/>
      </c>
    </row>
    <row r="1090">
      <c r="B1090" s="21">
        <f>IF(AND(C1090&lt;&gt;"", J1090&lt;&gt;""), HYPERLINK("#'" &amp; C1090 &amp; "'!" &amp; J1090, J1090), "")</f>
        <v/>
      </c>
    </row>
    <row r="1091">
      <c r="B1091" s="21">
        <f>IF(AND(C1091&lt;&gt;"", J1091&lt;&gt;""), HYPERLINK("#'" &amp; C1091 &amp; "'!" &amp; J1091, J1091), "")</f>
        <v/>
      </c>
    </row>
    <row r="1092">
      <c r="B1092" s="21">
        <f>IF(AND(C1092&lt;&gt;"", J1092&lt;&gt;""), HYPERLINK("#'" &amp; C1092 &amp; "'!" &amp; J1092, J1092), "")</f>
        <v/>
      </c>
    </row>
    <row r="1093">
      <c r="B1093" s="21">
        <f>IF(AND(C1093&lt;&gt;"", J1093&lt;&gt;""), HYPERLINK("#'" &amp; C1093 &amp; "'!" &amp; J1093, J1093), "")</f>
        <v/>
      </c>
    </row>
    <row r="1094">
      <c r="B1094" s="21">
        <f>IF(AND(C1094&lt;&gt;"", J1094&lt;&gt;""), HYPERLINK("#'" &amp; C1094 &amp; "'!" &amp; J1094, J1094), "")</f>
        <v/>
      </c>
    </row>
    <row r="1095">
      <c r="B1095" s="21">
        <f>IF(AND(C1095&lt;&gt;"", J1095&lt;&gt;""), HYPERLINK("#'" &amp; C1095 &amp; "'!" &amp; J1095, J1095), "")</f>
        <v/>
      </c>
    </row>
    <row r="1096">
      <c r="B1096" s="21">
        <f>IF(AND(C1096&lt;&gt;"", J1096&lt;&gt;""), HYPERLINK("#'" &amp; C1096 &amp; "'!" &amp; J1096, J1096), "")</f>
        <v/>
      </c>
    </row>
    <row r="1097">
      <c r="B1097" s="21">
        <f>IF(AND(C1097&lt;&gt;"", J1097&lt;&gt;""), HYPERLINK("#'" &amp; C1097 &amp; "'!" &amp; J1097, J1097), "")</f>
        <v/>
      </c>
    </row>
    <row r="1098">
      <c r="B1098" s="21">
        <f>IF(AND(C1098&lt;&gt;"", J1098&lt;&gt;""), HYPERLINK("#'" &amp; C1098 &amp; "'!" &amp; J1098, J1098), "")</f>
        <v/>
      </c>
    </row>
    <row r="1099">
      <c r="B1099" s="21">
        <f>IF(AND(C1099&lt;&gt;"", J1099&lt;&gt;""), HYPERLINK("#'" &amp; C1099 &amp; "'!" &amp; J1099, J1099), "")</f>
        <v/>
      </c>
    </row>
    <row r="1100">
      <c r="B1100" s="21">
        <f>IF(AND(C1100&lt;&gt;"", J1100&lt;&gt;""), HYPERLINK("#'" &amp; C1100 &amp; "'!" &amp; J1100, J1100), "")</f>
        <v/>
      </c>
    </row>
    <row r="1101">
      <c r="B1101" s="21">
        <f>IF(AND(C1101&lt;&gt;"", J1101&lt;&gt;""), HYPERLINK("#'" &amp; C1101 &amp; "'!" &amp; J1101, J1101), "")</f>
        <v/>
      </c>
    </row>
    <row r="1102">
      <c r="B1102" s="21">
        <f>IF(AND(C1102&lt;&gt;"", J1102&lt;&gt;""), HYPERLINK("#'" &amp; C1102 &amp; "'!" &amp; J1102, J1102), "")</f>
        <v/>
      </c>
    </row>
    <row r="1103">
      <c r="B1103" s="21">
        <f>IF(AND(C1103&lt;&gt;"", J1103&lt;&gt;""), HYPERLINK("#'" &amp; C1103 &amp; "'!" &amp; J1103, J1103), "")</f>
        <v/>
      </c>
    </row>
    <row r="1104">
      <c r="B1104" s="21">
        <f>IF(AND(C1104&lt;&gt;"", J1104&lt;&gt;""), HYPERLINK("#'" &amp; C1104 &amp; "'!" &amp; J1104, J1104), "")</f>
        <v/>
      </c>
    </row>
    <row r="1105">
      <c r="B1105" s="21">
        <f>IF(AND(C1105&lt;&gt;"", J1105&lt;&gt;""), HYPERLINK("#'" &amp; C1105 &amp; "'!" &amp; J1105, J1105), "")</f>
        <v/>
      </c>
    </row>
    <row r="1106">
      <c r="B1106" s="21">
        <f>IF(AND(C1106&lt;&gt;"", J1106&lt;&gt;""), HYPERLINK("#'" &amp; C1106 &amp; "'!" &amp; J1106, J1106), "")</f>
        <v/>
      </c>
    </row>
    <row r="1107">
      <c r="B1107" s="21">
        <f>IF(AND(C1107&lt;&gt;"", J1107&lt;&gt;""), HYPERLINK("#'" &amp; C1107 &amp; "'!" &amp; J1107, J1107), "")</f>
        <v/>
      </c>
    </row>
    <row r="1108">
      <c r="B1108" s="21">
        <f>IF(AND(C1108&lt;&gt;"", J1108&lt;&gt;""), HYPERLINK("#'" &amp; C1108 &amp; "'!" &amp; J1108, J1108), "")</f>
        <v/>
      </c>
    </row>
    <row r="1109">
      <c r="B1109" s="21">
        <f>IF(AND(C1109&lt;&gt;"", J1109&lt;&gt;""), HYPERLINK("#'" &amp; C1109 &amp; "'!" &amp; J1109, J1109), "")</f>
        <v/>
      </c>
    </row>
    <row r="1110">
      <c r="B1110" s="21">
        <f>IF(AND(C1110&lt;&gt;"", J1110&lt;&gt;""), HYPERLINK("#'" &amp; C1110 &amp; "'!" &amp; J1110, J1110), "")</f>
        <v/>
      </c>
    </row>
    <row r="1111">
      <c r="B1111" s="21">
        <f>IF(AND(C1111&lt;&gt;"", J1111&lt;&gt;""), HYPERLINK("#'" &amp; C1111 &amp; "'!" &amp; J1111, J1111), "")</f>
        <v/>
      </c>
    </row>
    <row r="1112">
      <c r="B1112" s="21">
        <f>IF(AND(C1112&lt;&gt;"", J1112&lt;&gt;""), HYPERLINK("#'" &amp; C1112 &amp; "'!" &amp; J1112, J1112), "")</f>
        <v/>
      </c>
    </row>
    <row r="1113">
      <c r="B1113" s="21">
        <f>IF(AND(C1113&lt;&gt;"", J1113&lt;&gt;""), HYPERLINK("#'" &amp; C1113 &amp; "'!" &amp; J1113, J1113), "")</f>
        <v/>
      </c>
    </row>
    <row r="1114">
      <c r="B1114" s="21">
        <f>IF(AND(C1114&lt;&gt;"", J1114&lt;&gt;""), HYPERLINK("#'" &amp; C1114 &amp; "'!" &amp; J1114, J1114), "")</f>
        <v/>
      </c>
    </row>
    <row r="1115">
      <c r="B1115" s="21">
        <f>IF(AND(C1115&lt;&gt;"", J1115&lt;&gt;""), HYPERLINK("#'" &amp; C1115 &amp; "'!" &amp; J1115, J1115), "")</f>
        <v/>
      </c>
    </row>
    <row r="1116">
      <c r="B1116" s="21">
        <f>IF(AND(C1116&lt;&gt;"", J1116&lt;&gt;""), HYPERLINK("#'" &amp; C1116 &amp; "'!" &amp; J1116, J1116), "")</f>
        <v/>
      </c>
    </row>
    <row r="1117">
      <c r="B1117" s="21">
        <f>IF(AND(C1117&lt;&gt;"", J1117&lt;&gt;""), HYPERLINK("#'" &amp; C1117 &amp; "'!" &amp; J1117, J1117), "")</f>
        <v/>
      </c>
    </row>
    <row r="1118">
      <c r="B1118" s="21">
        <f>IF(AND(C1118&lt;&gt;"", J1118&lt;&gt;""), HYPERLINK("#'" &amp; C1118 &amp; "'!" &amp; J1118, J1118), "")</f>
        <v/>
      </c>
    </row>
    <row r="1119">
      <c r="B1119" s="21">
        <f>IF(AND(C1119&lt;&gt;"", J1119&lt;&gt;""), HYPERLINK("#'" &amp; C1119 &amp; "'!" &amp; J1119, J1119), "")</f>
        <v/>
      </c>
    </row>
    <row r="1120">
      <c r="B1120" s="21">
        <f>IF(AND(C1120&lt;&gt;"", J1120&lt;&gt;""), HYPERLINK("#'" &amp; C1120 &amp; "'!" &amp; J1120, J1120), "")</f>
        <v/>
      </c>
    </row>
    <row r="1121">
      <c r="B1121" s="21">
        <f>IF(AND(C1121&lt;&gt;"", J1121&lt;&gt;""), HYPERLINK("#'" &amp; C1121 &amp; "'!" &amp; J1121, J1121), "")</f>
        <v/>
      </c>
    </row>
    <row r="1122">
      <c r="B1122" s="21">
        <f>IF(AND(C1122&lt;&gt;"", J1122&lt;&gt;""), HYPERLINK("#'" &amp; C1122 &amp; "'!" &amp; J1122, J1122), "")</f>
        <v/>
      </c>
    </row>
    <row r="1123">
      <c r="B1123" s="21">
        <f>IF(AND(C1123&lt;&gt;"", J1123&lt;&gt;""), HYPERLINK("#'" &amp; C1123 &amp; "'!" &amp; J1123, J1123), "")</f>
        <v/>
      </c>
    </row>
    <row r="1124">
      <c r="B1124" s="21">
        <f>IF(AND(C1124&lt;&gt;"", J1124&lt;&gt;""), HYPERLINK("#'" &amp; C1124 &amp; "'!" &amp; J1124, J1124), "")</f>
        <v/>
      </c>
    </row>
    <row r="1125">
      <c r="B1125" s="21">
        <f>IF(AND(C1125&lt;&gt;"", J1125&lt;&gt;""), HYPERLINK("#'" &amp; C1125 &amp; "'!" &amp; J1125, J1125), "")</f>
        <v/>
      </c>
    </row>
    <row r="1126">
      <c r="B1126" s="21">
        <f>IF(AND(C1126&lt;&gt;"", J1126&lt;&gt;""), HYPERLINK("#'" &amp; C1126 &amp; "'!" &amp; J1126, J1126), "")</f>
        <v/>
      </c>
    </row>
    <row r="1127">
      <c r="B1127" s="21">
        <f>IF(AND(C1127&lt;&gt;"", J1127&lt;&gt;""), HYPERLINK("#'" &amp; C1127 &amp; "'!" &amp; J1127, J1127), "")</f>
        <v/>
      </c>
    </row>
    <row r="1128">
      <c r="B1128" s="21">
        <f>IF(AND(C1128&lt;&gt;"", J1128&lt;&gt;""), HYPERLINK("#'" &amp; C1128 &amp; "'!" &amp; J1128, J1128), "")</f>
        <v/>
      </c>
    </row>
    <row r="1129">
      <c r="B1129" s="21">
        <f>IF(AND(C1129&lt;&gt;"", J1129&lt;&gt;""), HYPERLINK("#'" &amp; C1129 &amp; "'!" &amp; J1129, J1129), "")</f>
        <v/>
      </c>
    </row>
    <row r="1130">
      <c r="B1130" s="21">
        <f>IF(AND(C1130&lt;&gt;"", J1130&lt;&gt;""), HYPERLINK("#'" &amp; C1130 &amp; "'!" &amp; J1130, J1130), "")</f>
        <v/>
      </c>
    </row>
    <row r="1131">
      <c r="B1131" s="21">
        <f>IF(AND(C1131&lt;&gt;"", J1131&lt;&gt;""), HYPERLINK("#'" &amp; C1131 &amp; "'!" &amp; J1131, J1131), "")</f>
        <v/>
      </c>
    </row>
    <row r="1132">
      <c r="B1132" s="21">
        <f>IF(AND(C1132&lt;&gt;"", J1132&lt;&gt;""), HYPERLINK("#'" &amp; C1132 &amp; "'!" &amp; J1132, J1132), "")</f>
        <v/>
      </c>
    </row>
    <row r="1133">
      <c r="B1133" s="21">
        <f>IF(AND(C1133&lt;&gt;"", J1133&lt;&gt;""), HYPERLINK("#'" &amp; C1133 &amp; "'!" &amp; J1133, J1133), "")</f>
        <v/>
      </c>
    </row>
    <row r="1134">
      <c r="B1134" s="21">
        <f>IF(AND(C1134&lt;&gt;"", J1134&lt;&gt;""), HYPERLINK("#'" &amp; C1134 &amp; "'!" &amp; J1134, J1134), "")</f>
        <v/>
      </c>
    </row>
    <row r="1135">
      <c r="B1135" s="21">
        <f>IF(AND(C1135&lt;&gt;"", J1135&lt;&gt;""), HYPERLINK("#'" &amp; C1135 &amp; "'!" &amp; J1135, J1135), "")</f>
        <v/>
      </c>
    </row>
    <row r="1136">
      <c r="B1136" s="21">
        <f>IF(AND(C1136&lt;&gt;"", J1136&lt;&gt;""), HYPERLINK("#'" &amp; C1136 &amp; "'!" &amp; J1136, J1136), "")</f>
        <v/>
      </c>
    </row>
    <row r="1137">
      <c r="B1137" s="21">
        <f>IF(AND(C1137&lt;&gt;"", J1137&lt;&gt;""), HYPERLINK("#'" &amp; C1137 &amp; "'!" &amp; J1137, J1137), "")</f>
        <v/>
      </c>
    </row>
    <row r="1138">
      <c r="B1138" s="21">
        <f>IF(AND(C1138&lt;&gt;"", J1138&lt;&gt;""), HYPERLINK("#'" &amp; C1138 &amp; "'!" &amp; J1138, J1138), "")</f>
        <v/>
      </c>
    </row>
    <row r="1139">
      <c r="B1139" s="21">
        <f>IF(AND(C1139&lt;&gt;"", J1139&lt;&gt;""), HYPERLINK("#'" &amp; C1139 &amp; "'!" &amp; J1139, J1139), "")</f>
        <v/>
      </c>
    </row>
    <row r="1140">
      <c r="B1140" s="21">
        <f>IF(AND(C1140&lt;&gt;"", J1140&lt;&gt;""), HYPERLINK("#'" &amp; C1140 &amp; "'!" &amp; J1140, J1140), "")</f>
        <v/>
      </c>
    </row>
    <row r="1141">
      <c r="B1141" s="21">
        <f>IF(AND(C1141&lt;&gt;"", J1141&lt;&gt;""), HYPERLINK("#'" &amp; C1141 &amp; "'!" &amp; J1141, J1141), "")</f>
        <v/>
      </c>
    </row>
    <row r="1142">
      <c r="B1142" s="21">
        <f>IF(AND(C1142&lt;&gt;"", J1142&lt;&gt;""), HYPERLINK("#'" &amp; C1142 &amp; "'!" &amp; J1142, J1142), "")</f>
        <v/>
      </c>
    </row>
    <row r="1143">
      <c r="B1143" s="21">
        <f>IF(AND(C1143&lt;&gt;"", J1143&lt;&gt;""), HYPERLINK("#'" &amp; C1143 &amp; "'!" &amp; J1143, J1143), "")</f>
        <v/>
      </c>
    </row>
    <row r="1144">
      <c r="B1144" s="21">
        <f>IF(AND(C1144&lt;&gt;"", J1144&lt;&gt;""), HYPERLINK("#'" &amp; C1144 &amp; "'!" &amp; J1144, J1144), "")</f>
        <v/>
      </c>
    </row>
    <row r="1145">
      <c r="B1145" s="21">
        <f>IF(AND(C1145&lt;&gt;"", J1145&lt;&gt;""), HYPERLINK("#'" &amp; C1145 &amp; "'!" &amp; J1145, J1145), "")</f>
        <v/>
      </c>
    </row>
    <row r="1146">
      <c r="B1146" s="21">
        <f>IF(AND(C1146&lt;&gt;"", J1146&lt;&gt;""), HYPERLINK("#'" &amp; C1146 &amp; "'!" &amp; J1146, J1146), "")</f>
        <v/>
      </c>
    </row>
    <row r="1147">
      <c r="B1147" s="21">
        <f>IF(AND(C1147&lt;&gt;"", J1147&lt;&gt;""), HYPERLINK("#'" &amp; C1147 &amp; "'!" &amp; J1147, J1147), "")</f>
        <v/>
      </c>
    </row>
    <row r="1148">
      <c r="B1148" s="21">
        <f>IF(AND(C1148&lt;&gt;"", J1148&lt;&gt;""), HYPERLINK("#'" &amp; C1148 &amp; "'!" &amp; J1148, J1148), "")</f>
        <v/>
      </c>
    </row>
    <row r="1149">
      <c r="B1149" s="21">
        <f>IF(AND(C1149&lt;&gt;"", J1149&lt;&gt;""), HYPERLINK("#'" &amp; C1149 &amp; "'!" &amp; J1149, J1149), "")</f>
        <v/>
      </c>
    </row>
    <row r="1150">
      <c r="B1150" s="21">
        <f>IF(AND(C1150&lt;&gt;"", J1150&lt;&gt;""), HYPERLINK("#'" &amp; C1150 &amp; "'!" &amp; J1150, J1150), "")</f>
        <v/>
      </c>
    </row>
    <row r="1151">
      <c r="B1151" s="21">
        <f>IF(AND(C1151&lt;&gt;"", J1151&lt;&gt;""), HYPERLINK("#'" &amp; C1151 &amp; "'!" &amp; J1151, J1151), "")</f>
        <v/>
      </c>
    </row>
    <row r="1152">
      <c r="B1152" s="21">
        <f>IF(AND(C1152&lt;&gt;"", J1152&lt;&gt;""), HYPERLINK("#'" &amp; C1152 &amp; "'!" &amp; J1152, J1152), "")</f>
        <v/>
      </c>
    </row>
    <row r="1153">
      <c r="B1153" s="21">
        <f>IF(AND(C1153&lt;&gt;"", J1153&lt;&gt;""), HYPERLINK("#'" &amp; C1153 &amp; "'!" &amp; J1153, J1153), "")</f>
        <v/>
      </c>
    </row>
    <row r="1154">
      <c r="B1154" s="21">
        <f>IF(AND(C1154&lt;&gt;"", J1154&lt;&gt;""), HYPERLINK("#'" &amp; C1154 &amp; "'!" &amp; J1154, J1154), "")</f>
        <v/>
      </c>
    </row>
    <row r="1155">
      <c r="B1155" s="21">
        <f>IF(AND(C1155&lt;&gt;"", J1155&lt;&gt;""), HYPERLINK("#'" &amp; C1155 &amp; "'!" &amp; J1155, J1155), "")</f>
        <v/>
      </c>
    </row>
    <row r="1156">
      <c r="B1156" s="21">
        <f>IF(AND(C1156&lt;&gt;"", J1156&lt;&gt;""), HYPERLINK("#'" &amp; C1156 &amp; "'!" &amp; J1156, J1156), "")</f>
        <v/>
      </c>
    </row>
    <row r="1157">
      <c r="B1157" s="21">
        <f>IF(AND(C1157&lt;&gt;"", J1157&lt;&gt;""), HYPERLINK("#'" &amp; C1157 &amp; "'!" &amp; J1157, J1157), "")</f>
        <v/>
      </c>
    </row>
    <row r="1158">
      <c r="B1158" s="21">
        <f>IF(AND(C1158&lt;&gt;"", J1158&lt;&gt;""), HYPERLINK("#'" &amp; C1158 &amp; "'!" &amp; J1158, J1158), "")</f>
        <v/>
      </c>
    </row>
    <row r="1159">
      <c r="B1159" s="21">
        <f>IF(AND(C1159&lt;&gt;"", J1159&lt;&gt;""), HYPERLINK("#'" &amp; C1159 &amp; "'!" &amp; J1159, J1159), "")</f>
        <v/>
      </c>
    </row>
    <row r="1160">
      <c r="B1160" s="21">
        <f>IF(AND(C1160&lt;&gt;"", J1160&lt;&gt;""), HYPERLINK("#'" &amp; C1160 &amp; "'!" &amp; J1160, J1160), "")</f>
        <v/>
      </c>
    </row>
    <row r="1161">
      <c r="B1161" s="21">
        <f>IF(AND(C1161&lt;&gt;"", J1161&lt;&gt;""), HYPERLINK("#'" &amp; C1161 &amp; "'!" &amp; J1161, J1161), "")</f>
        <v/>
      </c>
    </row>
    <row r="1162">
      <c r="B1162" s="21">
        <f>IF(AND(C1162&lt;&gt;"", J1162&lt;&gt;""), HYPERLINK("#'" &amp; C1162 &amp; "'!" &amp; J1162, J1162), "")</f>
        <v/>
      </c>
    </row>
    <row r="1163">
      <c r="B1163" s="21">
        <f>IF(AND(C1163&lt;&gt;"", J1163&lt;&gt;""), HYPERLINK("#'" &amp; C1163 &amp; "'!" &amp; J1163, J1163), "")</f>
        <v/>
      </c>
    </row>
    <row r="1164">
      <c r="B1164" s="21">
        <f>IF(AND(C1164&lt;&gt;"", J1164&lt;&gt;""), HYPERLINK("#'" &amp; C1164 &amp; "'!" &amp; J1164, J1164), "")</f>
        <v/>
      </c>
    </row>
    <row r="1165">
      <c r="B1165" s="21">
        <f>IF(AND(C1165&lt;&gt;"", J1165&lt;&gt;""), HYPERLINK("#'" &amp; C1165 &amp; "'!" &amp; J1165, J1165), "")</f>
        <v/>
      </c>
    </row>
    <row r="1166">
      <c r="B1166" s="21">
        <f>IF(AND(C1166&lt;&gt;"", J1166&lt;&gt;""), HYPERLINK("#'" &amp; C1166 &amp; "'!" &amp; J1166, J1166), "")</f>
        <v/>
      </c>
    </row>
    <row r="1167">
      <c r="B1167" s="21">
        <f>IF(AND(C1167&lt;&gt;"", J1167&lt;&gt;""), HYPERLINK("#'" &amp; C1167 &amp; "'!" &amp; J1167, J1167), "")</f>
        <v/>
      </c>
    </row>
    <row r="1168">
      <c r="B1168" s="21">
        <f>IF(AND(C1168&lt;&gt;"", J1168&lt;&gt;""), HYPERLINK("#'" &amp; C1168 &amp; "'!" &amp; J1168, J1168), "")</f>
        <v/>
      </c>
    </row>
    <row r="1169">
      <c r="B1169" s="21">
        <f>IF(AND(C1169&lt;&gt;"", J1169&lt;&gt;""), HYPERLINK("#'" &amp; C1169 &amp; "'!" &amp; J1169, J1169), "")</f>
        <v/>
      </c>
    </row>
    <row r="1170">
      <c r="B1170" s="21">
        <f>IF(AND(C1170&lt;&gt;"", J1170&lt;&gt;""), HYPERLINK("#'" &amp; C1170 &amp; "'!" &amp; J1170, J1170), "")</f>
        <v/>
      </c>
    </row>
    <row r="1171">
      <c r="B1171" s="21">
        <f>IF(AND(C1171&lt;&gt;"", J1171&lt;&gt;""), HYPERLINK("#'" &amp; C1171 &amp; "'!" &amp; J1171, J1171), "")</f>
        <v/>
      </c>
    </row>
    <row r="1172">
      <c r="B1172" s="21">
        <f>IF(AND(C1172&lt;&gt;"", J1172&lt;&gt;""), HYPERLINK("#'" &amp; C1172 &amp; "'!" &amp; J1172, J1172), "")</f>
        <v/>
      </c>
    </row>
    <row r="1173">
      <c r="B1173" s="21">
        <f>IF(AND(C1173&lt;&gt;"", J1173&lt;&gt;""), HYPERLINK("#'" &amp; C1173 &amp; "'!" &amp; J1173, J1173), "")</f>
        <v/>
      </c>
    </row>
    <row r="1174">
      <c r="B1174" s="21">
        <f>IF(AND(C1174&lt;&gt;"", J1174&lt;&gt;""), HYPERLINK("#'" &amp; C1174 &amp; "'!" &amp; J1174, J1174), "")</f>
        <v/>
      </c>
    </row>
    <row r="1175">
      <c r="B1175" s="21">
        <f>IF(AND(C1175&lt;&gt;"", J1175&lt;&gt;""), HYPERLINK("#'" &amp; C1175 &amp; "'!" &amp; J1175, J1175), "")</f>
        <v/>
      </c>
    </row>
    <row r="1176">
      <c r="B1176" s="21">
        <f>IF(AND(C1176&lt;&gt;"", J1176&lt;&gt;""), HYPERLINK("#'" &amp; C1176 &amp; "'!" &amp; J1176, J1176), "")</f>
        <v/>
      </c>
    </row>
    <row r="1177">
      <c r="B1177" s="21">
        <f>IF(AND(C1177&lt;&gt;"", J1177&lt;&gt;""), HYPERLINK("#'" &amp; C1177 &amp; "'!" &amp; J1177, J1177), "")</f>
        <v/>
      </c>
    </row>
    <row r="1178">
      <c r="B1178" s="21">
        <f>IF(AND(C1178&lt;&gt;"", J1178&lt;&gt;""), HYPERLINK("#'" &amp; C1178 &amp; "'!" &amp; J1178, J1178), "")</f>
        <v/>
      </c>
    </row>
    <row r="1179">
      <c r="B1179" s="21">
        <f>IF(AND(C1179&lt;&gt;"", J1179&lt;&gt;""), HYPERLINK("#'" &amp; C1179 &amp; "'!" &amp; J1179, J1179), "")</f>
        <v/>
      </c>
    </row>
    <row r="1180">
      <c r="B1180" s="21">
        <f>IF(AND(C1180&lt;&gt;"", J1180&lt;&gt;""), HYPERLINK("#'" &amp; C1180 &amp; "'!" &amp; J1180, J1180), "")</f>
        <v/>
      </c>
    </row>
    <row r="1181">
      <c r="B1181" s="21">
        <f>IF(AND(C1181&lt;&gt;"", J1181&lt;&gt;""), HYPERLINK("#'" &amp; C1181 &amp; "'!" &amp; J1181, J1181), "")</f>
        <v/>
      </c>
    </row>
    <row r="1182">
      <c r="B1182" s="21">
        <f>IF(AND(C1182&lt;&gt;"", J1182&lt;&gt;""), HYPERLINK("#'" &amp; C1182 &amp; "'!" &amp; J1182, J1182), "")</f>
        <v/>
      </c>
    </row>
    <row r="1183">
      <c r="B1183" s="21">
        <f>IF(AND(C1183&lt;&gt;"", J1183&lt;&gt;""), HYPERLINK("#'" &amp; C1183 &amp; "'!" &amp; J1183, J1183), "")</f>
        <v/>
      </c>
    </row>
    <row r="1184">
      <c r="B1184" s="21">
        <f>IF(AND(C1184&lt;&gt;"", J1184&lt;&gt;""), HYPERLINK("#'" &amp; C1184 &amp; "'!" &amp; J1184, J1184), "")</f>
        <v/>
      </c>
    </row>
    <row r="1185">
      <c r="B1185" s="21">
        <f>IF(AND(C1185&lt;&gt;"", J1185&lt;&gt;""), HYPERLINK("#'" &amp; C1185 &amp; "'!" &amp; J1185, J1185), "")</f>
        <v/>
      </c>
    </row>
    <row r="1186">
      <c r="B1186" s="21">
        <f>IF(AND(C1186&lt;&gt;"", J1186&lt;&gt;""), HYPERLINK("#'" &amp; C1186 &amp; "'!" &amp; J1186, J1186), "")</f>
        <v/>
      </c>
    </row>
    <row r="1187">
      <c r="B1187" s="21">
        <f>IF(AND(C1187&lt;&gt;"", J1187&lt;&gt;""), HYPERLINK("#'" &amp; C1187 &amp; "'!" &amp; J1187, J1187), "")</f>
        <v/>
      </c>
    </row>
    <row r="1188">
      <c r="B1188" s="21">
        <f>IF(AND(C1188&lt;&gt;"", J1188&lt;&gt;""), HYPERLINK("#'" &amp; C1188 &amp; "'!" &amp; J1188, J1188), "")</f>
        <v/>
      </c>
    </row>
    <row r="1189">
      <c r="B1189" s="21">
        <f>IF(AND(C1189&lt;&gt;"", J1189&lt;&gt;""), HYPERLINK("#'" &amp; C1189 &amp; "'!" &amp; J1189, J1189), "")</f>
        <v/>
      </c>
    </row>
    <row r="1190">
      <c r="B1190" s="21">
        <f>IF(AND(C1190&lt;&gt;"", J1190&lt;&gt;""), HYPERLINK("#'" &amp; C1190 &amp; "'!" &amp; J1190, J1190), "")</f>
        <v/>
      </c>
    </row>
    <row r="1191">
      <c r="B1191" s="21">
        <f>IF(AND(C1191&lt;&gt;"", J1191&lt;&gt;""), HYPERLINK("#'" &amp; C1191 &amp; "'!" &amp; J1191, J1191), "")</f>
        <v/>
      </c>
    </row>
    <row r="1192">
      <c r="B1192" s="21">
        <f>IF(AND(C1192&lt;&gt;"", J1192&lt;&gt;""), HYPERLINK("#'" &amp; C1192 &amp; "'!" &amp; J1192, J1192), "")</f>
        <v/>
      </c>
    </row>
    <row r="1193">
      <c r="B1193" s="21">
        <f>IF(AND(C1193&lt;&gt;"", J1193&lt;&gt;""), HYPERLINK("#'" &amp; C1193 &amp; "'!" &amp; J1193, J1193), "")</f>
        <v/>
      </c>
    </row>
    <row r="1194">
      <c r="B1194" s="21">
        <f>IF(AND(C1194&lt;&gt;"", J1194&lt;&gt;""), HYPERLINK("#'" &amp; C1194 &amp; "'!" &amp; J1194, J1194), "")</f>
        <v/>
      </c>
    </row>
    <row r="1195">
      <c r="B1195" s="21">
        <f>IF(AND(C1195&lt;&gt;"", J1195&lt;&gt;""), HYPERLINK("#'" &amp; C1195 &amp; "'!" &amp; J1195, J1195), "")</f>
        <v/>
      </c>
    </row>
    <row r="1196">
      <c r="B1196" s="21">
        <f>IF(AND(C1196&lt;&gt;"", J1196&lt;&gt;""), HYPERLINK("#'" &amp; C1196 &amp; "'!" &amp; J1196, J1196), "")</f>
        <v/>
      </c>
    </row>
    <row r="1197">
      <c r="B1197" s="21">
        <f>IF(AND(C1197&lt;&gt;"", J1197&lt;&gt;""), HYPERLINK("#'" &amp; C1197 &amp; "'!" &amp; J1197, J1197), "")</f>
        <v/>
      </c>
    </row>
    <row r="1198">
      <c r="B1198" s="21">
        <f>IF(AND(C1198&lt;&gt;"", J1198&lt;&gt;""), HYPERLINK("#'" &amp; C1198 &amp; "'!" &amp; J1198, J1198), "")</f>
        <v/>
      </c>
    </row>
    <row r="1199">
      <c r="B1199" s="21">
        <f>IF(AND(C1199&lt;&gt;"", J1199&lt;&gt;""), HYPERLINK("#'" &amp; C1199 &amp; "'!" &amp; J1199, J1199), "")</f>
        <v/>
      </c>
    </row>
    <row r="1200">
      <c r="B1200" s="21">
        <f>IF(AND(C1200&lt;&gt;"", J1200&lt;&gt;""), HYPERLINK("#'" &amp; C1200 &amp; "'!" &amp; J1200, J1200), "")</f>
        <v/>
      </c>
    </row>
    <row r="1201">
      <c r="B1201" s="21">
        <f>IF(AND(C1201&lt;&gt;"", J1201&lt;&gt;""), HYPERLINK("#'" &amp; C1201 &amp; "'!" &amp; J1201, J1201), "")</f>
        <v/>
      </c>
    </row>
    <row r="1202">
      <c r="B1202" s="21">
        <f>IF(AND(C1202&lt;&gt;"", J1202&lt;&gt;""), HYPERLINK("#'" &amp; C1202 &amp; "'!" &amp; J1202, J1202), "")</f>
        <v/>
      </c>
    </row>
    <row r="1203">
      <c r="B1203" s="21">
        <f>IF(AND(C1203&lt;&gt;"", J1203&lt;&gt;""), HYPERLINK("#'" &amp; C1203 &amp; "'!" &amp; J1203, J1203), "")</f>
        <v/>
      </c>
    </row>
    <row r="1204">
      <c r="B1204" s="21">
        <f>IF(AND(C1204&lt;&gt;"", J1204&lt;&gt;""), HYPERLINK("#'" &amp; C1204 &amp; "'!" &amp; J1204, J1204), "")</f>
        <v/>
      </c>
    </row>
    <row r="1205">
      <c r="B1205" s="21">
        <f>IF(AND(C1205&lt;&gt;"", J1205&lt;&gt;""), HYPERLINK("#'" &amp; C1205 &amp; "'!" &amp; J1205, J1205), "")</f>
        <v/>
      </c>
    </row>
    <row r="1206">
      <c r="B1206" s="21">
        <f>IF(AND(C1206&lt;&gt;"", J1206&lt;&gt;""), HYPERLINK("#'" &amp; C1206 &amp; "'!" &amp; J1206, J1206), "")</f>
        <v/>
      </c>
    </row>
    <row r="1207">
      <c r="B1207" s="21">
        <f>IF(AND(C1207&lt;&gt;"", J1207&lt;&gt;""), HYPERLINK("#'" &amp; C1207 &amp; "'!" &amp; J1207, J1207), "")</f>
        <v/>
      </c>
    </row>
    <row r="1208">
      <c r="B1208" s="21">
        <f>IF(AND(C1208&lt;&gt;"", J1208&lt;&gt;""), HYPERLINK("#'" &amp; C1208 &amp; "'!" &amp; J1208, J1208), "")</f>
        <v/>
      </c>
    </row>
    <row r="1209">
      <c r="B1209" s="21">
        <f>IF(AND(C1209&lt;&gt;"", J1209&lt;&gt;""), HYPERLINK("#'" &amp; C1209 &amp; "'!" &amp; J1209, J1209), "")</f>
        <v/>
      </c>
    </row>
    <row r="1210">
      <c r="B1210" s="21">
        <f>IF(AND(C1210&lt;&gt;"", J1210&lt;&gt;""), HYPERLINK("#'" &amp; C1210 &amp; "'!" &amp; J1210, J1210), "")</f>
        <v/>
      </c>
    </row>
    <row r="1211">
      <c r="B1211" s="21">
        <f>IF(AND(C1211&lt;&gt;"", J1211&lt;&gt;""), HYPERLINK("#'" &amp; C1211 &amp; "'!" &amp; J1211, J1211), "")</f>
        <v/>
      </c>
    </row>
    <row r="1212">
      <c r="B1212" s="21">
        <f>IF(AND(C1212&lt;&gt;"", J1212&lt;&gt;""), HYPERLINK("#'" &amp; C1212 &amp; "'!" &amp; J1212, J1212), "")</f>
        <v/>
      </c>
    </row>
    <row r="1213">
      <c r="B1213" s="21">
        <f>IF(AND(C1213&lt;&gt;"", J1213&lt;&gt;""), HYPERLINK("#'" &amp; C1213 &amp; "'!" &amp; J1213, J1213), "")</f>
        <v/>
      </c>
    </row>
    <row r="1214">
      <c r="B1214" s="21">
        <f>IF(AND(C1214&lt;&gt;"", J1214&lt;&gt;""), HYPERLINK("#'" &amp; C1214 &amp; "'!" &amp; J1214, J1214), "")</f>
        <v/>
      </c>
    </row>
    <row r="1215">
      <c r="B1215" s="21">
        <f>IF(AND(C1215&lt;&gt;"", J1215&lt;&gt;""), HYPERLINK("#'" &amp; C1215 &amp; "'!" &amp; J1215, J1215), "")</f>
        <v/>
      </c>
    </row>
    <row r="1216">
      <c r="B1216" s="21">
        <f>IF(AND(C1216&lt;&gt;"", J1216&lt;&gt;""), HYPERLINK("#'" &amp; C1216 &amp; "'!" &amp; J1216, J1216), "")</f>
        <v/>
      </c>
    </row>
    <row r="1217">
      <c r="B1217" s="21">
        <f>IF(AND(C1217&lt;&gt;"", J1217&lt;&gt;""), HYPERLINK("#'" &amp; C1217 &amp; "'!" &amp; J1217, J1217), "")</f>
        <v/>
      </c>
    </row>
    <row r="1218">
      <c r="B1218" s="21">
        <f>IF(AND(C1218&lt;&gt;"", J1218&lt;&gt;""), HYPERLINK("#'" &amp; C1218 &amp; "'!" &amp; J1218, J1218), "")</f>
        <v/>
      </c>
    </row>
    <row r="1219">
      <c r="B1219" s="21">
        <f>IF(AND(C1219&lt;&gt;"", J1219&lt;&gt;""), HYPERLINK("#'" &amp; C1219 &amp; "'!" &amp; J1219, J1219), "")</f>
        <v/>
      </c>
    </row>
    <row r="1220">
      <c r="B1220" s="21">
        <f>IF(AND(C1220&lt;&gt;"", J1220&lt;&gt;""), HYPERLINK("#'" &amp; C1220 &amp; "'!" &amp; J1220, J1220), "")</f>
        <v/>
      </c>
    </row>
    <row r="1221">
      <c r="B1221" s="21">
        <f>IF(AND(C1221&lt;&gt;"", J1221&lt;&gt;""), HYPERLINK("#'" &amp; C1221 &amp; "'!" &amp; J1221, J1221), "")</f>
        <v/>
      </c>
    </row>
    <row r="1222">
      <c r="B1222" s="21">
        <f>IF(AND(C1222&lt;&gt;"", J1222&lt;&gt;""), HYPERLINK("#'" &amp; C1222 &amp; "'!" &amp; J1222, J1222), "")</f>
        <v/>
      </c>
    </row>
    <row r="1223">
      <c r="B1223" s="21">
        <f>IF(AND(C1223&lt;&gt;"", J1223&lt;&gt;""), HYPERLINK("#'" &amp; C1223 &amp; "'!" &amp; J1223, J1223), "")</f>
        <v/>
      </c>
    </row>
    <row r="1224">
      <c r="B1224" s="21">
        <f>IF(AND(C1224&lt;&gt;"", J1224&lt;&gt;""), HYPERLINK("#'" &amp; C1224 &amp; "'!" &amp; J1224, J1224), "")</f>
        <v/>
      </c>
    </row>
    <row r="1225">
      <c r="B1225" s="21">
        <f>IF(AND(C1225&lt;&gt;"", J1225&lt;&gt;""), HYPERLINK("#'" &amp; C1225 &amp; "'!" &amp; J1225, J1225), "")</f>
        <v/>
      </c>
    </row>
    <row r="1226">
      <c r="B1226" s="21">
        <f>IF(AND(C1226&lt;&gt;"", J1226&lt;&gt;""), HYPERLINK("#'" &amp; C1226 &amp; "'!" &amp; J1226, J1226), "")</f>
        <v/>
      </c>
    </row>
    <row r="1227">
      <c r="B1227" s="21">
        <f>IF(AND(C1227&lt;&gt;"", J1227&lt;&gt;""), HYPERLINK("#'" &amp; C1227 &amp; "'!" &amp; J1227, J1227), "")</f>
        <v/>
      </c>
    </row>
    <row r="1228">
      <c r="B1228" s="21">
        <f>IF(AND(C1228&lt;&gt;"", J1228&lt;&gt;""), HYPERLINK("#'" &amp; C1228 &amp; "'!" &amp; J1228, J1228), "")</f>
        <v/>
      </c>
    </row>
    <row r="1229">
      <c r="B1229" s="21">
        <f>IF(AND(C1229&lt;&gt;"", J1229&lt;&gt;""), HYPERLINK("#'" &amp; C1229 &amp; "'!" &amp; J1229, J1229), "")</f>
        <v/>
      </c>
    </row>
    <row r="1230">
      <c r="B1230" s="21">
        <f>IF(AND(C1230&lt;&gt;"", J1230&lt;&gt;""), HYPERLINK("#'" &amp; C1230 &amp; "'!" &amp; J1230, J1230), "")</f>
        <v/>
      </c>
    </row>
    <row r="1231">
      <c r="B1231" s="21">
        <f>IF(AND(C1231&lt;&gt;"", J1231&lt;&gt;""), HYPERLINK("#'" &amp; C1231 &amp; "'!" &amp; J1231, J1231), "")</f>
        <v/>
      </c>
    </row>
    <row r="1232">
      <c r="B1232" s="21">
        <f>IF(AND(C1232&lt;&gt;"", J1232&lt;&gt;""), HYPERLINK("#'" &amp; C1232 &amp; "'!" &amp; J1232, J1232), "")</f>
        <v/>
      </c>
    </row>
    <row r="1233">
      <c r="B1233" s="21">
        <f>IF(AND(C1233&lt;&gt;"", J1233&lt;&gt;""), HYPERLINK("#'" &amp; C1233 &amp; "'!" &amp; J1233, J1233), "")</f>
        <v/>
      </c>
    </row>
    <row r="1234">
      <c r="B1234" s="21">
        <f>IF(AND(C1234&lt;&gt;"", J1234&lt;&gt;""), HYPERLINK("#'" &amp; C1234 &amp; "'!" &amp; J1234, J1234), "")</f>
        <v/>
      </c>
    </row>
    <row r="1235">
      <c r="B1235" s="21">
        <f>IF(AND(C1235&lt;&gt;"", J1235&lt;&gt;""), HYPERLINK("#'" &amp; C1235 &amp; "'!" &amp; J1235, J1235), "")</f>
        <v/>
      </c>
    </row>
    <row r="1236">
      <c r="B1236" s="21">
        <f>IF(AND(C1236&lt;&gt;"", J1236&lt;&gt;""), HYPERLINK("#'" &amp; C1236 &amp; "'!" &amp; J1236, J1236), "")</f>
        <v/>
      </c>
    </row>
    <row r="1237">
      <c r="B1237" s="21">
        <f>IF(AND(C1237&lt;&gt;"", J1237&lt;&gt;""), HYPERLINK("#'" &amp; C1237 &amp; "'!" &amp; J1237, J1237), "")</f>
        <v/>
      </c>
    </row>
    <row r="1238">
      <c r="B1238" s="21">
        <f>IF(AND(C1238&lt;&gt;"", J1238&lt;&gt;""), HYPERLINK("#'" &amp; C1238 &amp; "'!" &amp; J1238, J1238), "")</f>
        <v/>
      </c>
    </row>
    <row r="1239">
      <c r="B1239" s="21">
        <f>IF(AND(C1239&lt;&gt;"", J1239&lt;&gt;""), HYPERLINK("#'" &amp; C1239 &amp; "'!" &amp; J1239, J1239), "")</f>
        <v/>
      </c>
    </row>
    <row r="1240">
      <c r="B1240" s="21">
        <f>IF(AND(C1240&lt;&gt;"", J1240&lt;&gt;""), HYPERLINK("#'" &amp; C1240 &amp; "'!" &amp; J1240, J1240), "")</f>
        <v/>
      </c>
    </row>
    <row r="1241">
      <c r="B1241" s="21">
        <f>IF(AND(C1241&lt;&gt;"", J1241&lt;&gt;""), HYPERLINK("#'" &amp; C1241 &amp; "'!" &amp; J1241, J1241), "")</f>
        <v/>
      </c>
    </row>
    <row r="1242">
      <c r="B1242" s="21">
        <f>IF(AND(C1242&lt;&gt;"", J1242&lt;&gt;""), HYPERLINK("#'" &amp; C1242 &amp; "'!" &amp; J1242, J1242), "")</f>
        <v/>
      </c>
    </row>
    <row r="1243">
      <c r="B1243" s="21">
        <f>IF(AND(C1243&lt;&gt;"", J1243&lt;&gt;""), HYPERLINK("#'" &amp; C1243 &amp; "'!" &amp; J1243, J1243), "")</f>
        <v/>
      </c>
    </row>
    <row r="1244">
      <c r="B1244" s="21">
        <f>IF(AND(C1244&lt;&gt;"", J1244&lt;&gt;""), HYPERLINK("#'" &amp; C1244 &amp; "'!" &amp; J1244, J1244), "")</f>
        <v/>
      </c>
    </row>
    <row r="1245">
      <c r="B1245" s="21">
        <f>IF(AND(C1245&lt;&gt;"", J1245&lt;&gt;""), HYPERLINK("#'" &amp; C1245 &amp; "'!" &amp; J1245, J1245), "")</f>
        <v/>
      </c>
    </row>
    <row r="1246">
      <c r="B1246" s="21">
        <f>IF(AND(C1246&lt;&gt;"", J1246&lt;&gt;""), HYPERLINK("#'" &amp; C1246 &amp; "'!" &amp; J1246, J1246), "")</f>
        <v/>
      </c>
    </row>
    <row r="1247">
      <c r="B1247" s="21">
        <f>IF(AND(C1247&lt;&gt;"", J1247&lt;&gt;""), HYPERLINK("#'" &amp; C1247 &amp; "'!" &amp; J1247, J1247), "")</f>
        <v/>
      </c>
    </row>
    <row r="1248">
      <c r="B1248" s="21">
        <f>IF(AND(C1248&lt;&gt;"", J1248&lt;&gt;""), HYPERLINK("#'" &amp; C1248 &amp; "'!" &amp; J1248, J1248), "")</f>
        <v/>
      </c>
    </row>
    <row r="1249">
      <c r="B1249" s="21">
        <f>IF(AND(C1249&lt;&gt;"", J1249&lt;&gt;""), HYPERLINK("#'" &amp; C1249 &amp; "'!" &amp; J1249, J1249), "")</f>
        <v/>
      </c>
    </row>
    <row r="1250">
      <c r="B1250" s="21">
        <f>IF(AND(C1250&lt;&gt;"", J1250&lt;&gt;""), HYPERLINK("#'" &amp; C1250 &amp; "'!" &amp; J1250, J1250), "")</f>
        <v/>
      </c>
    </row>
    <row r="1251">
      <c r="B1251" s="21">
        <f>IF(AND(C1251&lt;&gt;"", J1251&lt;&gt;""), HYPERLINK("#'" &amp; C1251 &amp; "'!" &amp; J1251, J1251), "")</f>
        <v/>
      </c>
    </row>
    <row r="1252">
      <c r="B1252" s="21">
        <f>IF(AND(C1252&lt;&gt;"", J1252&lt;&gt;""), HYPERLINK("#'" &amp; C1252 &amp; "'!" &amp; J1252, J1252), "")</f>
        <v/>
      </c>
    </row>
    <row r="1253">
      <c r="B1253" s="21">
        <f>IF(AND(C1253&lt;&gt;"", J1253&lt;&gt;""), HYPERLINK("#'" &amp; C1253 &amp; "'!" &amp; J1253, J1253), "")</f>
        <v/>
      </c>
    </row>
    <row r="1254">
      <c r="B1254" s="21">
        <f>IF(AND(C1254&lt;&gt;"", J1254&lt;&gt;""), HYPERLINK("#'" &amp; C1254 &amp; "'!" &amp; J1254, J1254), "")</f>
        <v/>
      </c>
    </row>
    <row r="1255">
      <c r="B1255" s="21">
        <f>IF(AND(C1255&lt;&gt;"", J1255&lt;&gt;""), HYPERLINK("#'" &amp; C1255 &amp; "'!" &amp; J1255, J1255), "")</f>
        <v/>
      </c>
    </row>
    <row r="1256">
      <c r="B1256" s="21">
        <f>IF(AND(C1256&lt;&gt;"", J1256&lt;&gt;""), HYPERLINK("#'" &amp; C1256 &amp; "'!" &amp; J1256, J1256), "")</f>
        <v/>
      </c>
    </row>
    <row r="1257">
      <c r="B1257" s="21">
        <f>IF(AND(C1257&lt;&gt;"", J1257&lt;&gt;""), HYPERLINK("#'" &amp; C1257 &amp; "'!" &amp; J1257, J1257), "")</f>
        <v/>
      </c>
    </row>
    <row r="1258">
      <c r="B1258" s="21">
        <f>IF(AND(C1258&lt;&gt;"", J1258&lt;&gt;""), HYPERLINK("#'" &amp; C1258 &amp; "'!" &amp; J1258, J1258), "")</f>
        <v/>
      </c>
    </row>
    <row r="1259">
      <c r="B1259" s="21">
        <f>IF(AND(C1259&lt;&gt;"", J1259&lt;&gt;""), HYPERLINK("#'" &amp; C1259 &amp; "'!" &amp; J1259, J1259), "")</f>
        <v/>
      </c>
    </row>
    <row r="1260">
      <c r="B1260" s="21">
        <f>IF(AND(C1260&lt;&gt;"", J1260&lt;&gt;""), HYPERLINK("#'" &amp; C1260 &amp; "'!" &amp; J1260, J1260), "")</f>
        <v/>
      </c>
    </row>
    <row r="1261">
      <c r="B1261" s="21">
        <f>IF(AND(C1261&lt;&gt;"", J1261&lt;&gt;""), HYPERLINK("#'" &amp; C1261 &amp; "'!" &amp; J1261, J1261), "")</f>
        <v/>
      </c>
    </row>
    <row r="1262">
      <c r="B1262" s="21">
        <f>IF(AND(C1262&lt;&gt;"", J1262&lt;&gt;""), HYPERLINK("#'" &amp; C1262 &amp; "'!" &amp; J1262, J1262), "")</f>
        <v/>
      </c>
    </row>
    <row r="1263">
      <c r="B1263" s="21">
        <f>IF(AND(C1263&lt;&gt;"", J1263&lt;&gt;""), HYPERLINK("#'" &amp; C1263 &amp; "'!" &amp; J1263, J1263), "")</f>
        <v/>
      </c>
    </row>
    <row r="1264">
      <c r="B1264" s="21">
        <f>IF(AND(C1264&lt;&gt;"", J1264&lt;&gt;""), HYPERLINK("#'" &amp; C1264 &amp; "'!" &amp; J1264, J1264), "")</f>
        <v/>
      </c>
    </row>
    <row r="1265">
      <c r="B1265" s="21">
        <f>IF(AND(C1265&lt;&gt;"", J1265&lt;&gt;""), HYPERLINK("#'" &amp; C1265 &amp; "'!" &amp; J1265, J1265), "")</f>
        <v/>
      </c>
    </row>
    <row r="1266">
      <c r="B1266" s="21">
        <f>IF(AND(C1266&lt;&gt;"", J1266&lt;&gt;""), HYPERLINK("#'" &amp; C1266 &amp; "'!" &amp; J1266, J1266), "")</f>
        <v/>
      </c>
    </row>
    <row r="1267">
      <c r="B1267" s="21">
        <f>IF(AND(C1267&lt;&gt;"", J1267&lt;&gt;""), HYPERLINK("#'" &amp; C1267 &amp; "'!" &amp; J1267, J1267), "")</f>
        <v/>
      </c>
    </row>
    <row r="1268">
      <c r="B1268" s="21">
        <f>IF(AND(C1268&lt;&gt;"", J1268&lt;&gt;""), HYPERLINK("#'" &amp; C1268 &amp; "'!" &amp; J1268, J1268), "")</f>
        <v/>
      </c>
    </row>
    <row r="1269">
      <c r="B1269" s="21">
        <f>IF(AND(C1269&lt;&gt;"", J1269&lt;&gt;""), HYPERLINK("#'" &amp; C1269 &amp; "'!" &amp; J1269, J1269), "")</f>
        <v/>
      </c>
    </row>
    <row r="1270">
      <c r="B1270" s="21">
        <f>IF(AND(C1270&lt;&gt;"", J1270&lt;&gt;""), HYPERLINK("#'" &amp; C1270 &amp; "'!" &amp; J1270, J1270), "")</f>
        <v/>
      </c>
    </row>
    <row r="1271">
      <c r="B1271" s="21">
        <f>IF(AND(C1271&lt;&gt;"", J1271&lt;&gt;""), HYPERLINK("#'" &amp; C1271 &amp; "'!" &amp; J1271, J1271), "")</f>
        <v/>
      </c>
    </row>
    <row r="1272">
      <c r="B1272" s="21">
        <f>IF(AND(C1272&lt;&gt;"", J1272&lt;&gt;""), HYPERLINK("#'" &amp; C1272 &amp; "'!" &amp; J1272, J1272), "")</f>
        <v/>
      </c>
    </row>
    <row r="1273">
      <c r="B1273" s="21">
        <f>IF(AND(C1273&lt;&gt;"", J1273&lt;&gt;""), HYPERLINK("#'" &amp; C1273 &amp; "'!" &amp; J1273, J1273), "")</f>
        <v/>
      </c>
    </row>
    <row r="1274">
      <c r="B1274" s="21">
        <f>IF(AND(C1274&lt;&gt;"", J1274&lt;&gt;""), HYPERLINK("#'" &amp; C1274 &amp; "'!" &amp; J1274, J1274), "")</f>
        <v/>
      </c>
    </row>
    <row r="1275">
      <c r="B1275" s="21">
        <f>IF(AND(C1275&lt;&gt;"", J1275&lt;&gt;""), HYPERLINK("#'" &amp; C1275 &amp; "'!" &amp; J1275, J1275), "")</f>
        <v/>
      </c>
    </row>
    <row r="1276">
      <c r="B1276" s="21">
        <f>IF(AND(C1276&lt;&gt;"", J1276&lt;&gt;""), HYPERLINK("#'" &amp; C1276 &amp; "'!" &amp; J1276, J1276), "")</f>
        <v/>
      </c>
    </row>
    <row r="1277">
      <c r="B1277" s="21">
        <f>IF(AND(C1277&lt;&gt;"", J1277&lt;&gt;""), HYPERLINK("#'" &amp; C1277 &amp; "'!" &amp; J1277, J1277), "")</f>
        <v/>
      </c>
    </row>
    <row r="1278">
      <c r="B1278" s="21">
        <f>IF(AND(C1278&lt;&gt;"", J1278&lt;&gt;""), HYPERLINK("#'" &amp; C1278 &amp; "'!" &amp; J1278, J1278), "")</f>
        <v/>
      </c>
    </row>
    <row r="1279">
      <c r="B1279" s="21">
        <f>IF(AND(C1279&lt;&gt;"", J1279&lt;&gt;""), HYPERLINK("#'" &amp; C1279 &amp; "'!" &amp; J1279, J1279), "")</f>
        <v/>
      </c>
    </row>
    <row r="1280">
      <c r="B1280" s="21">
        <f>IF(AND(C1280&lt;&gt;"", J1280&lt;&gt;""), HYPERLINK("#'" &amp; C1280 &amp; "'!" &amp; J1280, J1280), "")</f>
        <v/>
      </c>
    </row>
    <row r="1281">
      <c r="B1281" s="21">
        <f>IF(AND(C1281&lt;&gt;"", J1281&lt;&gt;""), HYPERLINK("#'" &amp; C1281 &amp; "'!" &amp; J1281, J1281), "")</f>
        <v/>
      </c>
    </row>
    <row r="1282">
      <c r="B1282" s="21">
        <f>IF(AND(C1282&lt;&gt;"", J1282&lt;&gt;""), HYPERLINK("#'" &amp; C1282 &amp; "'!" &amp; J1282, J1282), "")</f>
        <v/>
      </c>
    </row>
    <row r="1283">
      <c r="B1283" s="21">
        <f>IF(AND(C1283&lt;&gt;"", J1283&lt;&gt;""), HYPERLINK("#'" &amp; C1283 &amp; "'!" &amp; J1283, J1283), "")</f>
        <v/>
      </c>
    </row>
    <row r="1284">
      <c r="B1284" s="21">
        <f>IF(AND(C1284&lt;&gt;"", J1284&lt;&gt;""), HYPERLINK("#'" &amp; C1284 &amp; "'!" &amp; J1284, J1284), "")</f>
        <v/>
      </c>
    </row>
    <row r="1285">
      <c r="B1285" s="21">
        <f>IF(AND(C1285&lt;&gt;"", J1285&lt;&gt;""), HYPERLINK("#'" &amp; C1285 &amp; "'!" &amp; J1285, J1285), "")</f>
        <v/>
      </c>
    </row>
    <row r="1286">
      <c r="B1286" s="21">
        <f>IF(AND(C1286&lt;&gt;"", J1286&lt;&gt;""), HYPERLINK("#'" &amp; C1286 &amp; "'!" &amp; J1286, J1286), "")</f>
        <v/>
      </c>
    </row>
    <row r="1287">
      <c r="B1287" s="21">
        <f>IF(AND(C1287&lt;&gt;"", J1287&lt;&gt;""), HYPERLINK("#'" &amp; C1287 &amp; "'!" &amp; J1287, J1287), "")</f>
        <v/>
      </c>
    </row>
    <row r="1288">
      <c r="B1288" s="21">
        <f>IF(AND(C1288&lt;&gt;"", J1288&lt;&gt;""), HYPERLINK("#'" &amp; C1288 &amp; "'!" &amp; J1288, J1288), "")</f>
        <v/>
      </c>
    </row>
    <row r="1289">
      <c r="B1289" s="21">
        <f>IF(AND(C1289&lt;&gt;"", J1289&lt;&gt;""), HYPERLINK("#'" &amp; C1289 &amp; "'!" &amp; J1289, J1289), "")</f>
        <v/>
      </c>
    </row>
    <row r="1290">
      <c r="B1290" s="21">
        <f>IF(AND(C1290&lt;&gt;"", J1290&lt;&gt;""), HYPERLINK("#'" &amp; C1290 &amp; "'!" &amp; J1290, J1290), "")</f>
        <v/>
      </c>
    </row>
    <row r="1291">
      <c r="B1291" s="21">
        <f>IF(AND(C1291&lt;&gt;"", J1291&lt;&gt;""), HYPERLINK("#'" &amp; C1291 &amp; "'!" &amp; J1291, J1291), "")</f>
        <v/>
      </c>
    </row>
    <row r="1292">
      <c r="B1292" s="21">
        <f>IF(AND(C1292&lt;&gt;"", J1292&lt;&gt;""), HYPERLINK("#'" &amp; C1292 &amp; "'!" &amp; J1292, J1292), "")</f>
        <v/>
      </c>
    </row>
    <row r="1293">
      <c r="B1293" s="21">
        <f>IF(AND(C1293&lt;&gt;"", J1293&lt;&gt;""), HYPERLINK("#'" &amp; C1293 &amp; "'!" &amp; J1293, J1293), "")</f>
        <v/>
      </c>
    </row>
    <row r="1294">
      <c r="B1294" s="21">
        <f>IF(AND(C1294&lt;&gt;"", J1294&lt;&gt;""), HYPERLINK("#'" &amp; C1294 &amp; "'!" &amp; J1294, J1294), "")</f>
        <v/>
      </c>
    </row>
    <row r="1295">
      <c r="B1295" s="21">
        <f>IF(AND(C1295&lt;&gt;"", J1295&lt;&gt;""), HYPERLINK("#'" &amp; C1295 &amp; "'!" &amp; J1295, J1295), "")</f>
        <v/>
      </c>
    </row>
    <row r="1296">
      <c r="B1296" s="21">
        <f>IF(AND(C1296&lt;&gt;"", J1296&lt;&gt;""), HYPERLINK("#'" &amp; C1296 &amp; "'!" &amp; J1296, J1296), "")</f>
        <v/>
      </c>
    </row>
    <row r="1297">
      <c r="B1297" s="21">
        <f>IF(AND(C1297&lt;&gt;"", J1297&lt;&gt;""), HYPERLINK("#'" &amp; C1297 &amp; "'!" &amp; J1297, J1297), "")</f>
        <v/>
      </c>
    </row>
    <row r="1298">
      <c r="B1298" s="21">
        <f>IF(AND(C1298&lt;&gt;"", J1298&lt;&gt;""), HYPERLINK("#'" &amp; C1298 &amp; "'!" &amp; J1298, J1298), "")</f>
        <v/>
      </c>
    </row>
    <row r="1299">
      <c r="B1299" s="21">
        <f>IF(AND(C1299&lt;&gt;"", J1299&lt;&gt;""), HYPERLINK("#'" &amp; C1299 &amp; "'!" &amp; J1299, J1299), "")</f>
        <v/>
      </c>
    </row>
    <row r="1300">
      <c r="B1300" s="21">
        <f>IF(AND(C1300&lt;&gt;"", J1300&lt;&gt;""), HYPERLINK("#'" &amp; C1300 &amp; "'!" &amp; J1300, J1300), "")</f>
        <v/>
      </c>
    </row>
    <row r="1301">
      <c r="B1301" s="21">
        <f>IF(AND(C1301&lt;&gt;"", J1301&lt;&gt;""), HYPERLINK("#'" &amp; C1301 &amp; "'!" &amp; J1301, J1301), "")</f>
        <v/>
      </c>
    </row>
    <row r="1302">
      <c r="B1302" s="21">
        <f>IF(AND(C1302&lt;&gt;"", J1302&lt;&gt;""), HYPERLINK("#'" &amp; C1302 &amp; "'!" &amp; J1302, J1302), "")</f>
        <v/>
      </c>
    </row>
    <row r="1303">
      <c r="B1303" s="21">
        <f>IF(AND(C1303&lt;&gt;"", J1303&lt;&gt;""), HYPERLINK("#'" &amp; C1303 &amp; "'!" &amp; J1303, J1303), "")</f>
        <v/>
      </c>
    </row>
    <row r="1304">
      <c r="B1304" s="21">
        <f>IF(AND(C1304&lt;&gt;"", J1304&lt;&gt;""), HYPERLINK("#'" &amp; C1304 &amp; "'!" &amp; J1304, J1304), "")</f>
        <v/>
      </c>
    </row>
    <row r="1305">
      <c r="B1305" s="21">
        <f>IF(AND(C1305&lt;&gt;"", J1305&lt;&gt;""), HYPERLINK("#'" &amp; C1305 &amp; "'!" &amp; J1305, J1305), "")</f>
        <v/>
      </c>
    </row>
    <row r="1306">
      <c r="B1306" s="21">
        <f>IF(AND(C1306&lt;&gt;"", J1306&lt;&gt;""), HYPERLINK("#'" &amp; C1306 &amp; "'!" &amp; J1306, J1306), "")</f>
        <v/>
      </c>
    </row>
    <row r="1307">
      <c r="B1307" s="21">
        <f>IF(AND(C1307&lt;&gt;"", J1307&lt;&gt;""), HYPERLINK("#'" &amp; C1307 &amp; "'!" &amp; J1307, J1307), "")</f>
        <v/>
      </c>
    </row>
    <row r="1308">
      <c r="B1308" s="21">
        <f>IF(AND(C1308&lt;&gt;"", J1308&lt;&gt;""), HYPERLINK("#'" &amp; C1308 &amp; "'!" &amp; J1308, J1308), "")</f>
        <v/>
      </c>
    </row>
    <row r="1309">
      <c r="B1309" s="21">
        <f>IF(AND(C1309&lt;&gt;"", J1309&lt;&gt;""), HYPERLINK("#'" &amp; C1309 &amp; "'!" &amp; J1309, J1309), "")</f>
        <v/>
      </c>
    </row>
    <row r="1310">
      <c r="B1310" s="21">
        <f>IF(AND(C1310&lt;&gt;"", J1310&lt;&gt;""), HYPERLINK("#'" &amp; C1310 &amp; "'!" &amp; J1310, J1310), "")</f>
        <v/>
      </c>
    </row>
    <row r="1311">
      <c r="B1311" s="21">
        <f>IF(AND(C1311&lt;&gt;"", J1311&lt;&gt;""), HYPERLINK("#'" &amp; C1311 &amp; "'!" &amp; J1311, J1311), "")</f>
        <v/>
      </c>
    </row>
    <row r="1312">
      <c r="B1312" s="21">
        <f>IF(AND(C1312&lt;&gt;"", J1312&lt;&gt;""), HYPERLINK("#'" &amp; C1312 &amp; "'!" &amp; J1312, J1312), "")</f>
        <v/>
      </c>
    </row>
    <row r="1313">
      <c r="B1313" s="21">
        <f>IF(AND(C1313&lt;&gt;"", J1313&lt;&gt;""), HYPERLINK("#'" &amp; C1313 &amp; "'!" &amp; J1313, J1313), "")</f>
        <v/>
      </c>
    </row>
    <row r="1314">
      <c r="B1314" s="21">
        <f>IF(AND(C1314&lt;&gt;"", J1314&lt;&gt;""), HYPERLINK("#'" &amp; C1314 &amp; "'!" &amp; J1314, J1314), "")</f>
        <v/>
      </c>
    </row>
    <row r="1315">
      <c r="B1315" s="21">
        <f>IF(AND(C1315&lt;&gt;"", J1315&lt;&gt;""), HYPERLINK("#'" &amp; C1315 &amp; "'!" &amp; J1315, J1315), "")</f>
        <v/>
      </c>
    </row>
    <row r="1316">
      <c r="B1316" s="21">
        <f>IF(AND(C1316&lt;&gt;"", J1316&lt;&gt;""), HYPERLINK("#'" &amp; C1316 &amp; "'!" &amp; J1316, J1316), "")</f>
        <v/>
      </c>
    </row>
    <row r="1317">
      <c r="B1317" s="21">
        <f>IF(AND(C1317&lt;&gt;"", J1317&lt;&gt;""), HYPERLINK("#'" &amp; C1317 &amp; "'!" &amp; J1317, J1317), "")</f>
        <v/>
      </c>
    </row>
    <row r="1318">
      <c r="B1318" s="21">
        <f>IF(AND(C1318&lt;&gt;"", J1318&lt;&gt;""), HYPERLINK("#'" &amp; C1318 &amp; "'!" &amp; J1318, J1318), "")</f>
        <v/>
      </c>
    </row>
    <row r="1319">
      <c r="B1319" s="21">
        <f>IF(AND(C1319&lt;&gt;"", J1319&lt;&gt;""), HYPERLINK("#'" &amp; C1319 &amp; "'!" &amp; J1319, J1319), "")</f>
        <v/>
      </c>
    </row>
    <row r="1320">
      <c r="B1320" s="21">
        <f>IF(AND(C1320&lt;&gt;"", J1320&lt;&gt;""), HYPERLINK("#'" &amp; C1320 &amp; "'!" &amp; J1320, J1320), "")</f>
        <v/>
      </c>
    </row>
    <row r="1321">
      <c r="B1321" s="21">
        <f>IF(AND(C1321&lt;&gt;"", J1321&lt;&gt;""), HYPERLINK("#'" &amp; C1321 &amp; "'!" &amp; J1321, J1321), "")</f>
        <v/>
      </c>
    </row>
    <row r="1322">
      <c r="B1322" s="21">
        <f>IF(AND(C1322&lt;&gt;"", J1322&lt;&gt;""), HYPERLINK("#'" &amp; C1322 &amp; "'!" &amp; J1322, J1322), "")</f>
        <v/>
      </c>
    </row>
    <row r="1323">
      <c r="B1323" s="21">
        <f>IF(AND(C1323&lt;&gt;"", J1323&lt;&gt;""), HYPERLINK("#'" &amp; C1323 &amp; "'!" &amp; J1323, J1323), "")</f>
        <v/>
      </c>
    </row>
    <row r="1324">
      <c r="B1324" s="21">
        <f>IF(AND(C1324&lt;&gt;"", J1324&lt;&gt;""), HYPERLINK("#'" &amp; C1324 &amp; "'!" &amp; J1324, J1324), "")</f>
        <v/>
      </c>
    </row>
    <row r="1325">
      <c r="B1325" s="21">
        <f>IF(AND(C1325&lt;&gt;"", J1325&lt;&gt;""), HYPERLINK("#'" &amp; C1325 &amp; "'!" &amp; J1325, J1325), "")</f>
        <v/>
      </c>
    </row>
    <row r="1326">
      <c r="B1326" s="21">
        <f>IF(AND(C1326&lt;&gt;"", J1326&lt;&gt;""), HYPERLINK("#'" &amp; C1326 &amp; "'!" &amp; J1326, J1326), "")</f>
        <v/>
      </c>
    </row>
    <row r="1327">
      <c r="B1327" s="21">
        <f>IF(AND(C1327&lt;&gt;"", J1327&lt;&gt;""), HYPERLINK("#'" &amp; C1327 &amp; "'!" &amp; J1327, J1327), "")</f>
        <v/>
      </c>
    </row>
    <row r="1328">
      <c r="B1328" s="21">
        <f>IF(AND(C1328&lt;&gt;"", J1328&lt;&gt;""), HYPERLINK("#'" &amp; C1328 &amp; "'!" &amp; J1328, J1328), "")</f>
        <v/>
      </c>
    </row>
    <row r="1329">
      <c r="B1329" s="21">
        <f>IF(AND(C1329&lt;&gt;"", J1329&lt;&gt;""), HYPERLINK("#'" &amp; C1329 &amp; "'!" &amp; J1329, J1329), "")</f>
        <v/>
      </c>
    </row>
    <row r="1330">
      <c r="B1330" s="21">
        <f>IF(AND(C1330&lt;&gt;"", J1330&lt;&gt;""), HYPERLINK("#'" &amp; C1330 &amp; "'!" &amp; J1330, J1330), "")</f>
        <v/>
      </c>
    </row>
    <row r="1331">
      <c r="B1331" s="21">
        <f>IF(AND(C1331&lt;&gt;"", J1331&lt;&gt;""), HYPERLINK("#'" &amp; C1331 &amp; "'!" &amp; J1331, J1331), "")</f>
        <v/>
      </c>
    </row>
    <row r="1332">
      <c r="B1332" s="21">
        <f>IF(AND(C1332&lt;&gt;"", J1332&lt;&gt;""), HYPERLINK("#'" &amp; C1332 &amp; "'!" &amp; J1332, J1332), "")</f>
        <v/>
      </c>
    </row>
    <row r="1333">
      <c r="B1333" s="21">
        <f>IF(AND(C1333&lt;&gt;"", J1333&lt;&gt;""), HYPERLINK("#'" &amp; C1333 &amp; "'!" &amp; J1333, J1333), "")</f>
        <v/>
      </c>
    </row>
    <row r="1334">
      <c r="B1334" s="21">
        <f>IF(AND(C1334&lt;&gt;"", J1334&lt;&gt;""), HYPERLINK("#'" &amp; C1334 &amp; "'!" &amp; J1334, J1334), "")</f>
        <v/>
      </c>
    </row>
    <row r="1335">
      <c r="B1335" s="21">
        <f>IF(AND(C1335&lt;&gt;"", J1335&lt;&gt;""), HYPERLINK("#'" &amp; C1335 &amp; "'!" &amp; J1335, J1335), "")</f>
        <v/>
      </c>
    </row>
    <row r="1336">
      <c r="B1336" s="21">
        <f>IF(AND(C1336&lt;&gt;"", J1336&lt;&gt;""), HYPERLINK("#'" &amp; C1336 &amp; "'!" &amp; J1336, J1336), "")</f>
        <v/>
      </c>
    </row>
    <row r="1337">
      <c r="B1337" s="21">
        <f>IF(AND(C1337&lt;&gt;"", J1337&lt;&gt;""), HYPERLINK("#'" &amp; C1337 &amp; "'!" &amp; J1337, J1337), "")</f>
        <v/>
      </c>
    </row>
    <row r="1338">
      <c r="B1338" s="21">
        <f>IF(AND(C1338&lt;&gt;"", J1338&lt;&gt;""), HYPERLINK("#'" &amp; C1338 &amp; "'!" &amp; J1338, J1338), "")</f>
        <v/>
      </c>
    </row>
    <row r="1339">
      <c r="B1339" s="21">
        <f>IF(AND(C1339&lt;&gt;"", J1339&lt;&gt;""), HYPERLINK("#'" &amp; C1339 &amp; "'!" &amp; J1339, J1339), "")</f>
        <v/>
      </c>
    </row>
    <row r="1340">
      <c r="B1340" s="21">
        <f>IF(AND(C1340&lt;&gt;"", J1340&lt;&gt;""), HYPERLINK("#'" &amp; C1340 &amp; "'!" &amp; J1340, J1340), "")</f>
        <v/>
      </c>
    </row>
    <row r="1341">
      <c r="B1341" s="21">
        <f>IF(AND(C1341&lt;&gt;"", J1341&lt;&gt;""), HYPERLINK("#'" &amp; C1341 &amp; "'!" &amp; J1341, J1341), "")</f>
        <v/>
      </c>
    </row>
    <row r="1342">
      <c r="B1342" s="21">
        <f>IF(AND(C1342&lt;&gt;"", J1342&lt;&gt;""), HYPERLINK("#'" &amp; C1342 &amp; "'!" &amp; J1342, J1342), "")</f>
        <v/>
      </c>
    </row>
    <row r="1343">
      <c r="B1343" s="21">
        <f>IF(AND(C1343&lt;&gt;"", J1343&lt;&gt;""), HYPERLINK("#'" &amp; C1343 &amp; "'!" &amp; J1343, J1343), "")</f>
        <v/>
      </c>
    </row>
    <row r="1344">
      <c r="B1344" s="21">
        <f>IF(AND(C1344&lt;&gt;"", J1344&lt;&gt;""), HYPERLINK("#'" &amp; C1344 &amp; "'!" &amp; J1344, J1344), "")</f>
        <v/>
      </c>
    </row>
    <row r="1345">
      <c r="B1345" s="21">
        <f>IF(AND(C1345&lt;&gt;"", J1345&lt;&gt;""), HYPERLINK("#'" &amp; C1345 &amp; "'!" &amp; J1345, J1345), "")</f>
        <v/>
      </c>
    </row>
    <row r="1346">
      <c r="B1346" s="21">
        <f>IF(AND(C1346&lt;&gt;"", J1346&lt;&gt;""), HYPERLINK("#'" &amp; C1346 &amp; "'!" &amp; J1346, J1346), "")</f>
        <v/>
      </c>
    </row>
    <row r="1347">
      <c r="B1347" s="21">
        <f>IF(AND(C1347&lt;&gt;"", J1347&lt;&gt;""), HYPERLINK("#'" &amp; C1347 &amp; "'!" &amp; J1347, J1347), "")</f>
        <v/>
      </c>
    </row>
    <row r="1348">
      <c r="B1348" s="21">
        <f>IF(AND(C1348&lt;&gt;"", J1348&lt;&gt;""), HYPERLINK("#'" &amp; C1348 &amp; "'!" &amp; J1348, J1348), "")</f>
        <v/>
      </c>
    </row>
    <row r="1349">
      <c r="B1349" s="21">
        <f>IF(AND(C1349&lt;&gt;"", J1349&lt;&gt;""), HYPERLINK("#'" &amp; C1349 &amp; "'!" &amp; J1349, J1349), "")</f>
        <v/>
      </c>
    </row>
    <row r="1350">
      <c r="B1350" s="21">
        <f>IF(AND(C1350&lt;&gt;"", J1350&lt;&gt;""), HYPERLINK("#'" &amp; C1350 &amp; "'!" &amp; J1350, J1350), "")</f>
        <v/>
      </c>
    </row>
    <row r="1351">
      <c r="B1351" s="21">
        <f>IF(AND(C1351&lt;&gt;"", J1351&lt;&gt;""), HYPERLINK("#'" &amp; C1351 &amp; "'!" &amp; J1351, J1351), "")</f>
        <v/>
      </c>
    </row>
    <row r="1352">
      <c r="B1352" s="21">
        <f>IF(AND(C1352&lt;&gt;"", J1352&lt;&gt;""), HYPERLINK("#'" &amp; C1352 &amp; "'!" &amp; J1352, J1352), "")</f>
        <v/>
      </c>
    </row>
    <row r="1353">
      <c r="B1353" s="21">
        <f>IF(AND(C1353&lt;&gt;"", J1353&lt;&gt;""), HYPERLINK("#'" &amp; C1353 &amp; "'!" &amp; J1353, J1353), "")</f>
        <v/>
      </c>
    </row>
    <row r="1354">
      <c r="B1354" s="21">
        <f>IF(AND(C1354&lt;&gt;"", J1354&lt;&gt;""), HYPERLINK("#'" &amp; C1354 &amp; "'!" &amp; J1354, J1354), "")</f>
        <v/>
      </c>
    </row>
    <row r="1355">
      <c r="B1355" s="21">
        <f>IF(AND(C1355&lt;&gt;"", J1355&lt;&gt;""), HYPERLINK("#'" &amp; C1355 &amp; "'!" &amp; J1355, J1355), "")</f>
        <v/>
      </c>
    </row>
    <row r="1356">
      <c r="B1356" s="21">
        <f>IF(AND(C1356&lt;&gt;"", J1356&lt;&gt;""), HYPERLINK("#'" &amp; C1356 &amp; "'!" &amp; J1356, J1356), "")</f>
        <v/>
      </c>
    </row>
    <row r="1357">
      <c r="B1357" s="21">
        <f>IF(AND(C1357&lt;&gt;"", J1357&lt;&gt;""), HYPERLINK("#'" &amp; C1357 &amp; "'!" &amp; J1357, J1357), "")</f>
        <v/>
      </c>
    </row>
    <row r="1358">
      <c r="B1358" s="21">
        <f>IF(AND(C1358&lt;&gt;"", J1358&lt;&gt;""), HYPERLINK("#'" &amp; C1358 &amp; "'!" &amp; J1358, J1358), "")</f>
        <v/>
      </c>
    </row>
    <row r="1359">
      <c r="B1359" s="21">
        <f>IF(AND(C1359&lt;&gt;"", J1359&lt;&gt;""), HYPERLINK("#'" &amp; C1359 &amp; "'!" &amp; J1359, J1359), "")</f>
        <v/>
      </c>
    </row>
    <row r="1360">
      <c r="B1360" s="21">
        <f>IF(AND(C1360&lt;&gt;"", J1360&lt;&gt;""), HYPERLINK("#'" &amp; C1360 &amp; "'!" &amp; J1360, J1360), "")</f>
        <v/>
      </c>
    </row>
    <row r="1361">
      <c r="B1361" s="21">
        <f>IF(AND(C1361&lt;&gt;"", J1361&lt;&gt;""), HYPERLINK("#'" &amp; C1361 &amp; "'!" &amp; J1361, J1361), "")</f>
        <v/>
      </c>
    </row>
    <row r="1362">
      <c r="B1362" s="21">
        <f>IF(AND(C1362&lt;&gt;"", J1362&lt;&gt;""), HYPERLINK("#'" &amp; C1362 &amp; "'!" &amp; J1362, J1362), "")</f>
        <v/>
      </c>
    </row>
    <row r="1363">
      <c r="B1363" s="21">
        <f>IF(AND(C1363&lt;&gt;"", J1363&lt;&gt;""), HYPERLINK("#'" &amp; C1363 &amp; "'!" &amp; J1363, J1363), "")</f>
        <v/>
      </c>
    </row>
    <row r="1364">
      <c r="B1364" s="21">
        <f>IF(AND(C1364&lt;&gt;"", J1364&lt;&gt;""), HYPERLINK("#'" &amp; C1364 &amp; "'!" &amp; J1364, J1364), "")</f>
        <v/>
      </c>
    </row>
    <row r="1365">
      <c r="B1365" s="21">
        <f>IF(AND(C1365&lt;&gt;"", J1365&lt;&gt;""), HYPERLINK("#'" &amp; C1365 &amp; "'!" &amp; J1365, J1365), "")</f>
        <v/>
      </c>
    </row>
    <row r="1366">
      <c r="B1366" s="21">
        <f>IF(AND(C1366&lt;&gt;"", J1366&lt;&gt;""), HYPERLINK("#'" &amp; C1366 &amp; "'!" &amp; J1366, J1366), "")</f>
        <v/>
      </c>
    </row>
    <row r="1367">
      <c r="B1367" s="21">
        <f>IF(AND(C1367&lt;&gt;"", J1367&lt;&gt;""), HYPERLINK("#'" &amp; C1367 &amp; "'!" &amp; J1367, J1367), "")</f>
        <v/>
      </c>
    </row>
    <row r="1368">
      <c r="B1368" s="21">
        <f>IF(AND(C1368&lt;&gt;"", J1368&lt;&gt;""), HYPERLINK("#'" &amp; C1368 &amp; "'!" &amp; J1368, J1368), "")</f>
        <v/>
      </c>
    </row>
    <row r="1369">
      <c r="B1369" s="21">
        <f>IF(AND(C1369&lt;&gt;"", J1369&lt;&gt;""), HYPERLINK("#'" &amp; C1369 &amp; "'!" &amp; J1369, J1369), "")</f>
        <v/>
      </c>
    </row>
    <row r="1370">
      <c r="B1370" s="21">
        <f>IF(AND(C1370&lt;&gt;"", J1370&lt;&gt;""), HYPERLINK("#'" &amp; C1370 &amp; "'!" &amp; J1370, J1370), "")</f>
        <v/>
      </c>
    </row>
    <row r="1371">
      <c r="B1371" s="21">
        <f>IF(AND(C1371&lt;&gt;"", J1371&lt;&gt;""), HYPERLINK("#'" &amp; C1371 &amp; "'!" &amp; J1371, J1371), "")</f>
        <v/>
      </c>
    </row>
    <row r="1372">
      <c r="B1372" s="21">
        <f>IF(AND(C1372&lt;&gt;"", J1372&lt;&gt;""), HYPERLINK("#'" &amp; C1372 &amp; "'!" &amp; J1372, J1372), "")</f>
        <v/>
      </c>
    </row>
    <row r="1373">
      <c r="B1373" s="21">
        <f>IF(AND(C1373&lt;&gt;"", J1373&lt;&gt;""), HYPERLINK("#'" &amp; C1373 &amp; "'!" &amp; J1373, J1373), "")</f>
        <v/>
      </c>
    </row>
    <row r="1374">
      <c r="B1374" s="21">
        <f>IF(AND(C1374&lt;&gt;"", J1374&lt;&gt;""), HYPERLINK("#'" &amp; C1374 &amp; "'!" &amp; J1374, J1374), "")</f>
        <v/>
      </c>
    </row>
    <row r="1375">
      <c r="B1375" s="21">
        <f>IF(AND(C1375&lt;&gt;"", J1375&lt;&gt;""), HYPERLINK("#'" &amp; C1375 &amp; "'!" &amp; J1375, J1375), "")</f>
        <v/>
      </c>
    </row>
    <row r="1376">
      <c r="B1376" s="21">
        <f>IF(AND(C1376&lt;&gt;"", J1376&lt;&gt;""), HYPERLINK("#'" &amp; C1376 &amp; "'!" &amp; J1376, J1376), "")</f>
        <v/>
      </c>
    </row>
    <row r="1377">
      <c r="B1377" s="21">
        <f>IF(AND(C1377&lt;&gt;"", J1377&lt;&gt;""), HYPERLINK("#'" &amp; C1377 &amp; "'!" &amp; J1377, J1377), "")</f>
        <v/>
      </c>
    </row>
    <row r="1378">
      <c r="B1378" s="21">
        <f>IF(AND(C1378&lt;&gt;"", J1378&lt;&gt;""), HYPERLINK("#'" &amp; C1378 &amp; "'!" &amp; J1378, J1378), "")</f>
        <v/>
      </c>
    </row>
    <row r="1379">
      <c r="B1379" s="21">
        <f>IF(AND(C1379&lt;&gt;"", J1379&lt;&gt;""), HYPERLINK("#'" &amp; C1379 &amp; "'!" &amp; J1379, J1379), "")</f>
        <v/>
      </c>
    </row>
    <row r="1380">
      <c r="B1380" s="21">
        <f>IF(AND(C1380&lt;&gt;"", J1380&lt;&gt;""), HYPERLINK("#'" &amp; C1380 &amp; "'!" &amp; J1380, J1380), "")</f>
        <v/>
      </c>
    </row>
    <row r="1381">
      <c r="B1381" s="21">
        <f>IF(AND(C1381&lt;&gt;"", J1381&lt;&gt;""), HYPERLINK("#'" &amp; C1381 &amp; "'!" &amp; J1381, J1381), "")</f>
        <v/>
      </c>
    </row>
    <row r="1382">
      <c r="B1382" s="21">
        <f>IF(AND(C1382&lt;&gt;"", J1382&lt;&gt;""), HYPERLINK("#'" &amp; C1382 &amp; "'!" &amp; J1382, J1382), "")</f>
        <v/>
      </c>
    </row>
    <row r="1383">
      <c r="B1383" s="21">
        <f>IF(AND(C1383&lt;&gt;"", J1383&lt;&gt;""), HYPERLINK("#'" &amp; C1383 &amp; "'!" &amp; J1383, J1383), "")</f>
        <v/>
      </c>
    </row>
    <row r="1384">
      <c r="B1384" s="21">
        <f>IF(AND(C1384&lt;&gt;"", J1384&lt;&gt;""), HYPERLINK("#'" &amp; C1384 &amp; "'!" &amp; J1384, J1384), "")</f>
        <v/>
      </c>
    </row>
    <row r="1385">
      <c r="B1385" s="21">
        <f>IF(AND(C1385&lt;&gt;"", J1385&lt;&gt;""), HYPERLINK("#'" &amp; C1385 &amp; "'!" &amp; J1385, J1385), "")</f>
        <v/>
      </c>
    </row>
    <row r="1386">
      <c r="B1386" s="21">
        <f>IF(AND(C1386&lt;&gt;"", J1386&lt;&gt;""), HYPERLINK("#'" &amp; C1386 &amp; "'!" &amp; J1386, J1386), "")</f>
        <v/>
      </c>
    </row>
    <row r="1387">
      <c r="B1387" s="21">
        <f>IF(AND(C1387&lt;&gt;"", J1387&lt;&gt;""), HYPERLINK("#'" &amp; C1387 &amp; "'!" &amp; J1387, J1387), "")</f>
        <v/>
      </c>
    </row>
    <row r="1388">
      <c r="B1388" s="21">
        <f>IF(AND(C1388&lt;&gt;"", J1388&lt;&gt;""), HYPERLINK("#'" &amp; C1388 &amp; "'!" &amp; J1388, J1388), "")</f>
        <v/>
      </c>
    </row>
    <row r="1389">
      <c r="B1389" s="21">
        <f>IF(AND(C1389&lt;&gt;"", J1389&lt;&gt;""), HYPERLINK("#'" &amp; C1389 &amp; "'!" &amp; J1389, J1389), "")</f>
        <v/>
      </c>
    </row>
    <row r="1390">
      <c r="B1390" s="21">
        <f>IF(AND(C1390&lt;&gt;"", J1390&lt;&gt;""), HYPERLINK("#'" &amp; C1390 &amp; "'!" &amp; J1390, J1390), "")</f>
        <v/>
      </c>
    </row>
    <row r="1391">
      <c r="B1391" s="21">
        <f>IF(AND(C1391&lt;&gt;"", J1391&lt;&gt;""), HYPERLINK("#'" &amp; C1391 &amp; "'!" &amp; J1391, J1391), "")</f>
        <v/>
      </c>
    </row>
    <row r="1392">
      <c r="B1392" s="21">
        <f>IF(AND(C1392&lt;&gt;"", J1392&lt;&gt;""), HYPERLINK("#'" &amp; C1392 &amp; "'!" &amp; J1392, J1392), "")</f>
        <v/>
      </c>
    </row>
    <row r="1393">
      <c r="B1393" s="21">
        <f>IF(AND(C1393&lt;&gt;"", J1393&lt;&gt;""), HYPERLINK("#'" &amp; C1393 &amp; "'!" &amp; J1393, J1393), "")</f>
        <v/>
      </c>
    </row>
    <row r="1394">
      <c r="B1394" s="21">
        <f>IF(AND(C1394&lt;&gt;"", J1394&lt;&gt;""), HYPERLINK("#'" &amp; C1394 &amp; "'!" &amp; J1394, J1394), "")</f>
        <v/>
      </c>
    </row>
    <row r="1395">
      <c r="B1395" s="21">
        <f>IF(AND(C1395&lt;&gt;"", J1395&lt;&gt;""), HYPERLINK("#'" &amp; C1395 &amp; "'!" &amp; J1395, J1395), "")</f>
        <v/>
      </c>
    </row>
    <row r="1396">
      <c r="B1396" s="21">
        <f>IF(AND(C1396&lt;&gt;"", J1396&lt;&gt;""), HYPERLINK("#'" &amp; C1396 &amp; "'!" &amp; J1396, J1396), "")</f>
        <v/>
      </c>
    </row>
    <row r="1397">
      <c r="B1397" s="21">
        <f>IF(AND(C1397&lt;&gt;"", J1397&lt;&gt;""), HYPERLINK("#'" &amp; C1397 &amp; "'!" &amp; J1397, J1397), "")</f>
        <v/>
      </c>
    </row>
    <row r="1398">
      <c r="B1398" s="21">
        <f>IF(AND(C1398&lt;&gt;"", J1398&lt;&gt;""), HYPERLINK("#'" &amp; C1398 &amp; "'!" &amp; J1398, J1398), "")</f>
        <v/>
      </c>
    </row>
    <row r="1399">
      <c r="B1399" s="21">
        <f>IF(AND(C1399&lt;&gt;"", J1399&lt;&gt;""), HYPERLINK("#'" &amp; C1399 &amp; "'!" &amp; J1399, J1399), "")</f>
        <v/>
      </c>
    </row>
    <row r="1400">
      <c r="B1400" s="21">
        <f>IF(AND(C1400&lt;&gt;"", J1400&lt;&gt;""), HYPERLINK("#'" &amp; C1400 &amp; "'!" &amp; J1400, J1400), "")</f>
        <v/>
      </c>
    </row>
    <row r="1401">
      <c r="B1401" s="21">
        <f>IF(AND(C1401&lt;&gt;"", J1401&lt;&gt;""), HYPERLINK("#'" &amp; C1401 &amp; "'!" &amp; J1401, J1401), "")</f>
        <v/>
      </c>
    </row>
    <row r="1402">
      <c r="B1402" s="21">
        <f>IF(AND(C1402&lt;&gt;"", J1402&lt;&gt;""), HYPERLINK("#'" &amp; C1402 &amp; "'!" &amp; J1402, J1402), "")</f>
        <v/>
      </c>
    </row>
    <row r="1403">
      <c r="B1403" s="21">
        <f>IF(AND(C1403&lt;&gt;"", J1403&lt;&gt;""), HYPERLINK("#'" &amp; C1403 &amp; "'!" &amp; J1403, J1403), "")</f>
        <v/>
      </c>
    </row>
    <row r="1404">
      <c r="B1404" s="21">
        <f>IF(AND(C1404&lt;&gt;"", J1404&lt;&gt;""), HYPERLINK("#'" &amp; C1404 &amp; "'!" &amp; J1404, J1404), "")</f>
        <v/>
      </c>
    </row>
    <row r="1405">
      <c r="B1405" s="21">
        <f>IF(AND(C1405&lt;&gt;"", J1405&lt;&gt;""), HYPERLINK("#'" &amp; C1405 &amp; "'!" &amp; J1405, J1405), "")</f>
        <v/>
      </c>
    </row>
    <row r="1406">
      <c r="B1406" s="21">
        <f>IF(AND(C1406&lt;&gt;"", J1406&lt;&gt;""), HYPERLINK("#'" &amp; C1406 &amp; "'!" &amp; J1406, J1406), "")</f>
        <v/>
      </c>
    </row>
    <row r="1407">
      <c r="B1407" s="21">
        <f>IF(AND(C1407&lt;&gt;"", J1407&lt;&gt;""), HYPERLINK("#'" &amp; C1407 &amp; "'!" &amp; J1407, J1407), "")</f>
        <v/>
      </c>
    </row>
    <row r="1408">
      <c r="B1408" s="21">
        <f>IF(AND(C1408&lt;&gt;"", J1408&lt;&gt;""), HYPERLINK("#'" &amp; C1408 &amp; "'!" &amp; J1408, J1408), "")</f>
        <v/>
      </c>
    </row>
    <row r="1409">
      <c r="B1409" s="21">
        <f>IF(AND(C1409&lt;&gt;"", J1409&lt;&gt;""), HYPERLINK("#'" &amp; C1409 &amp; "'!" &amp; J1409, J1409), "")</f>
        <v/>
      </c>
    </row>
    <row r="1410">
      <c r="B1410" s="21">
        <f>IF(AND(C1410&lt;&gt;"", J1410&lt;&gt;""), HYPERLINK("#'" &amp; C1410 &amp; "'!" &amp; J1410, J1410), "")</f>
        <v/>
      </c>
    </row>
    <row r="1411">
      <c r="B1411" s="21">
        <f>IF(AND(C1411&lt;&gt;"", J1411&lt;&gt;""), HYPERLINK("#'" &amp; C1411 &amp; "'!" &amp; J1411, J1411), "")</f>
        <v/>
      </c>
    </row>
    <row r="1412">
      <c r="B1412" s="21">
        <f>IF(AND(C1412&lt;&gt;"", J1412&lt;&gt;""), HYPERLINK("#'" &amp; C1412 &amp; "'!" &amp; J1412, J1412), "")</f>
        <v/>
      </c>
    </row>
    <row r="1413">
      <c r="B1413" s="21">
        <f>IF(AND(C1413&lt;&gt;"", J1413&lt;&gt;""), HYPERLINK("#'" &amp; C1413 &amp; "'!" &amp; J1413, J1413), "")</f>
        <v/>
      </c>
    </row>
    <row r="1414">
      <c r="B1414" s="21">
        <f>IF(AND(C1414&lt;&gt;"", J1414&lt;&gt;""), HYPERLINK("#'" &amp; C1414 &amp; "'!" &amp; J1414, J1414), "")</f>
        <v/>
      </c>
    </row>
    <row r="1415">
      <c r="B1415" s="21">
        <f>IF(AND(C1415&lt;&gt;"", J1415&lt;&gt;""), HYPERLINK("#'" &amp; C1415 &amp; "'!" &amp; J1415, J1415), "")</f>
        <v/>
      </c>
    </row>
    <row r="1416">
      <c r="B1416" s="21">
        <f>IF(AND(C1416&lt;&gt;"", J1416&lt;&gt;""), HYPERLINK("#'" &amp; C1416 &amp; "'!" &amp; J1416, J1416), "")</f>
        <v/>
      </c>
    </row>
    <row r="1417">
      <c r="B1417" s="21">
        <f>IF(AND(C1417&lt;&gt;"", J1417&lt;&gt;""), HYPERLINK("#'" &amp; C1417 &amp; "'!" &amp; J1417, J1417), "")</f>
        <v/>
      </c>
    </row>
    <row r="1418">
      <c r="B1418" s="21">
        <f>IF(AND(C1418&lt;&gt;"", J1418&lt;&gt;""), HYPERLINK("#'" &amp; C1418 &amp; "'!" &amp; J1418, J1418), "")</f>
        <v/>
      </c>
    </row>
    <row r="1419">
      <c r="B1419" s="21">
        <f>IF(AND(C1419&lt;&gt;"", J1419&lt;&gt;""), HYPERLINK("#'" &amp; C1419 &amp; "'!" &amp; J1419, J1419), "")</f>
        <v/>
      </c>
    </row>
    <row r="1420">
      <c r="B1420" s="21">
        <f>IF(AND(C1420&lt;&gt;"", J1420&lt;&gt;""), HYPERLINK("#'" &amp; C1420 &amp; "'!" &amp; J1420, J1420), "")</f>
        <v/>
      </c>
    </row>
    <row r="1421">
      <c r="B1421" s="21">
        <f>IF(AND(C1421&lt;&gt;"", J1421&lt;&gt;""), HYPERLINK("#'" &amp; C1421 &amp; "'!" &amp; J1421, J1421), "")</f>
        <v/>
      </c>
    </row>
    <row r="1422">
      <c r="B1422" s="21">
        <f>IF(AND(C1422&lt;&gt;"", J1422&lt;&gt;""), HYPERLINK("#'" &amp; C1422 &amp; "'!" &amp; J1422, J1422), "")</f>
        <v/>
      </c>
    </row>
    <row r="1423">
      <c r="B1423" s="21">
        <f>IF(AND(C1423&lt;&gt;"", J1423&lt;&gt;""), HYPERLINK("#'" &amp; C1423 &amp; "'!" &amp; J1423, J1423), "")</f>
        <v/>
      </c>
    </row>
    <row r="1424">
      <c r="B1424" s="21">
        <f>IF(AND(C1424&lt;&gt;"", J1424&lt;&gt;""), HYPERLINK("#'" &amp; C1424 &amp; "'!" &amp; J1424, J1424), "")</f>
        <v/>
      </c>
    </row>
    <row r="1425">
      <c r="B1425" s="21">
        <f>IF(AND(C1425&lt;&gt;"", J1425&lt;&gt;""), HYPERLINK("#'" &amp; C1425 &amp; "'!" &amp; J1425, J1425), "")</f>
        <v/>
      </c>
    </row>
    <row r="1426">
      <c r="B1426" s="21">
        <f>IF(AND(C1426&lt;&gt;"", J1426&lt;&gt;""), HYPERLINK("#'" &amp; C1426 &amp; "'!" &amp; J1426, J1426), "")</f>
        <v/>
      </c>
    </row>
    <row r="1427">
      <c r="B1427" s="21">
        <f>IF(AND(C1427&lt;&gt;"", J1427&lt;&gt;""), HYPERLINK("#'" &amp; C1427 &amp; "'!" &amp; J1427, J1427), "")</f>
        <v/>
      </c>
    </row>
    <row r="1428">
      <c r="B1428" s="21">
        <f>IF(AND(C1428&lt;&gt;"", J1428&lt;&gt;""), HYPERLINK("#'" &amp; C1428 &amp; "'!" &amp; J1428, J1428), "")</f>
        <v/>
      </c>
    </row>
    <row r="1429">
      <c r="B1429" s="21">
        <f>IF(AND(C1429&lt;&gt;"", J1429&lt;&gt;""), HYPERLINK("#'" &amp; C1429 &amp; "'!" &amp; J1429, J1429), "")</f>
        <v/>
      </c>
    </row>
    <row r="1430">
      <c r="B1430" s="21">
        <f>IF(AND(C1430&lt;&gt;"", J1430&lt;&gt;""), HYPERLINK("#'" &amp; C1430 &amp; "'!" &amp; J1430, J1430), "")</f>
        <v/>
      </c>
    </row>
    <row r="1431">
      <c r="B1431" s="21">
        <f>IF(AND(C1431&lt;&gt;"", J1431&lt;&gt;""), HYPERLINK("#'" &amp; C1431 &amp; "'!" &amp; J1431, J1431), "")</f>
        <v/>
      </c>
    </row>
    <row r="1432">
      <c r="B1432" s="21">
        <f>IF(AND(C1432&lt;&gt;"", J1432&lt;&gt;""), HYPERLINK("#'" &amp; C1432 &amp; "'!" &amp; J1432, J1432), "")</f>
        <v/>
      </c>
    </row>
    <row r="1433">
      <c r="B1433" s="21">
        <f>IF(AND(C1433&lt;&gt;"", J1433&lt;&gt;""), HYPERLINK("#'" &amp; C1433 &amp; "'!" &amp; J1433, J1433), "")</f>
        <v/>
      </c>
    </row>
    <row r="1434">
      <c r="B1434" s="21">
        <f>IF(AND(C1434&lt;&gt;"", J1434&lt;&gt;""), HYPERLINK("#'" &amp; C1434 &amp; "'!" &amp; J1434, J1434), "")</f>
        <v/>
      </c>
    </row>
    <row r="1435">
      <c r="B1435" s="21">
        <f>IF(AND(C1435&lt;&gt;"", J1435&lt;&gt;""), HYPERLINK("#'" &amp; C1435 &amp; "'!" &amp; J1435, J1435), "")</f>
        <v/>
      </c>
    </row>
    <row r="1436">
      <c r="B1436" s="21">
        <f>IF(AND(C1436&lt;&gt;"", J1436&lt;&gt;""), HYPERLINK("#'" &amp; C1436 &amp; "'!" &amp; J1436, J1436), "")</f>
        <v/>
      </c>
    </row>
    <row r="1437">
      <c r="B1437" s="21">
        <f>IF(AND(C1437&lt;&gt;"", J1437&lt;&gt;""), HYPERLINK("#'" &amp; C1437 &amp; "'!" &amp; J1437, J1437), "")</f>
        <v/>
      </c>
    </row>
    <row r="1438">
      <c r="B1438" s="21">
        <f>IF(AND(C1438&lt;&gt;"", J1438&lt;&gt;""), HYPERLINK("#'" &amp; C1438 &amp; "'!" &amp; J1438, J1438), "")</f>
        <v/>
      </c>
    </row>
    <row r="1439">
      <c r="B1439" s="21">
        <f>IF(AND(C1439&lt;&gt;"", J1439&lt;&gt;""), HYPERLINK("#'" &amp; C1439 &amp; "'!" &amp; J1439, J1439), "")</f>
        <v/>
      </c>
    </row>
    <row r="1440">
      <c r="B1440" s="21">
        <f>IF(AND(C1440&lt;&gt;"", J1440&lt;&gt;""), HYPERLINK("#'" &amp; C1440 &amp; "'!" &amp; J1440, J1440), "")</f>
        <v/>
      </c>
    </row>
    <row r="1441">
      <c r="B1441" s="21">
        <f>IF(AND(C1441&lt;&gt;"", J1441&lt;&gt;""), HYPERLINK("#'" &amp; C1441 &amp; "'!" &amp; J1441, J1441), "")</f>
        <v/>
      </c>
    </row>
    <row r="1442">
      <c r="B1442" s="21">
        <f>IF(AND(C1442&lt;&gt;"", J1442&lt;&gt;""), HYPERLINK("#'" &amp; C1442 &amp; "'!" &amp; J1442, J1442), "")</f>
        <v/>
      </c>
    </row>
    <row r="1443">
      <c r="B1443" s="21">
        <f>IF(AND(C1443&lt;&gt;"", J1443&lt;&gt;""), HYPERLINK("#'" &amp; C1443 &amp; "'!" &amp; J1443, J1443), "")</f>
        <v/>
      </c>
    </row>
    <row r="1444">
      <c r="B1444" s="21">
        <f>IF(AND(C1444&lt;&gt;"", J1444&lt;&gt;""), HYPERLINK("#'" &amp; C1444 &amp; "'!" &amp; J1444, J1444), "")</f>
        <v/>
      </c>
    </row>
    <row r="1445">
      <c r="B1445" s="21">
        <f>IF(AND(C1445&lt;&gt;"", J1445&lt;&gt;""), HYPERLINK("#'" &amp; C1445 &amp; "'!" &amp; J1445, J1445), "")</f>
        <v/>
      </c>
    </row>
    <row r="1446">
      <c r="B1446" s="21">
        <f>IF(AND(C1446&lt;&gt;"", J1446&lt;&gt;""), HYPERLINK("#'" &amp; C1446 &amp; "'!" &amp; J1446, J1446), "")</f>
        <v/>
      </c>
    </row>
    <row r="1447">
      <c r="B1447" s="21">
        <f>IF(AND(C1447&lt;&gt;"", J1447&lt;&gt;""), HYPERLINK("#'" &amp; C1447 &amp; "'!" &amp; J1447, J1447), "")</f>
        <v/>
      </c>
    </row>
    <row r="1448">
      <c r="B1448" s="21">
        <f>IF(AND(C1448&lt;&gt;"", J1448&lt;&gt;""), HYPERLINK("#'" &amp; C1448 &amp; "'!" &amp; J1448, J1448), "")</f>
        <v/>
      </c>
    </row>
    <row r="1449">
      <c r="B1449" s="21">
        <f>IF(AND(C1449&lt;&gt;"", J1449&lt;&gt;""), HYPERLINK("#'" &amp; C1449 &amp; "'!" &amp; J1449, J1449), "")</f>
        <v/>
      </c>
    </row>
    <row r="1450">
      <c r="B1450" s="21">
        <f>IF(AND(C1450&lt;&gt;"", J1450&lt;&gt;""), HYPERLINK("#'" &amp; C1450 &amp; "'!" &amp; J1450, J1450), "")</f>
        <v/>
      </c>
    </row>
    <row r="1451">
      <c r="B1451" s="21">
        <f>IF(AND(C1451&lt;&gt;"", J1451&lt;&gt;""), HYPERLINK("#'" &amp; C1451 &amp; "'!" &amp; J1451, J1451), "")</f>
        <v/>
      </c>
    </row>
    <row r="1452">
      <c r="B1452" s="21">
        <f>IF(AND(C1452&lt;&gt;"", J1452&lt;&gt;""), HYPERLINK("#'" &amp; C1452 &amp; "'!" &amp; J1452, J1452), "")</f>
        <v/>
      </c>
    </row>
    <row r="1453">
      <c r="B1453" s="21">
        <f>IF(AND(C1453&lt;&gt;"", J1453&lt;&gt;""), HYPERLINK("#'" &amp; C1453 &amp; "'!" &amp; J1453, J1453), "")</f>
        <v/>
      </c>
    </row>
    <row r="1454">
      <c r="B1454" s="21">
        <f>IF(AND(C1454&lt;&gt;"", J1454&lt;&gt;""), HYPERLINK("#'" &amp; C1454 &amp; "'!" &amp; J1454, J1454), "")</f>
        <v/>
      </c>
    </row>
    <row r="1455">
      <c r="B1455" s="21">
        <f>IF(AND(C1455&lt;&gt;"", J1455&lt;&gt;""), HYPERLINK("#'" &amp; C1455 &amp; "'!" &amp; J1455, J1455), "")</f>
        <v/>
      </c>
    </row>
    <row r="1456">
      <c r="B1456" s="21">
        <f>IF(AND(C1456&lt;&gt;"", J1456&lt;&gt;""), HYPERLINK("#'" &amp; C1456 &amp; "'!" &amp; J1456, J1456), "")</f>
        <v/>
      </c>
    </row>
    <row r="1457">
      <c r="B1457" s="21">
        <f>IF(AND(C1457&lt;&gt;"", J1457&lt;&gt;""), HYPERLINK("#'" &amp; C1457 &amp; "'!" &amp; J1457, J1457), "")</f>
        <v/>
      </c>
    </row>
    <row r="1458">
      <c r="B1458" s="21">
        <f>IF(AND(C1458&lt;&gt;"", J1458&lt;&gt;""), HYPERLINK("#'" &amp; C1458 &amp; "'!" &amp; J1458, J1458), "")</f>
        <v/>
      </c>
    </row>
    <row r="1459">
      <c r="B1459" s="21">
        <f>IF(AND(C1459&lt;&gt;"", J1459&lt;&gt;""), HYPERLINK("#'" &amp; C1459 &amp; "'!" &amp; J1459, J1459), "")</f>
        <v/>
      </c>
    </row>
    <row r="1460">
      <c r="B1460" s="21">
        <f>IF(AND(C1460&lt;&gt;"", J1460&lt;&gt;""), HYPERLINK("#'" &amp; C1460 &amp; "'!" &amp; J1460, J1460), "")</f>
        <v/>
      </c>
    </row>
    <row r="1461">
      <c r="B1461" s="21">
        <f>IF(AND(C1461&lt;&gt;"", J1461&lt;&gt;""), HYPERLINK("#'" &amp; C1461 &amp; "'!" &amp; J1461, J1461), "")</f>
        <v/>
      </c>
    </row>
    <row r="1462">
      <c r="B1462" s="21">
        <f>IF(AND(C1462&lt;&gt;"", J1462&lt;&gt;""), HYPERLINK("#'" &amp; C1462 &amp; "'!" &amp; J1462, J1462), "")</f>
        <v/>
      </c>
    </row>
    <row r="1463">
      <c r="B1463" s="21">
        <f>IF(AND(C1463&lt;&gt;"", J1463&lt;&gt;""), HYPERLINK("#'" &amp; C1463 &amp; "'!" &amp; J1463, J1463), "")</f>
        <v/>
      </c>
    </row>
    <row r="1464">
      <c r="B1464" s="21">
        <f>IF(AND(C1464&lt;&gt;"", J1464&lt;&gt;""), HYPERLINK("#'" &amp; C1464 &amp; "'!" &amp; J1464, J1464), "")</f>
        <v/>
      </c>
    </row>
    <row r="1465">
      <c r="B1465" s="21">
        <f>IF(AND(C1465&lt;&gt;"", J1465&lt;&gt;""), HYPERLINK("#'" &amp; C1465 &amp; "'!" &amp; J1465, J1465), "")</f>
        <v/>
      </c>
    </row>
    <row r="1466">
      <c r="B1466" s="21">
        <f>IF(AND(C1466&lt;&gt;"", J1466&lt;&gt;""), HYPERLINK("#'" &amp; C1466 &amp; "'!" &amp; J1466, J1466), "")</f>
        <v/>
      </c>
    </row>
    <row r="1467">
      <c r="B1467" s="21">
        <f>IF(AND(C1467&lt;&gt;"", J1467&lt;&gt;""), HYPERLINK("#'" &amp; C1467 &amp; "'!" &amp; J1467, J1467), "")</f>
        <v/>
      </c>
    </row>
    <row r="1468">
      <c r="B1468" s="21">
        <f>IF(AND(C1468&lt;&gt;"", J1468&lt;&gt;""), HYPERLINK("#'" &amp; C1468 &amp; "'!" &amp; J1468, J1468), "")</f>
        <v/>
      </c>
    </row>
    <row r="1469">
      <c r="B1469" s="21">
        <f>IF(AND(C1469&lt;&gt;"", J1469&lt;&gt;""), HYPERLINK("#'" &amp; C1469 &amp; "'!" &amp; J1469, J1469), "")</f>
        <v/>
      </c>
    </row>
    <row r="1470">
      <c r="B1470" s="21">
        <f>IF(AND(C1470&lt;&gt;"", J1470&lt;&gt;""), HYPERLINK("#'" &amp; C1470 &amp; "'!" &amp; J1470, J1470), "")</f>
        <v/>
      </c>
    </row>
    <row r="1471">
      <c r="B1471" s="21">
        <f>IF(AND(C1471&lt;&gt;"", J1471&lt;&gt;""), HYPERLINK("#'" &amp; C1471 &amp; "'!" &amp; J1471, J1471), "")</f>
        <v/>
      </c>
    </row>
    <row r="1472">
      <c r="B1472" s="21">
        <f>IF(AND(C1472&lt;&gt;"", J1472&lt;&gt;""), HYPERLINK("#'" &amp; C1472 &amp; "'!" &amp; J1472, J1472), "")</f>
        <v/>
      </c>
    </row>
    <row r="1473">
      <c r="B1473" s="21">
        <f>IF(AND(C1473&lt;&gt;"", J1473&lt;&gt;""), HYPERLINK("#'" &amp; C1473 &amp; "'!" &amp; J1473, J1473), "")</f>
        <v/>
      </c>
    </row>
    <row r="1474">
      <c r="B1474" s="21">
        <f>IF(AND(C1474&lt;&gt;"", J1474&lt;&gt;""), HYPERLINK("#'" &amp; C1474 &amp; "'!" &amp; J1474, J1474), "")</f>
        <v/>
      </c>
    </row>
    <row r="1475">
      <c r="B1475" s="21">
        <f>IF(AND(C1475&lt;&gt;"", J1475&lt;&gt;""), HYPERLINK("#'" &amp; C1475 &amp; "'!" &amp; J1475, J1475), "")</f>
        <v/>
      </c>
    </row>
    <row r="1476">
      <c r="B1476" s="21">
        <f>IF(AND(C1476&lt;&gt;"", J1476&lt;&gt;""), HYPERLINK("#'" &amp; C1476 &amp; "'!" &amp; J1476, J1476), "")</f>
        <v/>
      </c>
    </row>
    <row r="1477">
      <c r="B1477" s="21">
        <f>IF(AND(C1477&lt;&gt;"", J1477&lt;&gt;""), HYPERLINK("#'" &amp; C1477 &amp; "'!" &amp; J1477, J1477), "")</f>
        <v/>
      </c>
    </row>
    <row r="1478">
      <c r="B1478" s="21">
        <f>IF(AND(C1478&lt;&gt;"", J1478&lt;&gt;""), HYPERLINK("#'" &amp; C1478 &amp; "'!" &amp; J1478, J1478), "")</f>
        <v/>
      </c>
    </row>
    <row r="1479">
      <c r="B1479" s="21">
        <f>IF(AND(C1479&lt;&gt;"", J1479&lt;&gt;""), HYPERLINK("#'" &amp; C1479 &amp; "'!" &amp; J1479, J1479), "")</f>
        <v/>
      </c>
    </row>
    <row r="1480">
      <c r="B1480" s="21">
        <f>IF(AND(C1480&lt;&gt;"", J1480&lt;&gt;""), HYPERLINK("#'" &amp; C1480 &amp; "'!" &amp; J1480, J1480), "")</f>
        <v/>
      </c>
    </row>
    <row r="1481">
      <c r="B1481" s="21">
        <f>IF(AND(C1481&lt;&gt;"", J1481&lt;&gt;""), HYPERLINK("#'" &amp; C1481 &amp; "'!" &amp; J1481, J1481), "")</f>
        <v/>
      </c>
    </row>
    <row r="1482">
      <c r="B1482" s="21">
        <f>IF(AND(C1482&lt;&gt;"", J1482&lt;&gt;""), HYPERLINK("#'" &amp; C1482 &amp; "'!" &amp; J1482, J1482), "")</f>
        <v/>
      </c>
    </row>
    <row r="1483">
      <c r="B1483" s="21">
        <f>IF(AND(C1483&lt;&gt;"", J1483&lt;&gt;""), HYPERLINK("#'" &amp; C1483 &amp; "'!" &amp; J1483, J1483), "")</f>
        <v/>
      </c>
    </row>
    <row r="1484">
      <c r="B1484" s="21">
        <f>IF(AND(C1484&lt;&gt;"", J1484&lt;&gt;""), HYPERLINK("#'" &amp; C1484 &amp; "'!" &amp; J1484, J1484), "")</f>
        <v/>
      </c>
    </row>
    <row r="1485">
      <c r="B1485" s="21">
        <f>IF(AND(C1485&lt;&gt;"", J1485&lt;&gt;""), HYPERLINK("#'" &amp; C1485 &amp; "'!" &amp; J1485, J1485), "")</f>
        <v/>
      </c>
    </row>
    <row r="1486">
      <c r="B1486" s="21">
        <f>IF(AND(C1486&lt;&gt;"", J1486&lt;&gt;""), HYPERLINK("#'" &amp; C1486 &amp; "'!" &amp; J1486, J1486), "")</f>
        <v/>
      </c>
    </row>
    <row r="1487">
      <c r="B1487" s="21">
        <f>IF(AND(C1487&lt;&gt;"", J1487&lt;&gt;""), HYPERLINK("#'" &amp; C1487 &amp; "'!" &amp; J1487, J1487), "")</f>
        <v/>
      </c>
    </row>
    <row r="1488">
      <c r="B1488" s="21">
        <f>IF(AND(C1488&lt;&gt;"", J1488&lt;&gt;""), HYPERLINK("#'" &amp; C1488 &amp; "'!" &amp; J1488, J1488), "")</f>
        <v/>
      </c>
    </row>
    <row r="1489">
      <c r="B1489" s="21">
        <f>IF(AND(C1489&lt;&gt;"", J1489&lt;&gt;""), HYPERLINK("#'" &amp; C1489 &amp; "'!" &amp; J1489, J1489), "")</f>
        <v/>
      </c>
    </row>
    <row r="1490">
      <c r="B1490" s="21">
        <f>IF(AND(C1490&lt;&gt;"", J1490&lt;&gt;""), HYPERLINK("#'" &amp; C1490 &amp; "'!" &amp; J1490, J1490), "")</f>
        <v/>
      </c>
    </row>
    <row r="1491">
      <c r="B1491" s="21">
        <f>IF(AND(C1491&lt;&gt;"", J1491&lt;&gt;""), HYPERLINK("#'" &amp; C1491 &amp; "'!" &amp; J1491, J1491), "")</f>
        <v/>
      </c>
    </row>
    <row r="1492">
      <c r="B1492" s="21">
        <f>IF(AND(C1492&lt;&gt;"", J1492&lt;&gt;""), HYPERLINK("#'" &amp; C1492 &amp; "'!" &amp; J1492, J1492), "")</f>
        <v/>
      </c>
    </row>
    <row r="1493">
      <c r="B1493" s="21">
        <f>IF(AND(C1493&lt;&gt;"", J1493&lt;&gt;""), HYPERLINK("#'" &amp; C1493 &amp; "'!" &amp; J1493, J1493), "")</f>
        <v/>
      </c>
    </row>
    <row r="1494">
      <c r="B1494" s="21">
        <f>IF(AND(C1494&lt;&gt;"", J1494&lt;&gt;""), HYPERLINK("#'" &amp; C1494 &amp; "'!" &amp; J1494, J1494), "")</f>
        <v/>
      </c>
    </row>
    <row r="1495">
      <c r="B1495" s="21">
        <f>IF(AND(C1495&lt;&gt;"", J1495&lt;&gt;""), HYPERLINK("#'" &amp; C1495 &amp; "'!" &amp; J1495, J1495), "")</f>
        <v/>
      </c>
    </row>
    <row r="1496">
      <c r="B1496" s="21">
        <f>IF(AND(C1496&lt;&gt;"", J1496&lt;&gt;""), HYPERLINK("#'" &amp; C1496 &amp; "'!" &amp; J1496, J1496), "")</f>
        <v/>
      </c>
    </row>
    <row r="1497">
      <c r="B1497" s="21">
        <f>IF(AND(C1497&lt;&gt;"", J1497&lt;&gt;""), HYPERLINK("#'" &amp; C1497 &amp; "'!" &amp; J1497, J1497), "")</f>
        <v/>
      </c>
    </row>
    <row r="1498">
      <c r="B1498" s="21">
        <f>IF(AND(C1498&lt;&gt;"", J1498&lt;&gt;""), HYPERLINK("#'" &amp; C1498 &amp; "'!" &amp; J1498, J1498), "")</f>
        <v/>
      </c>
    </row>
    <row r="1499">
      <c r="B1499" s="21">
        <f>IF(AND(C1499&lt;&gt;"", J1499&lt;&gt;""), HYPERLINK("#'" &amp; C1499 &amp; "'!" &amp; J1499, J1499), "")</f>
        <v/>
      </c>
    </row>
    <row r="1500">
      <c r="B1500" s="21">
        <f>IF(AND(C1500&lt;&gt;"", J1500&lt;&gt;""), HYPERLINK("#'" &amp; C1500 &amp; "'!" &amp; J1500, J1500), "")</f>
        <v/>
      </c>
    </row>
    <row r="1501">
      <c r="B1501" s="21">
        <f>IF(AND(C1501&lt;&gt;"", J1501&lt;&gt;""), HYPERLINK("#'" &amp; C1501 &amp; "'!" &amp; J1501, J1501), "")</f>
        <v/>
      </c>
    </row>
    <row r="1502">
      <c r="B1502" s="21">
        <f>IF(AND(C1502&lt;&gt;"", J1502&lt;&gt;""), HYPERLINK("#'" &amp; C1502 &amp; "'!" &amp; J1502, J1502), "")</f>
        <v/>
      </c>
    </row>
    <row r="1503">
      <c r="B1503" s="21">
        <f>IF(AND(C1503&lt;&gt;"", J1503&lt;&gt;""), HYPERLINK("#'" &amp; C1503 &amp; "'!" &amp; J1503, J1503), "")</f>
        <v/>
      </c>
    </row>
    <row r="1504">
      <c r="B1504" s="21">
        <f>IF(AND(C1504&lt;&gt;"", J1504&lt;&gt;""), HYPERLINK("#'" &amp; C1504 &amp; "'!" &amp; J1504, J1504), "")</f>
        <v/>
      </c>
    </row>
    <row r="1505">
      <c r="B1505" s="21">
        <f>IF(AND(C1505&lt;&gt;"", J1505&lt;&gt;""), HYPERLINK("#'" &amp; C1505 &amp; "'!" &amp; J1505, J1505), "")</f>
        <v/>
      </c>
    </row>
    <row r="1506">
      <c r="B1506" s="21">
        <f>IF(AND(C1506&lt;&gt;"", J1506&lt;&gt;""), HYPERLINK("#'" &amp; C1506 &amp; "'!" &amp; J1506, J1506), "")</f>
        <v/>
      </c>
    </row>
    <row r="1507">
      <c r="B1507" s="21">
        <f>IF(AND(C1507&lt;&gt;"", J1507&lt;&gt;""), HYPERLINK("#'" &amp; C1507 &amp; "'!" &amp; J1507, J1507), "")</f>
        <v/>
      </c>
    </row>
    <row r="1508">
      <c r="B1508" s="21">
        <f>IF(AND(C1508&lt;&gt;"", J1508&lt;&gt;""), HYPERLINK("#'" &amp; C1508 &amp; "'!" &amp; J1508, J1508), "")</f>
        <v/>
      </c>
    </row>
    <row r="1509">
      <c r="B1509" s="21">
        <f>IF(AND(C1509&lt;&gt;"", J1509&lt;&gt;""), HYPERLINK("#'" &amp; C1509 &amp; "'!" &amp; J1509, J1509), "")</f>
        <v/>
      </c>
    </row>
    <row r="1510">
      <c r="B1510" s="21">
        <f>IF(AND(C1510&lt;&gt;"", J1510&lt;&gt;""), HYPERLINK("#'" &amp; C1510 &amp; "'!" &amp; J1510, J1510), "")</f>
        <v/>
      </c>
    </row>
    <row r="1511">
      <c r="B1511" s="21">
        <f>IF(AND(C1511&lt;&gt;"", J1511&lt;&gt;""), HYPERLINK("#'" &amp; C1511 &amp; "'!" &amp; J1511, J1511), "")</f>
        <v/>
      </c>
    </row>
    <row r="1512">
      <c r="B1512" s="21">
        <f>IF(AND(C1512&lt;&gt;"", J1512&lt;&gt;""), HYPERLINK("#'" &amp; C1512 &amp; "'!" &amp; J1512, J1512), "")</f>
        <v/>
      </c>
    </row>
    <row r="1513">
      <c r="B1513" s="21">
        <f>IF(AND(C1513&lt;&gt;"", J1513&lt;&gt;""), HYPERLINK("#'" &amp; C1513 &amp; "'!" &amp; J1513, J1513), "")</f>
        <v/>
      </c>
    </row>
    <row r="1514">
      <c r="B1514" s="21">
        <f>IF(AND(C1514&lt;&gt;"", J1514&lt;&gt;""), HYPERLINK("#'" &amp; C1514 &amp; "'!" &amp; J1514, J1514), "")</f>
        <v/>
      </c>
    </row>
    <row r="1515">
      <c r="B1515" s="21">
        <f>IF(AND(C1515&lt;&gt;"", J1515&lt;&gt;""), HYPERLINK("#'" &amp; C1515 &amp; "'!" &amp; J1515, J1515), "")</f>
        <v/>
      </c>
    </row>
    <row r="1516">
      <c r="B1516" s="21">
        <f>IF(AND(C1516&lt;&gt;"", J1516&lt;&gt;""), HYPERLINK("#'" &amp; C1516 &amp; "'!" &amp; J1516, J1516), "")</f>
        <v/>
      </c>
    </row>
    <row r="1517">
      <c r="B1517" s="21">
        <f>IF(AND(C1517&lt;&gt;"", J1517&lt;&gt;""), HYPERLINK("#'" &amp; C1517 &amp; "'!" &amp; J1517, J1517), "")</f>
        <v/>
      </c>
    </row>
    <row r="1518">
      <c r="B1518" s="21">
        <f>IF(AND(C1518&lt;&gt;"", J1518&lt;&gt;""), HYPERLINK("#'" &amp; C1518 &amp; "'!" &amp; J1518, J1518), "")</f>
        <v/>
      </c>
    </row>
    <row r="1519">
      <c r="B1519" s="21">
        <f>IF(AND(C1519&lt;&gt;"", J1519&lt;&gt;""), HYPERLINK("#'" &amp; C1519 &amp; "'!" &amp; J1519, J1519), "")</f>
        <v/>
      </c>
    </row>
    <row r="1520">
      <c r="B1520" s="21">
        <f>IF(AND(C1520&lt;&gt;"", J1520&lt;&gt;""), HYPERLINK("#'" &amp; C1520 &amp; "'!" &amp; J1520, J1520), "")</f>
        <v/>
      </c>
    </row>
    <row r="1521">
      <c r="B1521" s="21">
        <f>IF(AND(C1521&lt;&gt;"", J1521&lt;&gt;""), HYPERLINK("#'" &amp; C1521 &amp; "'!" &amp; J1521, J1521), "")</f>
        <v/>
      </c>
    </row>
    <row r="1522">
      <c r="B1522" s="21">
        <f>IF(AND(C1522&lt;&gt;"", J1522&lt;&gt;""), HYPERLINK("#'" &amp; C1522 &amp; "'!" &amp; J1522, J1522), "")</f>
        <v/>
      </c>
    </row>
    <row r="1523">
      <c r="B1523" s="21">
        <f>IF(AND(C1523&lt;&gt;"", J1523&lt;&gt;""), HYPERLINK("#'" &amp; C1523 &amp; "'!" &amp; J1523, J1523), "")</f>
        <v/>
      </c>
    </row>
    <row r="1524">
      <c r="B1524" s="21">
        <f>IF(AND(C1524&lt;&gt;"", J1524&lt;&gt;""), HYPERLINK("#'" &amp; C1524 &amp; "'!" &amp; J1524, J1524), "")</f>
        <v/>
      </c>
    </row>
    <row r="1525">
      <c r="B1525" s="21">
        <f>IF(AND(C1525&lt;&gt;"", J1525&lt;&gt;""), HYPERLINK("#'" &amp; C1525 &amp; "'!" &amp; J1525, J1525), "")</f>
        <v/>
      </c>
    </row>
    <row r="1526">
      <c r="B1526" s="21">
        <f>IF(AND(C1526&lt;&gt;"", J1526&lt;&gt;""), HYPERLINK("#'" &amp; C1526 &amp; "'!" &amp; J1526, J1526), "")</f>
        <v/>
      </c>
    </row>
    <row r="1527">
      <c r="B1527" s="21">
        <f>IF(AND(C1527&lt;&gt;"", J1527&lt;&gt;""), HYPERLINK("#'" &amp; C1527 &amp; "'!" &amp; J1527, J1527), "")</f>
        <v/>
      </c>
    </row>
    <row r="1528">
      <c r="B1528" s="21">
        <f>IF(AND(C1528&lt;&gt;"", J1528&lt;&gt;""), HYPERLINK("#'" &amp; C1528 &amp; "'!" &amp; J1528, J1528), "")</f>
        <v/>
      </c>
    </row>
    <row r="1529">
      <c r="B1529" s="21">
        <f>IF(AND(C1529&lt;&gt;"", J1529&lt;&gt;""), HYPERLINK("#'" &amp; C1529 &amp; "'!" &amp; J1529, J1529), "")</f>
        <v/>
      </c>
    </row>
    <row r="1530">
      <c r="B1530" s="21">
        <f>IF(AND(C1530&lt;&gt;"", J1530&lt;&gt;""), HYPERLINK("#'" &amp; C1530 &amp; "'!" &amp; J1530, J1530), "")</f>
        <v/>
      </c>
    </row>
    <row r="1531">
      <c r="B1531" s="21">
        <f>IF(AND(C1531&lt;&gt;"", J1531&lt;&gt;""), HYPERLINK("#'" &amp; C1531 &amp; "'!" &amp; J1531, J1531), "")</f>
        <v/>
      </c>
    </row>
    <row r="1532">
      <c r="B1532" s="21">
        <f>IF(AND(C1532&lt;&gt;"", J1532&lt;&gt;""), HYPERLINK("#'" &amp; C1532 &amp; "'!" &amp; J1532, J1532), "")</f>
        <v/>
      </c>
    </row>
    <row r="1533">
      <c r="B1533" s="21">
        <f>IF(AND(C1533&lt;&gt;"", J1533&lt;&gt;""), HYPERLINK("#'" &amp; C1533 &amp; "'!" &amp; J1533, J1533), "")</f>
        <v/>
      </c>
    </row>
    <row r="1534">
      <c r="B1534" s="21">
        <f>IF(AND(C1534&lt;&gt;"", J1534&lt;&gt;""), HYPERLINK("#'" &amp; C1534 &amp; "'!" &amp; J1534, J1534), "")</f>
        <v/>
      </c>
    </row>
    <row r="1535">
      <c r="B1535" s="21">
        <f>IF(AND(C1535&lt;&gt;"", J1535&lt;&gt;""), HYPERLINK("#'" &amp; C1535 &amp; "'!" &amp; J1535, J1535), "")</f>
        <v/>
      </c>
    </row>
    <row r="1536">
      <c r="B1536" s="21">
        <f>IF(AND(C1536&lt;&gt;"", J1536&lt;&gt;""), HYPERLINK("#'" &amp; C1536 &amp; "'!" &amp; J1536, J1536), "")</f>
        <v/>
      </c>
    </row>
    <row r="1537">
      <c r="B1537" s="21">
        <f>IF(AND(C1537&lt;&gt;"", J1537&lt;&gt;""), HYPERLINK("#'" &amp; C1537 &amp; "'!" &amp; J1537, J1537), "")</f>
        <v/>
      </c>
    </row>
    <row r="1538">
      <c r="B1538" s="21">
        <f>IF(AND(C1538&lt;&gt;"", J1538&lt;&gt;""), HYPERLINK("#'" &amp; C1538 &amp; "'!" &amp; J1538, J1538), "")</f>
        <v/>
      </c>
    </row>
    <row r="1539">
      <c r="B1539" s="21">
        <f>IF(AND(C1539&lt;&gt;"", J1539&lt;&gt;""), HYPERLINK("#'" &amp; C1539 &amp; "'!" &amp; J1539, J1539), "")</f>
        <v/>
      </c>
    </row>
    <row r="1540">
      <c r="B1540" s="21">
        <f>IF(AND(C1540&lt;&gt;"", J1540&lt;&gt;""), HYPERLINK("#'" &amp; C1540 &amp; "'!" &amp; J1540, J1540), "")</f>
        <v/>
      </c>
    </row>
    <row r="1541">
      <c r="B1541" s="21">
        <f>IF(AND(C1541&lt;&gt;"", J1541&lt;&gt;""), HYPERLINK("#'" &amp; C1541 &amp; "'!" &amp; J1541, J1541), "")</f>
        <v/>
      </c>
    </row>
    <row r="1542">
      <c r="B1542" s="21">
        <f>IF(AND(C1542&lt;&gt;"", J1542&lt;&gt;""), HYPERLINK("#'" &amp; C1542 &amp; "'!" &amp; J1542, J1542), "")</f>
        <v/>
      </c>
    </row>
    <row r="1543">
      <c r="B1543" s="21">
        <f>IF(AND(C1543&lt;&gt;"", J1543&lt;&gt;""), HYPERLINK("#'" &amp; C1543 &amp; "'!" &amp; J1543, J1543), "")</f>
        <v/>
      </c>
    </row>
    <row r="1544">
      <c r="B1544" s="21">
        <f>IF(AND(C1544&lt;&gt;"", J1544&lt;&gt;""), HYPERLINK("#'" &amp; C1544 &amp; "'!" &amp; J1544, J1544), "")</f>
        <v/>
      </c>
    </row>
    <row r="1545">
      <c r="B1545" s="21">
        <f>IF(AND(C1545&lt;&gt;"", J1545&lt;&gt;""), HYPERLINK("#'" &amp; C1545 &amp; "'!" &amp; J1545, J1545), "")</f>
        <v/>
      </c>
    </row>
    <row r="1546">
      <c r="B1546" s="21">
        <f>IF(AND(C1546&lt;&gt;"", J1546&lt;&gt;""), HYPERLINK("#'" &amp; C1546 &amp; "'!" &amp; J1546, J1546), "")</f>
        <v/>
      </c>
    </row>
    <row r="1547">
      <c r="B1547" s="21">
        <f>IF(AND(C1547&lt;&gt;"", J1547&lt;&gt;""), HYPERLINK("#'" &amp; C1547 &amp; "'!" &amp; J1547, J1547), "")</f>
        <v/>
      </c>
    </row>
    <row r="1548">
      <c r="B1548" s="21">
        <f>IF(AND(C1548&lt;&gt;"", J1548&lt;&gt;""), HYPERLINK("#'" &amp; C1548 &amp; "'!" &amp; J1548, J1548), "")</f>
        <v/>
      </c>
    </row>
    <row r="1549">
      <c r="B1549" s="21">
        <f>IF(AND(C1549&lt;&gt;"", J1549&lt;&gt;""), HYPERLINK("#'" &amp; C1549 &amp; "'!" &amp; J1549, J1549), "")</f>
        <v/>
      </c>
    </row>
    <row r="1550">
      <c r="B1550" s="21">
        <f>IF(AND(C1550&lt;&gt;"", J1550&lt;&gt;""), HYPERLINK("#'" &amp; C1550 &amp; "'!" &amp; J1550, J1550), "")</f>
        <v/>
      </c>
    </row>
    <row r="1551">
      <c r="B1551" s="21">
        <f>IF(AND(C1551&lt;&gt;"", J1551&lt;&gt;""), HYPERLINK("#'" &amp; C1551 &amp; "'!" &amp; J1551, J1551), "")</f>
        <v/>
      </c>
    </row>
    <row r="1552">
      <c r="B1552" s="21">
        <f>IF(AND(C1552&lt;&gt;"", J1552&lt;&gt;""), HYPERLINK("#'" &amp; C1552 &amp; "'!" &amp; J1552, J1552), "")</f>
        <v/>
      </c>
    </row>
    <row r="1553">
      <c r="B1553" s="21">
        <f>IF(AND(C1553&lt;&gt;"", J1553&lt;&gt;""), HYPERLINK("#'" &amp; C1553 &amp; "'!" &amp; J1553, J1553), "")</f>
        <v/>
      </c>
    </row>
    <row r="1554">
      <c r="B1554" s="21">
        <f>IF(AND(C1554&lt;&gt;"", J1554&lt;&gt;""), HYPERLINK("#'" &amp; C1554 &amp; "'!" &amp; J1554, J1554), "")</f>
        <v/>
      </c>
    </row>
    <row r="1555">
      <c r="B1555" s="21">
        <f>IF(AND(C1555&lt;&gt;"", J1555&lt;&gt;""), HYPERLINK("#'" &amp; C1555 &amp; "'!" &amp; J1555, J1555), "")</f>
        <v/>
      </c>
    </row>
    <row r="1556">
      <c r="B1556" s="21">
        <f>IF(AND(C1556&lt;&gt;"", J1556&lt;&gt;""), HYPERLINK("#'" &amp; C1556 &amp; "'!" &amp; J1556, J1556), "")</f>
        <v/>
      </c>
    </row>
    <row r="1557">
      <c r="B1557" s="21">
        <f>IF(AND(C1557&lt;&gt;"", J1557&lt;&gt;""), HYPERLINK("#'" &amp; C1557 &amp; "'!" &amp; J1557, J1557), "")</f>
        <v/>
      </c>
    </row>
    <row r="1558">
      <c r="B1558" s="21">
        <f>IF(AND(C1558&lt;&gt;"", J1558&lt;&gt;""), HYPERLINK("#'" &amp; C1558 &amp; "'!" &amp; J1558, J1558), "")</f>
        <v/>
      </c>
    </row>
    <row r="1559">
      <c r="B1559" s="21">
        <f>IF(AND(C1559&lt;&gt;"", J1559&lt;&gt;""), HYPERLINK("#'" &amp; C1559 &amp; "'!" &amp; J1559, J1559), "")</f>
        <v/>
      </c>
    </row>
    <row r="1560">
      <c r="B1560" s="21">
        <f>IF(AND(C1560&lt;&gt;"", J1560&lt;&gt;""), HYPERLINK("#'" &amp; C1560 &amp; "'!" &amp; J1560, J1560), "")</f>
        <v/>
      </c>
    </row>
    <row r="1561">
      <c r="B1561" s="21">
        <f>IF(AND(C1561&lt;&gt;"", J1561&lt;&gt;""), HYPERLINK("#'" &amp; C1561 &amp; "'!" &amp; J1561, J1561), "")</f>
        <v/>
      </c>
    </row>
    <row r="1562">
      <c r="B1562" s="21">
        <f>IF(AND(C1562&lt;&gt;"", J1562&lt;&gt;""), HYPERLINK("#'" &amp; C1562 &amp; "'!" &amp; J1562, J1562), "")</f>
        <v/>
      </c>
    </row>
    <row r="1563">
      <c r="B1563" s="21">
        <f>IF(AND(C1563&lt;&gt;"", J1563&lt;&gt;""), HYPERLINK("#'" &amp; C1563 &amp; "'!" &amp; J1563, J1563), "")</f>
        <v/>
      </c>
    </row>
    <row r="1564">
      <c r="B1564" s="21">
        <f>IF(AND(C1564&lt;&gt;"", J1564&lt;&gt;""), HYPERLINK("#'" &amp; C1564 &amp; "'!" &amp; J1564, J1564), "")</f>
        <v/>
      </c>
    </row>
    <row r="1565">
      <c r="B1565" s="21">
        <f>IF(AND(C1565&lt;&gt;"", J1565&lt;&gt;""), HYPERLINK("#'" &amp; C1565 &amp; "'!" &amp; J1565, J1565), "")</f>
        <v/>
      </c>
    </row>
    <row r="1566">
      <c r="B1566" s="21">
        <f>IF(AND(C1566&lt;&gt;"", J1566&lt;&gt;""), HYPERLINK("#'" &amp; C1566 &amp; "'!" &amp; J1566, J1566), "")</f>
        <v/>
      </c>
    </row>
    <row r="1567">
      <c r="B1567" s="21">
        <f>IF(AND(C1567&lt;&gt;"", J1567&lt;&gt;""), HYPERLINK("#'" &amp; C1567 &amp; "'!" &amp; J1567, J1567), "")</f>
        <v/>
      </c>
    </row>
    <row r="1568">
      <c r="B1568" s="21">
        <f>IF(AND(C1568&lt;&gt;"", J1568&lt;&gt;""), HYPERLINK("#'" &amp; C1568 &amp; "'!" &amp; J1568, J1568), "")</f>
        <v/>
      </c>
    </row>
    <row r="1569">
      <c r="B1569" s="21">
        <f>IF(AND(C1569&lt;&gt;"", J1569&lt;&gt;""), HYPERLINK("#'" &amp; C1569 &amp; "'!" &amp; J1569, J1569), "")</f>
        <v/>
      </c>
    </row>
    <row r="1570">
      <c r="B1570" s="21">
        <f>IF(AND(C1570&lt;&gt;"", J1570&lt;&gt;""), HYPERLINK("#'" &amp; C1570 &amp; "'!" &amp; J1570, J1570), "")</f>
        <v/>
      </c>
    </row>
    <row r="1571">
      <c r="B1571" s="21">
        <f>IF(AND(C1571&lt;&gt;"", J1571&lt;&gt;""), HYPERLINK("#'" &amp; C1571 &amp; "'!" &amp; J1571, J1571), "")</f>
        <v/>
      </c>
    </row>
    <row r="1572">
      <c r="B1572" s="21">
        <f>IF(AND(C1572&lt;&gt;"", J1572&lt;&gt;""), HYPERLINK("#'" &amp; C1572 &amp; "'!" &amp; J1572, J1572), "")</f>
        <v/>
      </c>
    </row>
    <row r="1573">
      <c r="B1573" s="21">
        <f>IF(AND(C1573&lt;&gt;"", J1573&lt;&gt;""), HYPERLINK("#'" &amp; C1573 &amp; "'!" &amp; J1573, J1573), "")</f>
        <v/>
      </c>
    </row>
    <row r="1574">
      <c r="B1574" s="21">
        <f>IF(AND(C1574&lt;&gt;"", J1574&lt;&gt;""), HYPERLINK("#'" &amp; C1574 &amp; "'!" &amp; J1574, J1574), "")</f>
        <v/>
      </c>
    </row>
    <row r="1575">
      <c r="B1575" s="21">
        <f>IF(AND(C1575&lt;&gt;"", J1575&lt;&gt;""), HYPERLINK("#'" &amp; C1575 &amp; "'!" &amp; J1575, J1575), "")</f>
        <v/>
      </c>
    </row>
    <row r="1576">
      <c r="B1576" s="21">
        <f>IF(AND(C1576&lt;&gt;"", J1576&lt;&gt;""), HYPERLINK("#'" &amp; C1576 &amp; "'!" &amp; J1576, J1576), "")</f>
        <v/>
      </c>
    </row>
    <row r="1577">
      <c r="B1577" s="21">
        <f>IF(AND(C1577&lt;&gt;"", J1577&lt;&gt;""), HYPERLINK("#'" &amp; C1577 &amp; "'!" &amp; J1577, J1577), "")</f>
        <v/>
      </c>
    </row>
    <row r="1578">
      <c r="B1578" s="21">
        <f>IF(AND(C1578&lt;&gt;"", J1578&lt;&gt;""), HYPERLINK("#'" &amp; C1578 &amp; "'!" &amp; J1578, J1578), "")</f>
        <v/>
      </c>
    </row>
    <row r="1579">
      <c r="B1579" s="21">
        <f>IF(AND(C1579&lt;&gt;"", J1579&lt;&gt;""), HYPERLINK("#'" &amp; C1579 &amp; "'!" &amp; J1579, J1579), "")</f>
        <v/>
      </c>
    </row>
    <row r="1580">
      <c r="B1580" s="21">
        <f>IF(AND(C1580&lt;&gt;"", J1580&lt;&gt;""), HYPERLINK("#'" &amp; C1580 &amp; "'!" &amp; J1580, J1580), "")</f>
        <v/>
      </c>
    </row>
    <row r="1581">
      <c r="B1581" s="21">
        <f>IF(AND(C1581&lt;&gt;"", J1581&lt;&gt;""), HYPERLINK("#'" &amp; C1581 &amp; "'!" &amp; J1581, J1581), "")</f>
        <v/>
      </c>
    </row>
    <row r="1582">
      <c r="B1582" s="21">
        <f>IF(AND(C1582&lt;&gt;"", J1582&lt;&gt;""), HYPERLINK("#'" &amp; C1582 &amp; "'!" &amp; J1582, J1582), "")</f>
        <v/>
      </c>
    </row>
    <row r="1583">
      <c r="B1583" s="21">
        <f>IF(AND(C1583&lt;&gt;"", J1583&lt;&gt;""), HYPERLINK("#'" &amp; C1583 &amp; "'!" &amp; J1583, J1583), "")</f>
        <v/>
      </c>
    </row>
    <row r="1584">
      <c r="B1584" s="21">
        <f>IF(AND(C1584&lt;&gt;"", J1584&lt;&gt;""), HYPERLINK("#'" &amp; C1584 &amp; "'!" &amp; J1584, J1584), "")</f>
        <v/>
      </c>
    </row>
    <row r="1585">
      <c r="B1585" s="21">
        <f>IF(AND(C1585&lt;&gt;"", J1585&lt;&gt;""), HYPERLINK("#'" &amp; C1585 &amp; "'!" &amp; J1585, J1585), "")</f>
        <v/>
      </c>
    </row>
    <row r="1586">
      <c r="B1586" s="21">
        <f>IF(AND(C1586&lt;&gt;"", J1586&lt;&gt;""), HYPERLINK("#'" &amp; C1586 &amp; "'!" &amp; J1586, J1586), "")</f>
        <v/>
      </c>
    </row>
    <row r="1587">
      <c r="B1587" s="21">
        <f>IF(AND(C1587&lt;&gt;"", J1587&lt;&gt;""), HYPERLINK("#'" &amp; C1587 &amp; "'!" &amp; J1587, J1587), "")</f>
        <v/>
      </c>
    </row>
    <row r="1588">
      <c r="B1588" s="21">
        <f>IF(AND(C1588&lt;&gt;"", J1588&lt;&gt;""), HYPERLINK("#'" &amp; C1588 &amp; "'!" &amp; J1588, J1588), "")</f>
        <v/>
      </c>
    </row>
    <row r="1589">
      <c r="B1589" s="21">
        <f>IF(AND(C1589&lt;&gt;"", J1589&lt;&gt;""), HYPERLINK("#'" &amp; C1589 &amp; "'!" &amp; J1589, J1589), "")</f>
        <v/>
      </c>
    </row>
    <row r="1590">
      <c r="B1590" s="21">
        <f>IF(AND(C1590&lt;&gt;"", J1590&lt;&gt;""), HYPERLINK("#'" &amp; C1590 &amp; "'!" &amp; J1590, J1590), "")</f>
        <v/>
      </c>
    </row>
    <row r="1591">
      <c r="B1591" s="21">
        <f>IF(AND(C1591&lt;&gt;"", J1591&lt;&gt;""), HYPERLINK("#'" &amp; C1591 &amp; "'!" &amp; J1591, J1591), "")</f>
        <v/>
      </c>
    </row>
    <row r="1592">
      <c r="B1592" s="21">
        <f>IF(AND(C1592&lt;&gt;"", J1592&lt;&gt;""), HYPERLINK("#'" &amp; C1592 &amp; "'!" &amp; J1592, J1592), "")</f>
        <v/>
      </c>
    </row>
    <row r="1593">
      <c r="B1593" s="21">
        <f>IF(AND(C1593&lt;&gt;"", J1593&lt;&gt;""), HYPERLINK("#'" &amp; C1593 &amp; "'!" &amp; J1593, J1593), "")</f>
        <v/>
      </c>
    </row>
    <row r="1594">
      <c r="B1594" s="21">
        <f>IF(AND(C1594&lt;&gt;"", J1594&lt;&gt;""), HYPERLINK("#'" &amp; C1594 &amp; "'!" &amp; J1594, J1594), "")</f>
        <v/>
      </c>
    </row>
    <row r="1595">
      <c r="B1595" s="21">
        <f>IF(AND(C1595&lt;&gt;"", J1595&lt;&gt;""), HYPERLINK("#'" &amp; C1595 &amp; "'!" &amp; J1595, J1595), "")</f>
        <v/>
      </c>
    </row>
    <row r="1596">
      <c r="B1596" s="21">
        <f>IF(AND(C1596&lt;&gt;"", J1596&lt;&gt;""), HYPERLINK("#'" &amp; C1596 &amp; "'!" &amp; J1596, J1596), "")</f>
        <v/>
      </c>
    </row>
    <row r="1597">
      <c r="B1597" s="21">
        <f>IF(AND(C1597&lt;&gt;"", J1597&lt;&gt;""), HYPERLINK("#'" &amp; C1597 &amp; "'!" &amp; J1597, J1597), "")</f>
        <v/>
      </c>
    </row>
    <row r="1598">
      <c r="B1598" s="21">
        <f>IF(AND(C1598&lt;&gt;"", J1598&lt;&gt;""), HYPERLINK("#'" &amp; C1598 &amp; "'!" &amp; J1598, J1598), "")</f>
        <v/>
      </c>
    </row>
    <row r="1599">
      <c r="B1599" s="21">
        <f>IF(AND(C1599&lt;&gt;"", J1599&lt;&gt;""), HYPERLINK("#'" &amp; C1599 &amp; "'!" &amp; J1599, J1599), "")</f>
        <v/>
      </c>
    </row>
    <row r="1600">
      <c r="B1600" s="21">
        <f>IF(AND(C1600&lt;&gt;"", J1600&lt;&gt;""), HYPERLINK("#'" &amp; C1600 &amp; "'!" &amp; J1600, J1600), "")</f>
        <v/>
      </c>
    </row>
    <row r="1601">
      <c r="B1601" s="21">
        <f>IF(AND(C1601&lt;&gt;"", J1601&lt;&gt;""), HYPERLINK("#'" &amp; C1601 &amp; "'!" &amp; J1601, J1601), "")</f>
        <v/>
      </c>
    </row>
    <row r="1602">
      <c r="B1602" s="21">
        <f>IF(AND(C1602&lt;&gt;"", J1602&lt;&gt;""), HYPERLINK("#'" &amp; C1602 &amp; "'!" &amp; J1602, J1602), "")</f>
        <v/>
      </c>
    </row>
    <row r="1603">
      <c r="B1603" s="21">
        <f>IF(AND(C1603&lt;&gt;"", J1603&lt;&gt;""), HYPERLINK("#'" &amp; C1603 &amp; "'!" &amp; J1603, J1603), "")</f>
        <v/>
      </c>
    </row>
    <row r="1604">
      <c r="B1604" s="21">
        <f>IF(AND(C1604&lt;&gt;"", J1604&lt;&gt;""), HYPERLINK("#'" &amp; C1604 &amp; "'!" &amp; J1604, J1604), "")</f>
        <v/>
      </c>
    </row>
    <row r="1605">
      <c r="B1605" s="21">
        <f>IF(AND(C1605&lt;&gt;"", J1605&lt;&gt;""), HYPERLINK("#'" &amp; C1605 &amp; "'!" &amp; J1605, J1605), "")</f>
        <v/>
      </c>
    </row>
    <row r="1606">
      <c r="B1606" s="21">
        <f>IF(AND(C1606&lt;&gt;"", J1606&lt;&gt;""), HYPERLINK("#'" &amp; C1606 &amp; "'!" &amp; J1606, J1606), "")</f>
        <v/>
      </c>
    </row>
    <row r="1607">
      <c r="B1607" s="21">
        <f>IF(AND(C1607&lt;&gt;"", J1607&lt;&gt;""), HYPERLINK("#'" &amp; C1607 &amp; "'!" &amp; J1607, J1607), "")</f>
        <v/>
      </c>
    </row>
    <row r="1608">
      <c r="B1608" s="21">
        <f>IF(AND(C1608&lt;&gt;"", J1608&lt;&gt;""), HYPERLINK("#'" &amp; C1608 &amp; "'!" &amp; J1608, J1608), "")</f>
        <v/>
      </c>
    </row>
    <row r="1609">
      <c r="B1609" s="21">
        <f>IF(AND(C1609&lt;&gt;"", J1609&lt;&gt;""), HYPERLINK("#'" &amp; C1609 &amp; "'!" &amp; J1609, J1609), "")</f>
        <v/>
      </c>
    </row>
    <row r="1610">
      <c r="B1610" s="21">
        <f>IF(AND(C1610&lt;&gt;"", J1610&lt;&gt;""), HYPERLINK("#'" &amp; C1610 &amp; "'!" &amp; J1610, J1610), "")</f>
        <v/>
      </c>
    </row>
    <row r="1611">
      <c r="B1611" s="21">
        <f>IF(AND(C1611&lt;&gt;"", J1611&lt;&gt;""), HYPERLINK("#'" &amp; C1611 &amp; "'!" &amp; J1611, J1611), "")</f>
        <v/>
      </c>
    </row>
    <row r="1612">
      <c r="B1612" s="21">
        <f>IF(AND(C1612&lt;&gt;"", J1612&lt;&gt;""), HYPERLINK("#'" &amp; C1612 &amp; "'!" &amp; J1612, J1612), "")</f>
        <v/>
      </c>
    </row>
    <row r="1613">
      <c r="B1613" s="21">
        <f>IF(AND(C1613&lt;&gt;"", J1613&lt;&gt;""), HYPERLINK("#'" &amp; C1613 &amp; "'!" &amp; J1613, J1613), "")</f>
        <v/>
      </c>
    </row>
    <row r="1614">
      <c r="B1614" s="21">
        <f>IF(AND(C1614&lt;&gt;"", J1614&lt;&gt;""), HYPERLINK("#'" &amp; C1614 &amp; "'!" &amp; J1614, J1614), "")</f>
        <v/>
      </c>
    </row>
    <row r="1615">
      <c r="B1615" s="21">
        <f>IF(AND(C1615&lt;&gt;"", J1615&lt;&gt;""), HYPERLINK("#'" &amp; C1615 &amp; "'!" &amp; J1615, J1615), "")</f>
        <v/>
      </c>
    </row>
    <row r="1616">
      <c r="B1616" s="21">
        <f>IF(AND(C1616&lt;&gt;"", J1616&lt;&gt;""), HYPERLINK("#'" &amp; C1616 &amp; "'!" &amp; J1616, J1616), "")</f>
        <v/>
      </c>
    </row>
    <row r="1617">
      <c r="B1617" s="21">
        <f>IF(AND(C1617&lt;&gt;"", J1617&lt;&gt;""), HYPERLINK("#'" &amp; C1617 &amp; "'!" &amp; J1617, J1617), "")</f>
        <v/>
      </c>
    </row>
    <row r="1618">
      <c r="B1618" s="21">
        <f>IF(AND(C1618&lt;&gt;"", J1618&lt;&gt;""), HYPERLINK("#'" &amp; C1618 &amp; "'!" &amp; J1618, J1618), "")</f>
        <v/>
      </c>
    </row>
    <row r="1619">
      <c r="B1619" s="21">
        <f>IF(AND(C1619&lt;&gt;"", J1619&lt;&gt;""), HYPERLINK("#'" &amp; C1619 &amp; "'!" &amp; J1619, J1619), "")</f>
        <v/>
      </c>
    </row>
    <row r="1620">
      <c r="B1620" s="21">
        <f>IF(AND(C1620&lt;&gt;"", J1620&lt;&gt;""), HYPERLINK("#'" &amp; C1620 &amp; "'!" &amp; J1620, J1620), "")</f>
        <v/>
      </c>
    </row>
    <row r="1621">
      <c r="B1621" s="21">
        <f>IF(AND(C1621&lt;&gt;"", J1621&lt;&gt;""), HYPERLINK("#'" &amp; C1621 &amp; "'!" &amp; J1621, J1621), "")</f>
        <v/>
      </c>
    </row>
    <row r="1622">
      <c r="B1622" s="21">
        <f>IF(AND(C1622&lt;&gt;"", J1622&lt;&gt;""), HYPERLINK("#'" &amp; C1622 &amp; "'!" &amp; J1622, J1622), "")</f>
        <v/>
      </c>
    </row>
    <row r="1623">
      <c r="B1623" s="21">
        <f>IF(AND(C1623&lt;&gt;"", J1623&lt;&gt;""), HYPERLINK("#'" &amp; C1623 &amp; "'!" &amp; J1623, J1623), "")</f>
        <v/>
      </c>
    </row>
    <row r="1624">
      <c r="B1624" s="21">
        <f>IF(AND(C1624&lt;&gt;"", J1624&lt;&gt;""), HYPERLINK("#'" &amp; C1624 &amp; "'!" &amp; J1624, J1624), "")</f>
        <v/>
      </c>
    </row>
    <row r="1625">
      <c r="B1625" s="21">
        <f>IF(AND(C1625&lt;&gt;"", J1625&lt;&gt;""), HYPERLINK("#'" &amp; C1625 &amp; "'!" &amp; J1625, J1625), "")</f>
        <v/>
      </c>
    </row>
    <row r="1626">
      <c r="B1626" s="21">
        <f>IF(AND(C1626&lt;&gt;"", J1626&lt;&gt;""), HYPERLINK("#'" &amp; C1626 &amp; "'!" &amp; J1626, J1626), "")</f>
        <v/>
      </c>
    </row>
    <row r="1627">
      <c r="B1627" s="21">
        <f>IF(AND(C1627&lt;&gt;"", J1627&lt;&gt;""), HYPERLINK("#'" &amp; C1627 &amp; "'!" &amp; J1627, J1627), "")</f>
        <v/>
      </c>
    </row>
    <row r="1628">
      <c r="B1628" s="21">
        <f>IF(AND(C1628&lt;&gt;"", J1628&lt;&gt;""), HYPERLINK("#'" &amp; C1628 &amp; "'!" &amp; J1628, J1628), "")</f>
        <v/>
      </c>
    </row>
    <row r="1629">
      <c r="B1629" s="21">
        <f>IF(AND(C1629&lt;&gt;"", J1629&lt;&gt;""), HYPERLINK("#'" &amp; C1629 &amp; "'!" &amp; J1629, J1629), "")</f>
        <v/>
      </c>
    </row>
    <row r="1630">
      <c r="B1630" s="21">
        <f>IF(AND(C1630&lt;&gt;"", J1630&lt;&gt;""), HYPERLINK("#'" &amp; C1630 &amp; "'!" &amp; J1630, J1630), "")</f>
        <v/>
      </c>
    </row>
    <row r="1631">
      <c r="B1631" s="21">
        <f>IF(AND(C1631&lt;&gt;"", J1631&lt;&gt;""), HYPERLINK("#'" &amp; C1631 &amp; "'!" &amp; J1631, J1631), "")</f>
        <v/>
      </c>
    </row>
    <row r="1632">
      <c r="B1632" s="21">
        <f>IF(AND(C1632&lt;&gt;"", J1632&lt;&gt;""), HYPERLINK("#'" &amp; C1632 &amp; "'!" &amp; J1632, J1632), "")</f>
        <v/>
      </c>
    </row>
    <row r="1633">
      <c r="B1633" s="21">
        <f>IF(AND(C1633&lt;&gt;"", J1633&lt;&gt;""), HYPERLINK("#'" &amp; C1633 &amp; "'!" &amp; J1633, J1633), "")</f>
        <v/>
      </c>
    </row>
    <row r="1634">
      <c r="B1634" s="21">
        <f>IF(AND(C1634&lt;&gt;"", J1634&lt;&gt;""), HYPERLINK("#'" &amp; C1634 &amp; "'!" &amp; J1634, J1634), "")</f>
        <v/>
      </c>
    </row>
    <row r="1635">
      <c r="B1635" s="21">
        <f>IF(AND(C1635&lt;&gt;"", J1635&lt;&gt;""), HYPERLINK("#'" &amp; C1635 &amp; "'!" &amp; J1635, J1635), "")</f>
        <v/>
      </c>
    </row>
    <row r="1636">
      <c r="B1636" s="21">
        <f>IF(AND(C1636&lt;&gt;"", J1636&lt;&gt;""), HYPERLINK("#'" &amp; C1636 &amp; "'!" &amp; J1636, J1636), "")</f>
        <v/>
      </c>
    </row>
    <row r="1637">
      <c r="B1637" s="21">
        <f>IF(AND(C1637&lt;&gt;"", J1637&lt;&gt;""), HYPERLINK("#'" &amp; C1637 &amp; "'!" &amp; J1637, J1637), "")</f>
        <v/>
      </c>
    </row>
    <row r="1638">
      <c r="B1638" s="21">
        <f>IF(AND(C1638&lt;&gt;"", J1638&lt;&gt;""), HYPERLINK("#'" &amp; C1638 &amp; "'!" &amp; J1638, J1638), "")</f>
        <v/>
      </c>
    </row>
    <row r="1639">
      <c r="B1639" s="21">
        <f>IF(AND(C1639&lt;&gt;"", J1639&lt;&gt;""), HYPERLINK("#'" &amp; C1639 &amp; "'!" &amp; J1639, J1639), "")</f>
        <v/>
      </c>
    </row>
    <row r="1640">
      <c r="B1640" s="21">
        <f>IF(AND(C1640&lt;&gt;"", J1640&lt;&gt;""), HYPERLINK("#'" &amp; C1640 &amp; "'!" &amp; J1640, J1640), "")</f>
        <v/>
      </c>
    </row>
    <row r="1641">
      <c r="B1641" s="21">
        <f>IF(AND(C1641&lt;&gt;"", J1641&lt;&gt;""), HYPERLINK("#'" &amp; C1641 &amp; "'!" &amp; J1641, J1641), "")</f>
        <v/>
      </c>
    </row>
    <row r="1642">
      <c r="B1642" s="21">
        <f>IF(AND(C1642&lt;&gt;"", J1642&lt;&gt;""), HYPERLINK("#'" &amp; C1642 &amp; "'!" &amp; J1642, J1642), "")</f>
        <v/>
      </c>
    </row>
    <row r="1643">
      <c r="B1643" s="21">
        <f>IF(AND(C1643&lt;&gt;"", J1643&lt;&gt;""), HYPERLINK("#'" &amp; C1643 &amp; "'!" &amp; J1643, J1643), "")</f>
        <v/>
      </c>
    </row>
    <row r="1644">
      <c r="B1644" s="21">
        <f>IF(AND(C1644&lt;&gt;"", J1644&lt;&gt;""), HYPERLINK("#'" &amp; C1644 &amp; "'!" &amp; J1644, J1644), "")</f>
        <v/>
      </c>
    </row>
    <row r="1645">
      <c r="B1645" s="21">
        <f>IF(AND(C1645&lt;&gt;"", J1645&lt;&gt;""), HYPERLINK("#'" &amp; C1645 &amp; "'!" &amp; J1645, J1645), "")</f>
        <v/>
      </c>
    </row>
    <row r="1646">
      <c r="B1646" s="21">
        <f>IF(AND(C1646&lt;&gt;"", J1646&lt;&gt;""), HYPERLINK("#'" &amp; C1646 &amp; "'!" &amp; J1646, J1646), "")</f>
        <v/>
      </c>
    </row>
    <row r="1647">
      <c r="B1647" s="21">
        <f>IF(AND(C1647&lt;&gt;"", J1647&lt;&gt;""), HYPERLINK("#'" &amp; C1647 &amp; "'!" &amp; J1647, J1647), "")</f>
        <v/>
      </c>
    </row>
    <row r="1648">
      <c r="B1648" s="21">
        <f>IF(AND(C1648&lt;&gt;"", J1648&lt;&gt;""), HYPERLINK("#'" &amp; C1648 &amp; "'!" &amp; J1648, J1648), "")</f>
        <v/>
      </c>
    </row>
    <row r="1649">
      <c r="B1649" s="21">
        <f>IF(AND(C1649&lt;&gt;"", J1649&lt;&gt;""), HYPERLINK("#'" &amp; C1649 &amp; "'!" &amp; J1649, J1649), "")</f>
        <v/>
      </c>
    </row>
    <row r="1650">
      <c r="B1650" s="21">
        <f>IF(AND(C1650&lt;&gt;"", J1650&lt;&gt;""), HYPERLINK("#'" &amp; C1650 &amp; "'!" &amp; J1650, J1650), "")</f>
        <v/>
      </c>
    </row>
    <row r="1651">
      <c r="B1651" s="21">
        <f>IF(AND(C1651&lt;&gt;"", J1651&lt;&gt;""), HYPERLINK("#'" &amp; C1651 &amp; "'!" &amp; J1651, J1651), "")</f>
        <v/>
      </c>
    </row>
    <row r="1652">
      <c r="B1652" s="21">
        <f>IF(AND(C1652&lt;&gt;"", J1652&lt;&gt;""), HYPERLINK("#'" &amp; C1652 &amp; "'!" &amp; J1652, J1652), "")</f>
        <v/>
      </c>
    </row>
    <row r="1653">
      <c r="B1653" s="21">
        <f>IF(AND(C1653&lt;&gt;"", J1653&lt;&gt;""), HYPERLINK("#'" &amp; C1653 &amp; "'!" &amp; J1653, J1653), "")</f>
        <v/>
      </c>
    </row>
    <row r="1654">
      <c r="B1654" s="21">
        <f>IF(AND(C1654&lt;&gt;"", J1654&lt;&gt;""), HYPERLINK("#'" &amp; C1654 &amp; "'!" &amp; J1654, J1654), "")</f>
        <v/>
      </c>
    </row>
    <row r="1655">
      <c r="B1655" s="21">
        <f>IF(AND(C1655&lt;&gt;"", J1655&lt;&gt;""), HYPERLINK("#'" &amp; C1655 &amp; "'!" &amp; J1655, J1655), "")</f>
        <v/>
      </c>
    </row>
    <row r="1656">
      <c r="B1656" s="21">
        <f>IF(AND(C1656&lt;&gt;"", J1656&lt;&gt;""), HYPERLINK("#'" &amp; C1656 &amp; "'!" &amp; J1656, J1656), "")</f>
        <v/>
      </c>
    </row>
    <row r="1657">
      <c r="B1657" s="21">
        <f>IF(AND(C1657&lt;&gt;"", J1657&lt;&gt;""), HYPERLINK("#'" &amp; C1657 &amp; "'!" &amp; J1657, J1657), "")</f>
        <v/>
      </c>
    </row>
    <row r="1658">
      <c r="B1658" s="21">
        <f>IF(AND(C1658&lt;&gt;"", J1658&lt;&gt;""), HYPERLINK("#'" &amp; C1658 &amp; "'!" &amp; J1658, J1658), "")</f>
        <v/>
      </c>
    </row>
    <row r="1659">
      <c r="B1659" s="21">
        <f>IF(AND(C1659&lt;&gt;"", J1659&lt;&gt;""), HYPERLINK("#'" &amp; C1659 &amp; "'!" &amp; J1659, J1659), "")</f>
        <v/>
      </c>
    </row>
    <row r="1660">
      <c r="B1660" s="21">
        <f>IF(AND(C1660&lt;&gt;"", J1660&lt;&gt;""), HYPERLINK("#'" &amp; C1660 &amp; "'!" &amp; J1660, J1660), "")</f>
        <v/>
      </c>
    </row>
    <row r="1661">
      <c r="B1661" s="21">
        <f>IF(AND(C1661&lt;&gt;"", J1661&lt;&gt;""), HYPERLINK("#'" &amp; C1661 &amp; "'!" &amp; J1661, J1661), "")</f>
        <v/>
      </c>
    </row>
    <row r="1662">
      <c r="B1662" s="21">
        <f>IF(AND(C1662&lt;&gt;"", J1662&lt;&gt;""), HYPERLINK("#'" &amp; C1662 &amp; "'!" &amp; J1662, J1662), "")</f>
        <v/>
      </c>
    </row>
    <row r="1663">
      <c r="B1663" s="21">
        <f>IF(AND(C1663&lt;&gt;"", J1663&lt;&gt;""), HYPERLINK("#'" &amp; C1663 &amp; "'!" &amp; J1663, J1663), "")</f>
        <v/>
      </c>
    </row>
    <row r="1664">
      <c r="B1664" s="21">
        <f>IF(AND(C1664&lt;&gt;"", J1664&lt;&gt;""), HYPERLINK("#'" &amp; C1664 &amp; "'!" &amp; J1664, J1664), "")</f>
        <v/>
      </c>
    </row>
    <row r="1665">
      <c r="B1665" s="21">
        <f>IF(AND(C1665&lt;&gt;"", J1665&lt;&gt;""), HYPERLINK("#'" &amp; C1665 &amp; "'!" &amp; J1665, J1665), "")</f>
        <v/>
      </c>
    </row>
    <row r="1666">
      <c r="B1666" s="21">
        <f>IF(AND(C1666&lt;&gt;"", J1666&lt;&gt;""), HYPERLINK("#'" &amp; C1666 &amp; "'!" &amp; J1666, J1666), "")</f>
        <v/>
      </c>
    </row>
    <row r="1667">
      <c r="B1667" s="21">
        <f>IF(AND(C1667&lt;&gt;"", J1667&lt;&gt;""), HYPERLINK("#'" &amp; C1667 &amp; "'!" &amp; J1667, J1667), "")</f>
        <v/>
      </c>
    </row>
    <row r="1668">
      <c r="B1668" s="21">
        <f>IF(AND(C1668&lt;&gt;"", J1668&lt;&gt;""), HYPERLINK("#'" &amp; C1668 &amp; "'!" &amp; J1668, J1668), "")</f>
        <v/>
      </c>
    </row>
    <row r="1669">
      <c r="B1669" s="21">
        <f>IF(AND(C1669&lt;&gt;"", J1669&lt;&gt;""), HYPERLINK("#'" &amp; C1669 &amp; "'!" &amp; J1669, J1669), "")</f>
        <v/>
      </c>
    </row>
    <row r="1670">
      <c r="B1670" s="21">
        <f>IF(AND(C1670&lt;&gt;"", J1670&lt;&gt;""), HYPERLINK("#'" &amp; C1670 &amp; "'!" &amp; J1670, J1670), "")</f>
        <v/>
      </c>
    </row>
    <row r="1671">
      <c r="B1671" s="21">
        <f>IF(AND(C1671&lt;&gt;"", J1671&lt;&gt;""), HYPERLINK("#'" &amp; C1671 &amp; "'!" &amp; J1671, J1671), "")</f>
        <v/>
      </c>
    </row>
    <row r="1672">
      <c r="B1672" s="21">
        <f>IF(AND(C1672&lt;&gt;"", J1672&lt;&gt;""), HYPERLINK("#'" &amp; C1672 &amp; "'!" &amp; J1672, J1672), "")</f>
        <v/>
      </c>
    </row>
    <row r="1673">
      <c r="B1673" s="21">
        <f>IF(AND(C1673&lt;&gt;"", J1673&lt;&gt;""), HYPERLINK("#'" &amp; C1673 &amp; "'!" &amp; J1673, J1673), "")</f>
        <v/>
      </c>
    </row>
    <row r="1674">
      <c r="B1674" s="21">
        <f>IF(AND(C1674&lt;&gt;"", J1674&lt;&gt;""), HYPERLINK("#'" &amp; C1674 &amp; "'!" &amp; J1674, J1674), "")</f>
        <v/>
      </c>
    </row>
    <row r="1675">
      <c r="B1675" s="21">
        <f>IF(AND(C1675&lt;&gt;"", J1675&lt;&gt;""), HYPERLINK("#'" &amp; C1675 &amp; "'!" &amp; J1675, J1675), "")</f>
        <v/>
      </c>
    </row>
    <row r="1676">
      <c r="B1676" s="21">
        <f>IF(AND(C1676&lt;&gt;"", J1676&lt;&gt;""), HYPERLINK("#'" &amp; C1676 &amp; "'!" &amp; J1676, J1676), "")</f>
        <v/>
      </c>
    </row>
    <row r="1677">
      <c r="B1677" s="21">
        <f>IF(AND(C1677&lt;&gt;"", J1677&lt;&gt;""), HYPERLINK("#'" &amp; C1677 &amp; "'!" &amp; J1677, J1677), "")</f>
        <v/>
      </c>
    </row>
    <row r="1678">
      <c r="B1678" s="21">
        <f>IF(AND(C1678&lt;&gt;"", J1678&lt;&gt;""), HYPERLINK("#'" &amp; C1678 &amp; "'!" &amp; J1678, J1678), "")</f>
        <v/>
      </c>
    </row>
    <row r="1679">
      <c r="B1679" s="21">
        <f>IF(AND(C1679&lt;&gt;"", J1679&lt;&gt;""), HYPERLINK("#'" &amp; C1679 &amp; "'!" &amp; J1679, J1679), "")</f>
        <v/>
      </c>
    </row>
    <row r="1680">
      <c r="B1680" s="21">
        <f>IF(AND(C1680&lt;&gt;"", J1680&lt;&gt;""), HYPERLINK("#'" &amp; C1680 &amp; "'!" &amp; J1680, J1680), "")</f>
        <v/>
      </c>
    </row>
    <row r="1681">
      <c r="B1681" s="21">
        <f>IF(AND(C1681&lt;&gt;"", J1681&lt;&gt;""), HYPERLINK("#'" &amp; C1681 &amp; "'!" &amp; J1681, J1681), "")</f>
        <v/>
      </c>
    </row>
    <row r="1682">
      <c r="B1682" s="21">
        <f>IF(AND(C1682&lt;&gt;"", J1682&lt;&gt;""), HYPERLINK("#'" &amp; C1682 &amp; "'!" &amp; J1682, J1682), "")</f>
        <v/>
      </c>
    </row>
    <row r="1683">
      <c r="B1683" s="21">
        <f>IF(AND(C1683&lt;&gt;"", J1683&lt;&gt;""), HYPERLINK("#'" &amp; C1683 &amp; "'!" &amp; J1683, J1683), "")</f>
        <v/>
      </c>
    </row>
    <row r="1684">
      <c r="B1684" s="21">
        <f>IF(AND(C1684&lt;&gt;"", J1684&lt;&gt;""), HYPERLINK("#'" &amp; C1684 &amp; "'!" &amp; J1684, J1684), "")</f>
        <v/>
      </c>
    </row>
    <row r="1685">
      <c r="B1685" s="21">
        <f>IF(AND(C1685&lt;&gt;"", J1685&lt;&gt;""), HYPERLINK("#'" &amp; C1685 &amp; "'!" &amp; J1685, J1685), "")</f>
        <v/>
      </c>
    </row>
    <row r="1686">
      <c r="B1686" s="21">
        <f>IF(AND(C1686&lt;&gt;"", J1686&lt;&gt;""), HYPERLINK("#'" &amp; C1686 &amp; "'!" &amp; J1686, J1686), "")</f>
        <v/>
      </c>
    </row>
    <row r="1687">
      <c r="B1687" s="21">
        <f>IF(AND(C1687&lt;&gt;"", J1687&lt;&gt;""), HYPERLINK("#'" &amp; C1687 &amp; "'!" &amp; J1687, J1687), "")</f>
        <v/>
      </c>
    </row>
    <row r="1688">
      <c r="B1688" s="21">
        <f>IF(AND(C1688&lt;&gt;"", J1688&lt;&gt;""), HYPERLINK("#'" &amp; C1688 &amp; "'!" &amp; J1688, J1688), "")</f>
        <v/>
      </c>
    </row>
    <row r="1689">
      <c r="B1689" s="21">
        <f>IF(AND(C1689&lt;&gt;"", J1689&lt;&gt;""), HYPERLINK("#'" &amp; C1689 &amp; "'!" &amp; J1689, J1689), "")</f>
        <v/>
      </c>
    </row>
    <row r="1690">
      <c r="B1690" s="21">
        <f>IF(AND(C1690&lt;&gt;"", J1690&lt;&gt;""), HYPERLINK("#'" &amp; C1690 &amp; "'!" &amp; J1690, J1690), "")</f>
        <v/>
      </c>
    </row>
    <row r="1691">
      <c r="B1691" s="21">
        <f>IF(AND(C1691&lt;&gt;"", J1691&lt;&gt;""), HYPERLINK("#'" &amp; C1691 &amp; "'!" &amp; J1691, J1691), "")</f>
        <v/>
      </c>
    </row>
    <row r="1692">
      <c r="B1692" s="21">
        <f>IF(AND(C1692&lt;&gt;"", J1692&lt;&gt;""), HYPERLINK("#'" &amp; C1692 &amp; "'!" &amp; J1692, J1692), "")</f>
        <v/>
      </c>
    </row>
    <row r="1693">
      <c r="B1693" s="21">
        <f>IF(AND(C1693&lt;&gt;"", J1693&lt;&gt;""), HYPERLINK("#'" &amp; C1693 &amp; "'!" &amp; J1693, J1693), "")</f>
        <v/>
      </c>
    </row>
    <row r="1694">
      <c r="B1694" s="21">
        <f>IF(AND(C1694&lt;&gt;"", J1694&lt;&gt;""), HYPERLINK("#'" &amp; C1694 &amp; "'!" &amp; J1694, J1694), "")</f>
        <v/>
      </c>
    </row>
    <row r="1695">
      <c r="B1695" s="21">
        <f>IF(AND(C1695&lt;&gt;"", J1695&lt;&gt;""), HYPERLINK("#'" &amp; C1695 &amp; "'!" &amp; J1695, J1695), "")</f>
        <v/>
      </c>
    </row>
    <row r="1696">
      <c r="B1696" s="21">
        <f>IF(AND(C1696&lt;&gt;"", J1696&lt;&gt;""), HYPERLINK("#'" &amp; C1696 &amp; "'!" &amp; J1696, J1696), "")</f>
        <v/>
      </c>
    </row>
    <row r="1697">
      <c r="B1697" s="21">
        <f>IF(AND(C1697&lt;&gt;"", J1697&lt;&gt;""), HYPERLINK("#'" &amp; C1697 &amp; "'!" &amp; J1697, J1697), "")</f>
        <v/>
      </c>
    </row>
    <row r="1698">
      <c r="B1698" s="21">
        <f>IF(AND(C1698&lt;&gt;"", J1698&lt;&gt;""), HYPERLINK("#'" &amp; C1698 &amp; "'!" &amp; J1698, J1698), "")</f>
        <v/>
      </c>
    </row>
    <row r="1699">
      <c r="B1699" s="21">
        <f>IF(AND(C1699&lt;&gt;"", J1699&lt;&gt;""), HYPERLINK("#'" &amp; C1699 &amp; "'!" &amp; J1699, J1699), "")</f>
        <v/>
      </c>
    </row>
    <row r="1700">
      <c r="B1700" s="21">
        <f>IF(AND(C1700&lt;&gt;"", J1700&lt;&gt;""), HYPERLINK("#'" &amp; C1700 &amp; "'!" &amp; J1700, J1700), "")</f>
        <v/>
      </c>
    </row>
    <row r="1701">
      <c r="B1701" s="21">
        <f>IF(AND(C1701&lt;&gt;"", J1701&lt;&gt;""), HYPERLINK("#'" &amp; C1701 &amp; "'!" &amp; J1701, J1701), "")</f>
        <v/>
      </c>
    </row>
    <row r="1702">
      <c r="B1702" s="21">
        <f>IF(AND(C1702&lt;&gt;"", J1702&lt;&gt;""), HYPERLINK("#'" &amp; C1702 &amp; "'!" &amp; J1702, J1702), "")</f>
        <v/>
      </c>
    </row>
    <row r="1703">
      <c r="B1703" s="21">
        <f>IF(AND(C1703&lt;&gt;"", J1703&lt;&gt;""), HYPERLINK("#'" &amp; C1703 &amp; "'!" &amp; J1703, J1703), "")</f>
        <v/>
      </c>
    </row>
    <row r="1704">
      <c r="B1704" s="21">
        <f>IF(AND(C1704&lt;&gt;"", J1704&lt;&gt;""), HYPERLINK("#'" &amp; C1704 &amp; "'!" &amp; J1704, J1704), "")</f>
        <v/>
      </c>
    </row>
    <row r="1705">
      <c r="B1705" s="21">
        <f>IF(AND(C1705&lt;&gt;"", J1705&lt;&gt;""), HYPERLINK("#'" &amp; C1705 &amp; "'!" &amp; J1705, J1705), "")</f>
        <v/>
      </c>
    </row>
    <row r="1706">
      <c r="B1706" s="21">
        <f>IF(AND(C1706&lt;&gt;"", J1706&lt;&gt;""), HYPERLINK("#'" &amp; C1706 &amp; "'!" &amp; J1706, J1706), "")</f>
        <v/>
      </c>
    </row>
    <row r="1707">
      <c r="B1707" s="21">
        <f>IF(AND(C1707&lt;&gt;"", J1707&lt;&gt;""), HYPERLINK("#'" &amp; C1707 &amp; "'!" &amp; J1707, J1707), "")</f>
        <v/>
      </c>
    </row>
    <row r="1708">
      <c r="B1708" s="21">
        <f>IF(AND(C1708&lt;&gt;"", J1708&lt;&gt;""), HYPERLINK("#'" &amp; C1708 &amp; "'!" &amp; J1708, J1708), "")</f>
        <v/>
      </c>
    </row>
    <row r="1709">
      <c r="B1709" s="21">
        <f>IF(AND(C1709&lt;&gt;"", J1709&lt;&gt;""), HYPERLINK("#'" &amp; C1709 &amp; "'!" &amp; J1709, J1709), "")</f>
        <v/>
      </c>
    </row>
    <row r="1710">
      <c r="B1710" s="21">
        <f>IF(AND(C1710&lt;&gt;"", J1710&lt;&gt;""), HYPERLINK("#'" &amp; C1710 &amp; "'!" &amp; J1710, J1710), "")</f>
        <v/>
      </c>
    </row>
    <row r="1711">
      <c r="B1711" s="21">
        <f>IF(AND(C1711&lt;&gt;"", J1711&lt;&gt;""), HYPERLINK("#'" &amp; C1711 &amp; "'!" &amp; J1711, J1711), "")</f>
        <v/>
      </c>
    </row>
    <row r="1712">
      <c r="B1712" s="21">
        <f>IF(AND(C1712&lt;&gt;"", J1712&lt;&gt;""), HYPERLINK("#'" &amp; C1712 &amp; "'!" &amp; J1712, J1712), "")</f>
        <v/>
      </c>
    </row>
    <row r="1713">
      <c r="B1713" s="21">
        <f>IF(AND(C1713&lt;&gt;"", J1713&lt;&gt;""), HYPERLINK("#'" &amp; C1713 &amp; "'!" &amp; J1713, J1713), "")</f>
        <v/>
      </c>
    </row>
    <row r="1714">
      <c r="B1714" s="21">
        <f>IF(AND(C1714&lt;&gt;"", J1714&lt;&gt;""), HYPERLINK("#'" &amp; C1714 &amp; "'!" &amp; J1714, J1714), "")</f>
        <v/>
      </c>
    </row>
    <row r="1715">
      <c r="B1715" s="21">
        <f>IF(AND(C1715&lt;&gt;"", J1715&lt;&gt;""), HYPERLINK("#'" &amp; C1715 &amp; "'!" &amp; J1715, J1715), "")</f>
        <v/>
      </c>
    </row>
    <row r="1716">
      <c r="B1716" s="21">
        <f>IF(AND(C1716&lt;&gt;"", J1716&lt;&gt;""), HYPERLINK("#'" &amp; C1716 &amp; "'!" &amp; J1716, J1716), "")</f>
        <v/>
      </c>
    </row>
    <row r="1717">
      <c r="B1717" s="21">
        <f>IF(AND(C1717&lt;&gt;"", J1717&lt;&gt;""), HYPERLINK("#'" &amp; C1717 &amp; "'!" &amp; J1717, J1717), "")</f>
        <v/>
      </c>
    </row>
    <row r="1718">
      <c r="B1718" s="21">
        <f>IF(AND(C1718&lt;&gt;"", J1718&lt;&gt;""), HYPERLINK("#'" &amp; C1718 &amp; "'!" &amp; J1718, J1718), "")</f>
        <v/>
      </c>
    </row>
    <row r="1719">
      <c r="B1719" s="21">
        <f>IF(AND(C1719&lt;&gt;"", J1719&lt;&gt;""), HYPERLINK("#'" &amp; C1719 &amp; "'!" &amp; J1719, J1719), "")</f>
        <v/>
      </c>
    </row>
    <row r="1720">
      <c r="B1720" s="21">
        <f>IF(AND(C1720&lt;&gt;"", J1720&lt;&gt;""), HYPERLINK("#'" &amp; C1720 &amp; "'!" &amp; J1720, J1720), "")</f>
        <v/>
      </c>
    </row>
    <row r="1721">
      <c r="B1721" s="21">
        <f>IF(AND(C1721&lt;&gt;"", J1721&lt;&gt;""), HYPERLINK("#'" &amp; C1721 &amp; "'!" &amp; J1721, J1721), "")</f>
        <v/>
      </c>
    </row>
    <row r="1722">
      <c r="B1722" s="21">
        <f>IF(AND(C1722&lt;&gt;"", J1722&lt;&gt;""), HYPERLINK("#'" &amp; C1722 &amp; "'!" &amp; J1722, J1722), "")</f>
        <v/>
      </c>
    </row>
    <row r="1723">
      <c r="B1723" s="21">
        <f>IF(AND(C1723&lt;&gt;"", J1723&lt;&gt;""), HYPERLINK("#'" &amp; C1723 &amp; "'!" &amp; J1723, J1723), "")</f>
        <v/>
      </c>
    </row>
    <row r="1724">
      <c r="B1724" s="21">
        <f>IF(AND(C1724&lt;&gt;"", J1724&lt;&gt;""), HYPERLINK("#'" &amp; C1724 &amp; "'!" &amp; J1724, J1724), "")</f>
        <v/>
      </c>
    </row>
    <row r="1725">
      <c r="B1725" s="21">
        <f>IF(AND(C1725&lt;&gt;"", J1725&lt;&gt;""), HYPERLINK("#'" &amp; C1725 &amp; "'!" &amp; J1725, J1725), "")</f>
        <v/>
      </c>
    </row>
    <row r="1726">
      <c r="B1726" s="21">
        <f>IF(AND(C1726&lt;&gt;"", J1726&lt;&gt;""), HYPERLINK("#'" &amp; C1726 &amp; "'!" &amp; J1726, J1726), "")</f>
        <v/>
      </c>
    </row>
    <row r="1727">
      <c r="B1727" s="21">
        <f>IF(AND(C1727&lt;&gt;"", J1727&lt;&gt;""), HYPERLINK("#'" &amp; C1727 &amp; "'!" &amp; J1727, J1727), "")</f>
        <v/>
      </c>
    </row>
    <row r="1728">
      <c r="B1728" s="21">
        <f>IF(AND(C1728&lt;&gt;"", J1728&lt;&gt;""), HYPERLINK("#'" &amp; C1728 &amp; "'!" &amp; J1728, J1728), "")</f>
        <v/>
      </c>
    </row>
    <row r="1729">
      <c r="B1729" s="21">
        <f>IF(AND(C1729&lt;&gt;"", J1729&lt;&gt;""), HYPERLINK("#'" &amp; C1729 &amp; "'!" &amp; J1729, J1729), "")</f>
        <v/>
      </c>
    </row>
    <row r="1730">
      <c r="B1730" s="21">
        <f>IF(AND(C1730&lt;&gt;"", J1730&lt;&gt;""), HYPERLINK("#'" &amp; C1730 &amp; "'!" &amp; J1730, J1730), "")</f>
        <v/>
      </c>
    </row>
    <row r="1731">
      <c r="B1731" s="21">
        <f>IF(AND(C1731&lt;&gt;"", J1731&lt;&gt;""), HYPERLINK("#'" &amp; C1731 &amp; "'!" &amp; J1731, J1731), "")</f>
        <v/>
      </c>
    </row>
    <row r="1732">
      <c r="B1732" s="21">
        <f>IF(AND(C1732&lt;&gt;"", J1732&lt;&gt;""), HYPERLINK("#'" &amp; C1732 &amp; "'!" &amp; J1732, J1732), "")</f>
        <v/>
      </c>
    </row>
    <row r="1733">
      <c r="B1733" s="21">
        <f>IF(AND(C1733&lt;&gt;"", J1733&lt;&gt;""), HYPERLINK("#'" &amp; C1733 &amp; "'!" &amp; J1733, J1733), "")</f>
        <v/>
      </c>
    </row>
    <row r="1734">
      <c r="B1734" s="21">
        <f>IF(AND(C1734&lt;&gt;"", J1734&lt;&gt;""), HYPERLINK("#'" &amp; C1734 &amp; "'!" &amp; J1734, J1734), "")</f>
        <v/>
      </c>
    </row>
    <row r="1735">
      <c r="B1735" s="21">
        <f>IF(AND(C1735&lt;&gt;"", J1735&lt;&gt;""), HYPERLINK("#'" &amp; C1735 &amp; "'!" &amp; J1735, J1735), "")</f>
        <v/>
      </c>
    </row>
    <row r="1736">
      <c r="B1736" s="21">
        <f>IF(AND(C1736&lt;&gt;"", J1736&lt;&gt;""), HYPERLINK("#'" &amp; C1736 &amp; "'!" &amp; J1736, J1736), "")</f>
        <v/>
      </c>
    </row>
    <row r="1737">
      <c r="B1737" s="21">
        <f>IF(AND(C1737&lt;&gt;"", J1737&lt;&gt;""), HYPERLINK("#'" &amp; C1737 &amp; "'!" &amp; J1737, J1737), "")</f>
        <v/>
      </c>
    </row>
    <row r="1738">
      <c r="B1738" s="21">
        <f>IF(AND(C1738&lt;&gt;"", J1738&lt;&gt;""), HYPERLINK("#'" &amp; C1738 &amp; "'!" &amp; J1738, J1738), "")</f>
        <v/>
      </c>
    </row>
    <row r="1739">
      <c r="B1739" s="21">
        <f>IF(AND(C1739&lt;&gt;"", J1739&lt;&gt;""), HYPERLINK("#'" &amp; C1739 &amp; "'!" &amp; J1739, J1739), "")</f>
        <v/>
      </c>
    </row>
    <row r="1740">
      <c r="B1740" s="21">
        <f>IF(AND(C1740&lt;&gt;"", J1740&lt;&gt;""), HYPERLINK("#'" &amp; C1740 &amp; "'!" &amp; J1740, J1740), "")</f>
        <v/>
      </c>
    </row>
    <row r="1741">
      <c r="B1741" s="21">
        <f>IF(AND(C1741&lt;&gt;"", J1741&lt;&gt;""), HYPERLINK("#'" &amp; C1741 &amp; "'!" &amp; J1741, J1741), "")</f>
        <v/>
      </c>
    </row>
    <row r="1742">
      <c r="B1742" s="21">
        <f>IF(AND(C1742&lt;&gt;"", J1742&lt;&gt;""), HYPERLINK("#'" &amp; C1742 &amp; "'!" &amp; J1742, J1742), "")</f>
        <v/>
      </c>
    </row>
    <row r="1743">
      <c r="B1743" s="21">
        <f>IF(AND(C1743&lt;&gt;"", J1743&lt;&gt;""), HYPERLINK("#'" &amp; C1743 &amp; "'!" &amp; J1743, J1743), "")</f>
        <v/>
      </c>
    </row>
    <row r="1744">
      <c r="B1744" s="21">
        <f>IF(AND(C1744&lt;&gt;"", J1744&lt;&gt;""), HYPERLINK("#'" &amp; C1744 &amp; "'!" &amp; J1744, J1744), "")</f>
        <v/>
      </c>
    </row>
    <row r="1745">
      <c r="B1745" s="21">
        <f>IF(AND(C1745&lt;&gt;"", J1745&lt;&gt;""), HYPERLINK("#'" &amp; C1745 &amp; "'!" &amp; J1745, J1745), "")</f>
        <v/>
      </c>
    </row>
    <row r="1746">
      <c r="B1746" s="21">
        <f>IF(AND(C1746&lt;&gt;"", J1746&lt;&gt;""), HYPERLINK("#'" &amp; C1746 &amp; "'!" &amp; J1746, J1746), "")</f>
        <v/>
      </c>
    </row>
    <row r="1747">
      <c r="B1747" s="21">
        <f>IF(AND(C1747&lt;&gt;"", J1747&lt;&gt;""), HYPERLINK("#'" &amp; C1747 &amp; "'!" &amp; J1747, J1747), "")</f>
        <v/>
      </c>
    </row>
    <row r="1748">
      <c r="B1748" s="21">
        <f>IF(AND(C1748&lt;&gt;"", J1748&lt;&gt;""), HYPERLINK("#'" &amp; C1748 &amp; "'!" &amp; J1748, J1748), "")</f>
        <v/>
      </c>
    </row>
    <row r="1749">
      <c r="B1749" s="21">
        <f>IF(AND(C1749&lt;&gt;"", J1749&lt;&gt;""), HYPERLINK("#'" &amp; C1749 &amp; "'!" &amp; J1749, J1749), "")</f>
        <v/>
      </c>
    </row>
    <row r="1750">
      <c r="B1750" s="21">
        <f>IF(AND(C1750&lt;&gt;"", J1750&lt;&gt;""), HYPERLINK("#'" &amp; C1750 &amp; "'!" &amp; J1750, J1750), "")</f>
        <v/>
      </c>
    </row>
    <row r="1751">
      <c r="B1751" s="21">
        <f>IF(AND(C1751&lt;&gt;"", J1751&lt;&gt;""), HYPERLINK("#'" &amp; C1751 &amp; "'!" &amp; J1751, J1751), "")</f>
        <v/>
      </c>
    </row>
    <row r="1752">
      <c r="B1752" s="21">
        <f>IF(AND(C1752&lt;&gt;"", J1752&lt;&gt;""), HYPERLINK("#'" &amp; C1752 &amp; "'!" &amp; J1752, J1752), "")</f>
        <v/>
      </c>
    </row>
    <row r="1753">
      <c r="B1753" s="21">
        <f>IF(AND(C1753&lt;&gt;"", J1753&lt;&gt;""), HYPERLINK("#'" &amp; C1753 &amp; "'!" &amp; J1753, J1753), "")</f>
        <v/>
      </c>
    </row>
    <row r="1754">
      <c r="B1754" s="21">
        <f>IF(AND(C1754&lt;&gt;"", J1754&lt;&gt;""), HYPERLINK("#'" &amp; C1754 &amp; "'!" &amp; J1754, J1754), "")</f>
        <v/>
      </c>
    </row>
    <row r="1755">
      <c r="B1755" s="21">
        <f>IF(AND(C1755&lt;&gt;"", J1755&lt;&gt;""), HYPERLINK("#'" &amp; C1755 &amp; "'!" &amp; J1755, J1755), "")</f>
        <v/>
      </c>
    </row>
    <row r="1756">
      <c r="B1756" s="21">
        <f>IF(AND(C1756&lt;&gt;"", J1756&lt;&gt;""), HYPERLINK("#'" &amp; C1756 &amp; "'!" &amp; J1756, J1756), "")</f>
        <v/>
      </c>
    </row>
    <row r="1757">
      <c r="B1757" s="21">
        <f>IF(AND(C1757&lt;&gt;"", J1757&lt;&gt;""), HYPERLINK("#'" &amp; C1757 &amp; "'!" &amp; J1757, J1757), "")</f>
        <v/>
      </c>
    </row>
    <row r="1758">
      <c r="B1758" s="21">
        <f>IF(AND(C1758&lt;&gt;"", J1758&lt;&gt;""), HYPERLINK("#'" &amp; C1758 &amp; "'!" &amp; J1758, J1758), "")</f>
        <v/>
      </c>
    </row>
    <row r="1759">
      <c r="B1759" s="21">
        <f>IF(AND(C1759&lt;&gt;"", J1759&lt;&gt;""), HYPERLINK("#'" &amp; C1759 &amp; "'!" &amp; J1759, J1759), "")</f>
        <v/>
      </c>
    </row>
    <row r="1760">
      <c r="B1760" s="21">
        <f>IF(AND(C1760&lt;&gt;"", J1760&lt;&gt;""), HYPERLINK("#'" &amp; C1760 &amp; "'!" &amp; J1760, J1760), "")</f>
        <v/>
      </c>
    </row>
    <row r="1761">
      <c r="B1761" s="21">
        <f>IF(AND(C1761&lt;&gt;"", J1761&lt;&gt;""), HYPERLINK("#'" &amp; C1761 &amp; "'!" &amp; J1761, J1761), "")</f>
        <v/>
      </c>
    </row>
    <row r="1762">
      <c r="B1762" s="21">
        <f>IF(AND(C1762&lt;&gt;"", J1762&lt;&gt;""), HYPERLINK("#'" &amp; C1762 &amp; "'!" &amp; J1762, J1762), "")</f>
        <v/>
      </c>
    </row>
    <row r="1763">
      <c r="B1763" s="21">
        <f>IF(AND(C1763&lt;&gt;"", J1763&lt;&gt;""), HYPERLINK("#'" &amp; C1763 &amp; "'!" &amp; J1763, J1763), "")</f>
        <v/>
      </c>
    </row>
    <row r="1764">
      <c r="B1764" s="21">
        <f>IF(AND(C1764&lt;&gt;"", J1764&lt;&gt;""), HYPERLINK("#'" &amp; C1764 &amp; "'!" &amp; J1764, J1764), "")</f>
        <v/>
      </c>
    </row>
    <row r="1765">
      <c r="B1765" s="21">
        <f>IF(AND(C1765&lt;&gt;"", J1765&lt;&gt;""), HYPERLINK("#'" &amp; C1765 &amp; "'!" &amp; J1765, J1765), "")</f>
        <v/>
      </c>
    </row>
    <row r="1766">
      <c r="B1766" s="21">
        <f>IF(AND(C1766&lt;&gt;"", J1766&lt;&gt;""), HYPERLINK("#'" &amp; C1766 &amp; "'!" &amp; J1766, J1766), "")</f>
        <v/>
      </c>
    </row>
    <row r="1767">
      <c r="B1767" s="21">
        <f>IF(AND(C1767&lt;&gt;"", J1767&lt;&gt;""), HYPERLINK("#'" &amp; C1767 &amp; "'!" &amp; J1767, J1767), "")</f>
        <v/>
      </c>
    </row>
    <row r="1768">
      <c r="B1768" s="21">
        <f>IF(AND(C1768&lt;&gt;"", J1768&lt;&gt;""), HYPERLINK("#'" &amp; C1768 &amp; "'!" &amp; J1768, J1768), "")</f>
        <v/>
      </c>
    </row>
    <row r="1769">
      <c r="B1769" s="21">
        <f>IF(AND(C1769&lt;&gt;"", J1769&lt;&gt;""), HYPERLINK("#'" &amp; C1769 &amp; "'!" &amp; J1769, J1769), "")</f>
        <v/>
      </c>
    </row>
    <row r="1770">
      <c r="B1770" s="21">
        <f>IF(AND(C1770&lt;&gt;"", J1770&lt;&gt;""), HYPERLINK("#'" &amp; C1770 &amp; "'!" &amp; J1770, J1770), "")</f>
        <v/>
      </c>
    </row>
    <row r="1771">
      <c r="B1771" s="21">
        <f>IF(AND(C1771&lt;&gt;"", J1771&lt;&gt;""), HYPERLINK("#'" &amp; C1771 &amp; "'!" &amp; J1771, J1771), "")</f>
        <v/>
      </c>
    </row>
    <row r="1772">
      <c r="B1772" s="21">
        <f>IF(AND(C1772&lt;&gt;"", J1772&lt;&gt;""), HYPERLINK("#'" &amp; C1772 &amp; "'!" &amp; J1772, J1772), "")</f>
        <v/>
      </c>
    </row>
    <row r="1773">
      <c r="B1773" s="21">
        <f>IF(AND(C1773&lt;&gt;"", J1773&lt;&gt;""), HYPERLINK("#'" &amp; C1773 &amp; "'!" &amp; J1773, J1773), "")</f>
        <v/>
      </c>
    </row>
    <row r="1774">
      <c r="B1774" s="21">
        <f>IF(AND(C1774&lt;&gt;"", J1774&lt;&gt;""), HYPERLINK("#'" &amp; C1774 &amp; "'!" &amp; J1774, J1774), "")</f>
        <v/>
      </c>
    </row>
    <row r="1775">
      <c r="B1775" s="21">
        <f>IF(AND(C1775&lt;&gt;"", J1775&lt;&gt;""), HYPERLINK("#'" &amp; C1775 &amp; "'!" &amp; J1775, J1775), "")</f>
        <v/>
      </c>
    </row>
    <row r="1776">
      <c r="B1776" s="21">
        <f>IF(AND(C1776&lt;&gt;"", J1776&lt;&gt;""), HYPERLINK("#'" &amp; C1776 &amp; "'!" &amp; J1776, J1776), "")</f>
        <v/>
      </c>
    </row>
    <row r="1777">
      <c r="B1777" s="21">
        <f>IF(AND(C1777&lt;&gt;"", J1777&lt;&gt;""), HYPERLINK("#'" &amp; C1777 &amp; "'!" &amp; J1777, J1777), "")</f>
        <v/>
      </c>
    </row>
    <row r="1778">
      <c r="B1778" s="21">
        <f>IF(AND(C1778&lt;&gt;"", J1778&lt;&gt;""), HYPERLINK("#'" &amp; C1778 &amp; "'!" &amp; J1778, J1778), "")</f>
        <v/>
      </c>
    </row>
    <row r="1779">
      <c r="B1779" s="21">
        <f>IF(AND(C1779&lt;&gt;"", J1779&lt;&gt;""), HYPERLINK("#'" &amp; C1779 &amp; "'!" &amp; J1779, J1779), "")</f>
        <v/>
      </c>
    </row>
    <row r="1780">
      <c r="B1780" s="21">
        <f>IF(AND(C1780&lt;&gt;"", J1780&lt;&gt;""), HYPERLINK("#'" &amp; C1780 &amp; "'!" &amp; J1780, J1780), "")</f>
        <v/>
      </c>
    </row>
    <row r="1781">
      <c r="B1781" s="21">
        <f>IF(AND(C1781&lt;&gt;"", J1781&lt;&gt;""), HYPERLINK("#'" &amp; C1781 &amp; "'!" &amp; J1781, J1781), "")</f>
        <v/>
      </c>
    </row>
    <row r="1782">
      <c r="B1782" s="21">
        <f>IF(AND(C1782&lt;&gt;"", J1782&lt;&gt;""), HYPERLINK("#'" &amp; C1782 &amp; "'!" &amp; J1782, J1782), "")</f>
        <v/>
      </c>
    </row>
    <row r="1783">
      <c r="B1783" s="21">
        <f>IF(AND(C1783&lt;&gt;"", J1783&lt;&gt;""), HYPERLINK("#'" &amp; C1783 &amp; "'!" &amp; J1783, J1783), "")</f>
        <v/>
      </c>
    </row>
    <row r="1784">
      <c r="B1784" s="21">
        <f>IF(AND(C1784&lt;&gt;"", J1784&lt;&gt;""), HYPERLINK("#'" &amp; C1784 &amp; "'!" &amp; J1784, J1784), "")</f>
        <v/>
      </c>
    </row>
    <row r="1785">
      <c r="B1785" s="21">
        <f>IF(AND(C1785&lt;&gt;"", J1785&lt;&gt;""), HYPERLINK("#'" &amp; C1785 &amp; "'!" &amp; J1785, J1785), "")</f>
        <v/>
      </c>
    </row>
    <row r="1786">
      <c r="B1786" s="21">
        <f>IF(AND(C1786&lt;&gt;"", J1786&lt;&gt;""), HYPERLINK("#'" &amp; C1786 &amp; "'!" &amp; J1786, J1786), "")</f>
        <v/>
      </c>
    </row>
    <row r="1787">
      <c r="B1787" s="21">
        <f>IF(AND(C1787&lt;&gt;"", J1787&lt;&gt;""), HYPERLINK("#'" &amp; C1787 &amp; "'!" &amp; J1787, J1787), "")</f>
        <v/>
      </c>
    </row>
    <row r="1788">
      <c r="B1788" s="21">
        <f>IF(AND(C1788&lt;&gt;"", J1788&lt;&gt;""), HYPERLINK("#'" &amp; C1788 &amp; "'!" &amp; J1788, J1788), "")</f>
        <v/>
      </c>
    </row>
    <row r="1789">
      <c r="B1789" s="21">
        <f>IF(AND(C1789&lt;&gt;"", J1789&lt;&gt;""), HYPERLINK("#'" &amp; C1789 &amp; "'!" &amp; J1789, J1789), "")</f>
        <v/>
      </c>
    </row>
    <row r="1790">
      <c r="B1790" s="21">
        <f>IF(AND(C1790&lt;&gt;"", J1790&lt;&gt;""), HYPERLINK("#'" &amp; C1790 &amp; "'!" &amp; J1790, J1790), "")</f>
        <v/>
      </c>
    </row>
    <row r="1791">
      <c r="B1791" s="21">
        <f>IF(AND(C1791&lt;&gt;"", J1791&lt;&gt;""), HYPERLINK("#'" &amp; C1791 &amp; "'!" &amp; J1791, J1791), "")</f>
        <v/>
      </c>
    </row>
    <row r="1792">
      <c r="B1792" s="21">
        <f>IF(AND(C1792&lt;&gt;"", J1792&lt;&gt;""), HYPERLINK("#'" &amp; C1792 &amp; "'!" &amp; J1792, J1792), "")</f>
        <v/>
      </c>
    </row>
    <row r="1793">
      <c r="B1793" s="21">
        <f>IF(AND(C1793&lt;&gt;"", J1793&lt;&gt;""), HYPERLINK("#'" &amp; C1793 &amp; "'!" &amp; J1793, J1793), "")</f>
        <v/>
      </c>
    </row>
    <row r="1794">
      <c r="B1794" s="21">
        <f>IF(AND(C1794&lt;&gt;"", J1794&lt;&gt;""), HYPERLINK("#'" &amp; C1794 &amp; "'!" &amp; J1794, J1794), "")</f>
        <v/>
      </c>
    </row>
    <row r="1795">
      <c r="B1795" s="21">
        <f>IF(AND(C1795&lt;&gt;"", J1795&lt;&gt;""), HYPERLINK("#'" &amp; C1795 &amp; "'!" &amp; J1795, J1795), "")</f>
        <v/>
      </c>
    </row>
    <row r="1796">
      <c r="B1796" s="21">
        <f>IF(AND(C1796&lt;&gt;"", J1796&lt;&gt;""), HYPERLINK("#'" &amp; C1796 &amp; "'!" &amp; J1796, J1796), "")</f>
        <v/>
      </c>
    </row>
    <row r="1797">
      <c r="B1797" s="21">
        <f>IF(AND(C1797&lt;&gt;"", J1797&lt;&gt;""), HYPERLINK("#'" &amp; C1797 &amp; "'!" &amp; J1797, J1797), "")</f>
        <v/>
      </c>
    </row>
    <row r="1798">
      <c r="B1798" s="21">
        <f>IF(AND(C1798&lt;&gt;"", J1798&lt;&gt;""), HYPERLINK("#'" &amp; C1798 &amp; "'!" &amp; J1798, J1798), "")</f>
        <v/>
      </c>
    </row>
    <row r="1799">
      <c r="B1799" s="21">
        <f>IF(AND(C1799&lt;&gt;"", J1799&lt;&gt;""), HYPERLINK("#'" &amp; C1799 &amp; "'!" &amp; J1799, J1799), "")</f>
        <v/>
      </c>
    </row>
    <row r="1800">
      <c r="B1800" s="21">
        <f>IF(AND(C1800&lt;&gt;"", J1800&lt;&gt;""), HYPERLINK("#'" &amp; C1800 &amp; "'!" &amp; J1800, J1800), "")</f>
        <v/>
      </c>
    </row>
    <row r="1801">
      <c r="B1801" s="21">
        <f>IF(AND(C1801&lt;&gt;"", J1801&lt;&gt;""), HYPERLINK("#'" &amp; C1801 &amp; "'!" &amp; J1801, J1801), "")</f>
        <v/>
      </c>
    </row>
    <row r="1802">
      <c r="B1802" s="21">
        <f>IF(AND(C1802&lt;&gt;"", J1802&lt;&gt;""), HYPERLINK("#'" &amp; C1802 &amp; "'!" &amp; J1802, J1802), "")</f>
        <v/>
      </c>
    </row>
    <row r="1803">
      <c r="B1803" s="21">
        <f>IF(AND(C1803&lt;&gt;"", J1803&lt;&gt;""), HYPERLINK("#'" &amp; C1803 &amp; "'!" &amp; J1803, J1803), "")</f>
        <v/>
      </c>
    </row>
    <row r="1804">
      <c r="B1804" s="21">
        <f>IF(AND(C1804&lt;&gt;"", J1804&lt;&gt;""), HYPERLINK("#'" &amp; C1804 &amp; "'!" &amp; J1804, J1804), "")</f>
        <v/>
      </c>
    </row>
    <row r="1805">
      <c r="B1805" s="21">
        <f>IF(AND(C1805&lt;&gt;"", J1805&lt;&gt;""), HYPERLINK("#'" &amp; C1805 &amp; "'!" &amp; J1805, J1805), "")</f>
        <v/>
      </c>
    </row>
    <row r="1806">
      <c r="B1806" s="21">
        <f>IF(AND(C1806&lt;&gt;"", J1806&lt;&gt;""), HYPERLINK("#'" &amp; C1806 &amp; "'!" &amp; J1806, J1806), "")</f>
        <v/>
      </c>
    </row>
    <row r="1807">
      <c r="B1807" s="21">
        <f>IF(AND(C1807&lt;&gt;"", J1807&lt;&gt;""), HYPERLINK("#'" &amp; C1807 &amp; "'!" &amp; J1807, J1807), "")</f>
        <v/>
      </c>
    </row>
    <row r="1808">
      <c r="B1808" s="21">
        <f>IF(AND(C1808&lt;&gt;"", J1808&lt;&gt;""), HYPERLINK("#'" &amp; C1808 &amp; "'!" &amp; J1808, J1808), "")</f>
        <v/>
      </c>
    </row>
    <row r="1809">
      <c r="B1809" s="21">
        <f>IF(AND(C1809&lt;&gt;"", J1809&lt;&gt;""), HYPERLINK("#'" &amp; C1809 &amp; "'!" &amp; J1809, J1809), "")</f>
        <v/>
      </c>
    </row>
    <row r="1810">
      <c r="B1810" s="21">
        <f>IF(AND(C1810&lt;&gt;"", J1810&lt;&gt;""), HYPERLINK("#'" &amp; C1810 &amp; "'!" &amp; J1810, J1810), "")</f>
        <v/>
      </c>
    </row>
    <row r="1811">
      <c r="B1811" s="21">
        <f>IF(AND(C1811&lt;&gt;"", J1811&lt;&gt;""), HYPERLINK("#'" &amp; C1811 &amp; "'!" &amp; J1811, J1811), "")</f>
        <v/>
      </c>
    </row>
    <row r="1812">
      <c r="B1812" s="21">
        <f>IF(AND(C1812&lt;&gt;"", J1812&lt;&gt;""), HYPERLINK("#'" &amp; C1812 &amp; "'!" &amp; J1812, J1812), "")</f>
        <v/>
      </c>
    </row>
    <row r="1813">
      <c r="B1813" s="21">
        <f>IF(AND(C1813&lt;&gt;"", J1813&lt;&gt;""), HYPERLINK("#'" &amp; C1813 &amp; "'!" &amp; J1813, J1813), "")</f>
        <v/>
      </c>
    </row>
    <row r="1814">
      <c r="B1814" s="21">
        <f>IF(AND(C1814&lt;&gt;"", J1814&lt;&gt;""), HYPERLINK("#'" &amp; C1814 &amp; "'!" &amp; J1814, J1814), "")</f>
        <v/>
      </c>
    </row>
    <row r="1815">
      <c r="B1815" s="21">
        <f>IF(AND(C1815&lt;&gt;"", J1815&lt;&gt;""), HYPERLINK("#'" &amp; C1815 &amp; "'!" &amp; J1815, J1815), "")</f>
        <v/>
      </c>
    </row>
    <row r="1816">
      <c r="B1816" s="21">
        <f>IF(AND(C1816&lt;&gt;"", J1816&lt;&gt;""), HYPERLINK("#'" &amp; C1816 &amp; "'!" &amp; J1816, J1816), "")</f>
        <v/>
      </c>
    </row>
    <row r="1817">
      <c r="B1817" s="21">
        <f>IF(AND(C1817&lt;&gt;"", J1817&lt;&gt;""), HYPERLINK("#'" &amp; C1817 &amp; "'!" &amp; J1817, J1817), "")</f>
        <v/>
      </c>
    </row>
    <row r="1818">
      <c r="B1818" s="21">
        <f>IF(AND(C1818&lt;&gt;"", J1818&lt;&gt;""), HYPERLINK("#'" &amp; C1818 &amp; "'!" &amp; J1818, J1818), "")</f>
        <v/>
      </c>
    </row>
    <row r="1819">
      <c r="B1819" s="21">
        <f>IF(AND(C1819&lt;&gt;"", J1819&lt;&gt;""), HYPERLINK("#'" &amp; C1819 &amp; "'!" &amp; J1819, J1819), "")</f>
        <v/>
      </c>
    </row>
    <row r="1820">
      <c r="B1820" s="21">
        <f>IF(AND(C1820&lt;&gt;"", J1820&lt;&gt;""), HYPERLINK("#'" &amp; C1820 &amp; "'!" &amp; J1820, J1820), "")</f>
        <v/>
      </c>
    </row>
    <row r="1821">
      <c r="B1821" s="21">
        <f>IF(AND(C1821&lt;&gt;"", J1821&lt;&gt;""), HYPERLINK("#'" &amp; C1821 &amp; "'!" &amp; J1821, J1821), "")</f>
        <v/>
      </c>
    </row>
    <row r="1822">
      <c r="B1822" s="21">
        <f>IF(AND(C1822&lt;&gt;"", J1822&lt;&gt;""), HYPERLINK("#'" &amp; C1822 &amp; "'!" &amp; J1822, J1822), "")</f>
        <v/>
      </c>
    </row>
    <row r="1823">
      <c r="B1823" s="21">
        <f>IF(AND(C1823&lt;&gt;"", J1823&lt;&gt;""), HYPERLINK("#'" &amp; C1823 &amp; "'!" &amp; J1823, J1823), "")</f>
        <v/>
      </c>
    </row>
    <row r="1824">
      <c r="B1824" s="21">
        <f>IF(AND(C1824&lt;&gt;"", J1824&lt;&gt;""), HYPERLINK("#'" &amp; C1824 &amp; "'!" &amp; J1824, J1824), "")</f>
        <v/>
      </c>
    </row>
    <row r="1825">
      <c r="B1825" s="21">
        <f>IF(AND(C1825&lt;&gt;"", J1825&lt;&gt;""), HYPERLINK("#'" &amp; C1825 &amp; "'!" &amp; J1825, J1825), "")</f>
        <v/>
      </c>
    </row>
    <row r="1826">
      <c r="B1826" s="21">
        <f>IF(AND(C1826&lt;&gt;"", J1826&lt;&gt;""), HYPERLINK("#'" &amp; C1826 &amp; "'!" &amp; J1826, J1826), "")</f>
        <v/>
      </c>
    </row>
    <row r="1827">
      <c r="B1827" s="21">
        <f>IF(AND(C1827&lt;&gt;"", J1827&lt;&gt;""), HYPERLINK("#'" &amp; C1827 &amp; "'!" &amp; J1827, J1827), "")</f>
        <v/>
      </c>
    </row>
    <row r="1828">
      <c r="B1828" s="21">
        <f>IF(AND(C1828&lt;&gt;"", J1828&lt;&gt;""), HYPERLINK("#'" &amp; C1828 &amp; "'!" &amp; J1828, J1828), "")</f>
        <v/>
      </c>
    </row>
    <row r="1829">
      <c r="B1829" s="21">
        <f>IF(AND(C1829&lt;&gt;"", J1829&lt;&gt;""), HYPERLINK("#'" &amp; C1829 &amp; "'!" &amp; J1829, J1829), "")</f>
        <v/>
      </c>
    </row>
    <row r="1830">
      <c r="B1830" s="21">
        <f>IF(AND(C1830&lt;&gt;"", J1830&lt;&gt;""), HYPERLINK("#'" &amp; C1830 &amp; "'!" &amp; J1830, J1830), "")</f>
        <v/>
      </c>
    </row>
    <row r="1831">
      <c r="B1831" s="21">
        <f>IF(AND(C1831&lt;&gt;"", J1831&lt;&gt;""), HYPERLINK("#'" &amp; C1831 &amp; "'!" &amp; J1831, J1831), "")</f>
        <v/>
      </c>
    </row>
    <row r="1832">
      <c r="B1832" s="21">
        <f>IF(AND(C1832&lt;&gt;"", J1832&lt;&gt;""), HYPERLINK("#'" &amp; C1832 &amp; "'!" &amp; J1832, J1832), "")</f>
        <v/>
      </c>
    </row>
    <row r="1833">
      <c r="B1833" s="21">
        <f>IF(AND(C1833&lt;&gt;"", J1833&lt;&gt;""), HYPERLINK("#'" &amp; C1833 &amp; "'!" &amp; J1833, J1833), "")</f>
        <v/>
      </c>
    </row>
    <row r="1834">
      <c r="B1834" s="21">
        <f>IF(AND(C1834&lt;&gt;"", J1834&lt;&gt;""), HYPERLINK("#'" &amp; C1834 &amp; "'!" &amp; J1834, J1834), "")</f>
        <v/>
      </c>
    </row>
    <row r="1835">
      <c r="B1835" s="21">
        <f>IF(AND(C1835&lt;&gt;"", J1835&lt;&gt;""), HYPERLINK("#'" &amp; C1835 &amp; "'!" &amp; J1835, J1835), "")</f>
        <v/>
      </c>
    </row>
    <row r="1836">
      <c r="B1836" s="21">
        <f>IF(AND(C1836&lt;&gt;"", J1836&lt;&gt;""), HYPERLINK("#'" &amp; C1836 &amp; "'!" &amp; J1836, J1836), "")</f>
        <v/>
      </c>
    </row>
    <row r="1837">
      <c r="B1837" s="21">
        <f>IF(AND(C1837&lt;&gt;"", J1837&lt;&gt;""), HYPERLINK("#'" &amp; C1837 &amp; "'!" &amp; J1837, J1837), "")</f>
        <v/>
      </c>
    </row>
    <row r="1838">
      <c r="B1838" s="21">
        <f>IF(AND(C1838&lt;&gt;"", J1838&lt;&gt;""), HYPERLINK("#'" &amp; C1838 &amp; "'!" &amp; J1838, J1838), "")</f>
        <v/>
      </c>
    </row>
    <row r="1839">
      <c r="B1839" s="21">
        <f>IF(AND(C1839&lt;&gt;"", J1839&lt;&gt;""), HYPERLINK("#'" &amp; C1839 &amp; "'!" &amp; J1839, J1839), "")</f>
        <v/>
      </c>
    </row>
    <row r="1840">
      <c r="B1840" s="21">
        <f>IF(AND(C1840&lt;&gt;"", J1840&lt;&gt;""), HYPERLINK("#'" &amp; C1840 &amp; "'!" &amp; J1840, J1840), "")</f>
        <v/>
      </c>
    </row>
    <row r="1841">
      <c r="B1841" s="21">
        <f>IF(AND(C1841&lt;&gt;"", J1841&lt;&gt;""), HYPERLINK("#'" &amp; C1841 &amp; "'!" &amp; J1841, J1841), "")</f>
        <v/>
      </c>
    </row>
    <row r="1842">
      <c r="B1842" s="21">
        <f>IF(AND(C1842&lt;&gt;"", J1842&lt;&gt;""), HYPERLINK("#'" &amp; C1842 &amp; "'!" &amp; J1842, J1842), "")</f>
        <v/>
      </c>
    </row>
    <row r="1843">
      <c r="B1843" s="21">
        <f>IF(AND(C1843&lt;&gt;"", J1843&lt;&gt;""), HYPERLINK("#'" &amp; C1843 &amp; "'!" &amp; J1843, J1843), "")</f>
        <v/>
      </c>
    </row>
    <row r="1844">
      <c r="B1844" s="21">
        <f>IF(AND(C1844&lt;&gt;"", J1844&lt;&gt;""), HYPERLINK("#'" &amp; C1844 &amp; "'!" &amp; J1844, J1844), "")</f>
        <v/>
      </c>
    </row>
    <row r="1845">
      <c r="B1845" s="21">
        <f>IF(AND(C1845&lt;&gt;"", J1845&lt;&gt;""), HYPERLINK("#'" &amp; C1845 &amp; "'!" &amp; J1845, J1845), "")</f>
        <v/>
      </c>
    </row>
    <row r="1846">
      <c r="B1846" s="21">
        <f>IF(AND(C1846&lt;&gt;"", J1846&lt;&gt;""), HYPERLINK("#'" &amp; C1846 &amp; "'!" &amp; J1846, J1846), "")</f>
        <v/>
      </c>
    </row>
    <row r="1847">
      <c r="B1847" s="21">
        <f>IF(AND(C1847&lt;&gt;"", J1847&lt;&gt;""), HYPERLINK("#'" &amp; C1847 &amp; "'!" &amp; J1847, J1847), "")</f>
        <v/>
      </c>
    </row>
    <row r="1848">
      <c r="B1848" s="21">
        <f>IF(AND(C1848&lt;&gt;"", J1848&lt;&gt;""), HYPERLINK("#'" &amp; C1848 &amp; "'!" &amp; J1848, J1848), "")</f>
        <v/>
      </c>
    </row>
    <row r="1849">
      <c r="B1849" s="21">
        <f>IF(AND(C1849&lt;&gt;"", J1849&lt;&gt;""), HYPERLINK("#'" &amp; C1849 &amp; "'!" &amp; J1849, J1849), "")</f>
        <v/>
      </c>
    </row>
    <row r="1850">
      <c r="B1850" s="21">
        <f>IF(AND(C1850&lt;&gt;"", J1850&lt;&gt;""), HYPERLINK("#'" &amp; C1850 &amp; "'!" &amp; J1850, J1850), "")</f>
        <v/>
      </c>
    </row>
    <row r="1851">
      <c r="B1851" s="21">
        <f>IF(AND(C1851&lt;&gt;"", J1851&lt;&gt;""), HYPERLINK("#'" &amp; C1851 &amp; "'!" &amp; J1851, J1851), "")</f>
        <v/>
      </c>
    </row>
    <row r="1852">
      <c r="B1852" s="21">
        <f>IF(AND(C1852&lt;&gt;"", J1852&lt;&gt;""), HYPERLINK("#'" &amp; C1852 &amp; "'!" &amp; J1852, J1852), "")</f>
        <v/>
      </c>
    </row>
    <row r="1853">
      <c r="B1853" s="21">
        <f>IF(AND(C1853&lt;&gt;"", J1853&lt;&gt;""), HYPERLINK("#'" &amp; C1853 &amp; "'!" &amp; J1853, J1853), "")</f>
        <v/>
      </c>
    </row>
    <row r="1854">
      <c r="B1854" s="21">
        <f>IF(AND(C1854&lt;&gt;"", J1854&lt;&gt;""), HYPERLINK("#'" &amp; C1854 &amp; "'!" &amp; J1854, J1854), "")</f>
        <v/>
      </c>
    </row>
    <row r="1855">
      <c r="B1855" s="21">
        <f>IF(AND(C1855&lt;&gt;"", J1855&lt;&gt;""), HYPERLINK("#'" &amp; C1855 &amp; "'!" &amp; J1855, J1855), "")</f>
        <v/>
      </c>
    </row>
    <row r="1856">
      <c r="B1856" s="21">
        <f>IF(AND(C1856&lt;&gt;"", J1856&lt;&gt;""), HYPERLINK("#'" &amp; C1856 &amp; "'!" &amp; J1856, J1856), "")</f>
        <v/>
      </c>
    </row>
    <row r="1857">
      <c r="B1857" s="21">
        <f>IF(AND(C1857&lt;&gt;"", J1857&lt;&gt;""), HYPERLINK("#'" &amp; C1857 &amp; "'!" &amp; J1857, J1857), "")</f>
        <v/>
      </c>
    </row>
    <row r="1858">
      <c r="B1858" s="21">
        <f>IF(AND(C1858&lt;&gt;"", J1858&lt;&gt;""), HYPERLINK("#'" &amp; C1858 &amp; "'!" &amp; J1858, J1858), "")</f>
        <v/>
      </c>
    </row>
    <row r="1859">
      <c r="B1859" s="21">
        <f>IF(AND(C1859&lt;&gt;"", J1859&lt;&gt;""), HYPERLINK("#'" &amp; C1859 &amp; "'!" &amp; J1859, J1859), "")</f>
        <v/>
      </c>
    </row>
    <row r="1860">
      <c r="B1860" s="21">
        <f>IF(AND(C1860&lt;&gt;"", J1860&lt;&gt;""), HYPERLINK("#'" &amp; C1860 &amp; "'!" &amp; J1860, J1860), "")</f>
        <v/>
      </c>
    </row>
    <row r="1861">
      <c r="B1861" s="21">
        <f>IF(AND(C1861&lt;&gt;"", J1861&lt;&gt;""), HYPERLINK("#'" &amp; C1861 &amp; "'!" &amp; J1861, J1861), "")</f>
        <v/>
      </c>
    </row>
    <row r="1862">
      <c r="B1862" s="21">
        <f>IF(AND(C1862&lt;&gt;"", J1862&lt;&gt;""), HYPERLINK("#'" &amp; C1862 &amp; "'!" &amp; J1862, J1862), "")</f>
        <v/>
      </c>
    </row>
    <row r="1863">
      <c r="B1863" s="21">
        <f>IF(AND(C1863&lt;&gt;"", J1863&lt;&gt;""), HYPERLINK("#'" &amp; C1863 &amp; "'!" &amp; J1863, J1863), "")</f>
        <v/>
      </c>
    </row>
    <row r="1864">
      <c r="B1864" s="21">
        <f>IF(AND(C1864&lt;&gt;"", J1864&lt;&gt;""), HYPERLINK("#'" &amp; C1864 &amp; "'!" &amp; J1864, J1864), "")</f>
        <v/>
      </c>
    </row>
    <row r="1865">
      <c r="B1865" s="21">
        <f>IF(AND(C1865&lt;&gt;"", J1865&lt;&gt;""), HYPERLINK("#'" &amp; C1865 &amp; "'!" &amp; J1865, J1865), "")</f>
        <v/>
      </c>
    </row>
    <row r="1866">
      <c r="B1866" s="21">
        <f>IF(AND(C1866&lt;&gt;"", J1866&lt;&gt;""), HYPERLINK("#'" &amp; C1866 &amp; "'!" &amp; J1866, J1866), "")</f>
        <v/>
      </c>
    </row>
    <row r="1867">
      <c r="B1867" s="21">
        <f>IF(AND(C1867&lt;&gt;"", J1867&lt;&gt;""), HYPERLINK("#'" &amp; C1867 &amp; "'!" &amp; J1867, J1867), "")</f>
        <v/>
      </c>
    </row>
    <row r="1868">
      <c r="B1868" s="21">
        <f>IF(AND(C1868&lt;&gt;"", J1868&lt;&gt;""), HYPERLINK("#'" &amp; C1868 &amp; "'!" &amp; J1868, J1868), "")</f>
        <v/>
      </c>
    </row>
    <row r="1869">
      <c r="B1869" s="21">
        <f>IF(AND(C1869&lt;&gt;"", J1869&lt;&gt;""), HYPERLINK("#'" &amp; C1869 &amp; "'!" &amp; J1869, J1869), "")</f>
        <v/>
      </c>
    </row>
    <row r="1870">
      <c r="B1870" s="21">
        <f>IF(AND(C1870&lt;&gt;"", J1870&lt;&gt;""), HYPERLINK("#'" &amp; C1870 &amp; "'!" &amp; J1870, J1870), "")</f>
        <v/>
      </c>
    </row>
    <row r="1871">
      <c r="B1871" s="21">
        <f>IF(AND(C1871&lt;&gt;"", J1871&lt;&gt;""), HYPERLINK("#'" &amp; C1871 &amp; "'!" &amp; J1871, J1871), "")</f>
        <v/>
      </c>
    </row>
    <row r="1872">
      <c r="B1872" s="21">
        <f>IF(AND(C1872&lt;&gt;"", J1872&lt;&gt;""), HYPERLINK("#'" &amp; C1872 &amp; "'!" &amp; J1872, J1872), "")</f>
        <v/>
      </c>
    </row>
    <row r="1873">
      <c r="B1873" s="21">
        <f>IF(AND(C1873&lt;&gt;"", J1873&lt;&gt;""), HYPERLINK("#'" &amp; C1873 &amp; "'!" &amp; J1873, J1873), "")</f>
        <v/>
      </c>
    </row>
    <row r="1874">
      <c r="B1874" s="21">
        <f>IF(AND(C1874&lt;&gt;"", J1874&lt;&gt;""), HYPERLINK("#'" &amp; C1874 &amp; "'!" &amp; J1874, J1874), "")</f>
        <v/>
      </c>
    </row>
    <row r="1875">
      <c r="B1875" s="21">
        <f>IF(AND(C1875&lt;&gt;"", J1875&lt;&gt;""), HYPERLINK("#'" &amp; C1875 &amp; "'!" &amp; J1875, J1875), "")</f>
        <v/>
      </c>
    </row>
    <row r="1876">
      <c r="B1876" s="21">
        <f>IF(AND(C1876&lt;&gt;"", J1876&lt;&gt;""), HYPERLINK("#'" &amp; C1876 &amp; "'!" &amp; J1876, J1876), "")</f>
        <v/>
      </c>
    </row>
    <row r="1877">
      <c r="B1877" s="21">
        <f>IF(AND(C1877&lt;&gt;"", J1877&lt;&gt;""), HYPERLINK("#'" &amp; C1877 &amp; "'!" &amp; J1877, J1877), "")</f>
        <v/>
      </c>
    </row>
    <row r="1878">
      <c r="B1878" s="21">
        <f>IF(AND(C1878&lt;&gt;"", J1878&lt;&gt;""), HYPERLINK("#'" &amp; C1878 &amp; "'!" &amp; J1878, J1878), "")</f>
        <v/>
      </c>
    </row>
    <row r="1879">
      <c r="B1879" s="21">
        <f>IF(AND(C1879&lt;&gt;"", J1879&lt;&gt;""), HYPERLINK("#'" &amp; C1879 &amp; "'!" &amp; J1879, J1879), "")</f>
        <v/>
      </c>
    </row>
    <row r="1880">
      <c r="B1880" s="21">
        <f>IF(AND(C1880&lt;&gt;"", J1880&lt;&gt;""), HYPERLINK("#'" &amp; C1880 &amp; "'!" &amp; J1880, J1880), "")</f>
        <v/>
      </c>
    </row>
    <row r="1881">
      <c r="B1881" s="21">
        <f>IF(AND(C1881&lt;&gt;"", J1881&lt;&gt;""), HYPERLINK("#'" &amp; C1881 &amp; "'!" &amp; J1881, J1881), "")</f>
        <v/>
      </c>
    </row>
    <row r="1882">
      <c r="B1882" s="21">
        <f>IF(AND(C1882&lt;&gt;"", J1882&lt;&gt;""), HYPERLINK("#'" &amp; C1882 &amp; "'!" &amp; J1882, J1882), "")</f>
        <v/>
      </c>
    </row>
    <row r="1883">
      <c r="B1883" s="21">
        <f>IF(AND(C1883&lt;&gt;"", J1883&lt;&gt;""), HYPERLINK("#'" &amp; C1883 &amp; "'!" &amp; J1883, J1883), "")</f>
        <v/>
      </c>
    </row>
    <row r="1884">
      <c r="B1884" s="21">
        <f>IF(AND(C1884&lt;&gt;"", J1884&lt;&gt;""), HYPERLINK("#'" &amp; C1884 &amp; "'!" &amp; J1884, J1884), "")</f>
        <v/>
      </c>
    </row>
    <row r="1885">
      <c r="B1885" s="21">
        <f>IF(AND(C1885&lt;&gt;"", J1885&lt;&gt;""), HYPERLINK("#'" &amp; C1885 &amp; "'!" &amp; J1885, J1885), "")</f>
        <v/>
      </c>
    </row>
    <row r="1886">
      <c r="B1886" s="21">
        <f>IF(AND(C1886&lt;&gt;"", J1886&lt;&gt;""), HYPERLINK("#'" &amp; C1886 &amp; "'!" &amp; J1886, J1886), "")</f>
        <v/>
      </c>
    </row>
    <row r="1887">
      <c r="B1887" s="21">
        <f>IF(AND(C1887&lt;&gt;"", J1887&lt;&gt;""), HYPERLINK("#'" &amp; C1887 &amp; "'!" &amp; J1887, J1887), "")</f>
        <v/>
      </c>
    </row>
    <row r="1888">
      <c r="B1888" s="21">
        <f>IF(AND(C1888&lt;&gt;"", J1888&lt;&gt;""), HYPERLINK("#'" &amp; C1888 &amp; "'!" &amp; J1888, J1888), "")</f>
        <v/>
      </c>
    </row>
    <row r="1889">
      <c r="B1889" s="21">
        <f>IF(AND(C1889&lt;&gt;"", J1889&lt;&gt;""), HYPERLINK("#'" &amp; C1889 &amp; "'!" &amp; J1889, J1889), "")</f>
        <v/>
      </c>
    </row>
    <row r="1890">
      <c r="B1890" s="21">
        <f>IF(AND(C1890&lt;&gt;"", J1890&lt;&gt;""), HYPERLINK("#'" &amp; C1890 &amp; "'!" &amp; J1890, J1890), "")</f>
        <v/>
      </c>
    </row>
    <row r="1891">
      <c r="B1891" s="21">
        <f>IF(AND(C1891&lt;&gt;"", J1891&lt;&gt;""), HYPERLINK("#'" &amp; C1891 &amp; "'!" &amp; J1891, J1891), "")</f>
        <v/>
      </c>
    </row>
    <row r="1892">
      <c r="B1892" s="21">
        <f>IF(AND(C1892&lt;&gt;"", J1892&lt;&gt;""), HYPERLINK("#'" &amp; C1892 &amp; "'!" &amp; J1892, J1892), "")</f>
        <v/>
      </c>
    </row>
    <row r="1893">
      <c r="B1893" s="21">
        <f>IF(AND(C1893&lt;&gt;"", J1893&lt;&gt;""), HYPERLINK("#'" &amp; C1893 &amp; "'!" &amp; J1893, J1893), "")</f>
        <v/>
      </c>
    </row>
    <row r="1894">
      <c r="B1894" s="21">
        <f>IF(AND(C1894&lt;&gt;"", J1894&lt;&gt;""), HYPERLINK("#'" &amp; C1894 &amp; "'!" &amp; J1894, J1894), "")</f>
        <v/>
      </c>
    </row>
    <row r="1895">
      <c r="B1895" s="21">
        <f>IF(AND(C1895&lt;&gt;"", J1895&lt;&gt;""), HYPERLINK("#'" &amp; C1895 &amp; "'!" &amp; J1895, J1895), "")</f>
        <v/>
      </c>
    </row>
    <row r="1896">
      <c r="B1896" s="21">
        <f>IF(AND(C1896&lt;&gt;"", J1896&lt;&gt;""), HYPERLINK("#'" &amp; C1896 &amp; "'!" &amp; J1896, J1896), "")</f>
        <v/>
      </c>
    </row>
    <row r="1897">
      <c r="B1897" s="21">
        <f>IF(AND(C1897&lt;&gt;"", J1897&lt;&gt;""), HYPERLINK("#'" &amp; C1897 &amp; "'!" &amp; J1897, J1897), "")</f>
        <v/>
      </c>
    </row>
    <row r="1898">
      <c r="B1898" s="21">
        <f>IF(AND(C1898&lt;&gt;"", J1898&lt;&gt;""), HYPERLINK("#'" &amp; C1898 &amp; "'!" &amp; J1898, J1898), "")</f>
        <v/>
      </c>
    </row>
    <row r="1899">
      <c r="B1899" s="21">
        <f>IF(AND(C1899&lt;&gt;"", J1899&lt;&gt;""), HYPERLINK("#'" &amp; C1899 &amp; "'!" &amp; J1899, J1899), "")</f>
        <v/>
      </c>
    </row>
    <row r="1900">
      <c r="B1900" s="21">
        <f>IF(AND(C1900&lt;&gt;"", J1900&lt;&gt;""), HYPERLINK("#'" &amp; C1900 &amp; "'!" &amp; J1900, J1900), "")</f>
        <v/>
      </c>
    </row>
    <row r="1901">
      <c r="B1901" s="21">
        <f>IF(AND(C1901&lt;&gt;"", J1901&lt;&gt;""), HYPERLINK("#'" &amp; C1901 &amp; "'!" &amp; J1901, J1901), "")</f>
        <v/>
      </c>
    </row>
    <row r="1902">
      <c r="B1902" s="21">
        <f>IF(AND(C1902&lt;&gt;"", J1902&lt;&gt;""), HYPERLINK("#'" &amp; C1902 &amp; "'!" &amp; J1902, J1902), "")</f>
        <v/>
      </c>
    </row>
    <row r="1903">
      <c r="B1903" s="21">
        <f>IF(AND(C1903&lt;&gt;"", J1903&lt;&gt;""), HYPERLINK("#'" &amp; C1903 &amp; "'!" &amp; J1903, J1903), "")</f>
        <v/>
      </c>
    </row>
    <row r="1904">
      <c r="B1904" s="21">
        <f>IF(AND(C1904&lt;&gt;"", J1904&lt;&gt;""), HYPERLINK("#'" &amp; C1904 &amp; "'!" &amp; J1904, J1904), "")</f>
        <v/>
      </c>
    </row>
    <row r="1905">
      <c r="B1905" s="21">
        <f>IF(AND(C1905&lt;&gt;"", J1905&lt;&gt;""), HYPERLINK("#'" &amp; C1905 &amp; "'!" &amp; J1905, J1905), "")</f>
        <v/>
      </c>
    </row>
    <row r="1906">
      <c r="B1906" s="21">
        <f>IF(AND(C1906&lt;&gt;"", J1906&lt;&gt;""), HYPERLINK("#'" &amp; C1906 &amp; "'!" &amp; J1906, J1906), "")</f>
        <v/>
      </c>
    </row>
    <row r="1907">
      <c r="B1907" s="21">
        <f>IF(AND(C1907&lt;&gt;"", J1907&lt;&gt;""), HYPERLINK("#'" &amp; C1907 &amp; "'!" &amp; J1907, J1907), "")</f>
        <v/>
      </c>
    </row>
    <row r="1908">
      <c r="B1908" s="21">
        <f>IF(AND(C1908&lt;&gt;"", J1908&lt;&gt;""), HYPERLINK("#'" &amp; C1908 &amp; "'!" &amp; J1908, J1908), "")</f>
        <v/>
      </c>
    </row>
    <row r="1909">
      <c r="B1909" s="21">
        <f>IF(AND(C1909&lt;&gt;"", J1909&lt;&gt;""), HYPERLINK("#'" &amp; C1909 &amp; "'!" &amp; J1909, J1909), "")</f>
        <v/>
      </c>
    </row>
    <row r="1910">
      <c r="B1910" s="21">
        <f>IF(AND(C1910&lt;&gt;"", J1910&lt;&gt;""), HYPERLINK("#'" &amp; C1910 &amp; "'!" &amp; J1910, J1910), "")</f>
        <v/>
      </c>
    </row>
    <row r="1911">
      <c r="B1911" s="21">
        <f>IF(AND(C1911&lt;&gt;"", J1911&lt;&gt;""), HYPERLINK("#'" &amp; C1911 &amp; "'!" &amp; J1911, J1911), "")</f>
        <v/>
      </c>
    </row>
    <row r="1912">
      <c r="B1912" s="21">
        <f>IF(AND(C1912&lt;&gt;"", J1912&lt;&gt;""), HYPERLINK("#'" &amp; C1912 &amp; "'!" &amp; J1912, J1912), "")</f>
        <v/>
      </c>
    </row>
    <row r="1913">
      <c r="B1913" s="21">
        <f>IF(AND(C1913&lt;&gt;"", J1913&lt;&gt;""), HYPERLINK("#'" &amp; C1913 &amp; "'!" &amp; J1913, J1913), "")</f>
        <v/>
      </c>
    </row>
    <row r="1914">
      <c r="B1914" s="21">
        <f>IF(AND(C1914&lt;&gt;"", J1914&lt;&gt;""), HYPERLINK("#'" &amp; C1914 &amp; "'!" &amp; J1914, J1914), "")</f>
        <v/>
      </c>
    </row>
    <row r="1915">
      <c r="B1915" s="21">
        <f>IF(AND(C1915&lt;&gt;"", J1915&lt;&gt;""), HYPERLINK("#'" &amp; C1915 &amp; "'!" &amp; J1915, J1915), "")</f>
        <v/>
      </c>
    </row>
    <row r="1916">
      <c r="B1916" s="21">
        <f>IF(AND(C1916&lt;&gt;"", J1916&lt;&gt;""), HYPERLINK("#'" &amp; C1916 &amp; "'!" &amp; J1916, J1916), "")</f>
        <v/>
      </c>
    </row>
    <row r="1917">
      <c r="B1917" s="21">
        <f>IF(AND(C1917&lt;&gt;"", J1917&lt;&gt;""), HYPERLINK("#'" &amp; C1917 &amp; "'!" &amp; J1917, J1917), "")</f>
        <v/>
      </c>
    </row>
    <row r="1918">
      <c r="B1918" s="21">
        <f>IF(AND(C1918&lt;&gt;"", J1918&lt;&gt;""), HYPERLINK("#'" &amp; C1918 &amp; "'!" &amp; J1918, J1918), "")</f>
        <v/>
      </c>
    </row>
    <row r="1919">
      <c r="B1919" s="21">
        <f>IF(AND(C1919&lt;&gt;"", J1919&lt;&gt;""), HYPERLINK("#'" &amp; C1919 &amp; "'!" &amp; J1919, J1919), "")</f>
        <v/>
      </c>
    </row>
    <row r="1920">
      <c r="B1920" s="21">
        <f>IF(AND(C1920&lt;&gt;"", J1920&lt;&gt;""), HYPERLINK("#'" &amp; C1920 &amp; "'!" &amp; J1920, J1920), "")</f>
        <v/>
      </c>
    </row>
    <row r="1921">
      <c r="B1921" s="21">
        <f>IF(AND(C1921&lt;&gt;"", J1921&lt;&gt;""), HYPERLINK("#'" &amp; C1921 &amp; "'!" &amp; J1921, J1921), "")</f>
        <v/>
      </c>
    </row>
    <row r="1922">
      <c r="B1922" s="21">
        <f>IF(AND(C1922&lt;&gt;"", J1922&lt;&gt;""), HYPERLINK("#'" &amp; C1922 &amp; "'!" &amp; J1922, J1922), "")</f>
        <v/>
      </c>
    </row>
    <row r="1923">
      <c r="B1923" s="21">
        <f>IF(AND(C1923&lt;&gt;"", J1923&lt;&gt;""), HYPERLINK("#'" &amp; C1923 &amp; "'!" &amp; J1923, J1923), "")</f>
        <v/>
      </c>
    </row>
    <row r="1924">
      <c r="B1924" s="21">
        <f>IF(AND(C1924&lt;&gt;"", J1924&lt;&gt;""), HYPERLINK("#'" &amp; C1924 &amp; "'!" &amp; J1924, J1924), "")</f>
        <v/>
      </c>
    </row>
    <row r="1925">
      <c r="B1925" s="21">
        <f>IF(AND(C1925&lt;&gt;"", J1925&lt;&gt;""), HYPERLINK("#'" &amp; C1925 &amp; "'!" &amp; J1925, J1925), "")</f>
        <v/>
      </c>
    </row>
    <row r="1926">
      <c r="B1926" s="21">
        <f>IF(AND(C1926&lt;&gt;"", J1926&lt;&gt;""), HYPERLINK("#'" &amp; C1926 &amp; "'!" &amp; J1926, J1926), "")</f>
        <v/>
      </c>
    </row>
    <row r="1927">
      <c r="B1927" s="21">
        <f>IF(AND(C1927&lt;&gt;"", J1927&lt;&gt;""), HYPERLINK("#'" &amp; C1927 &amp; "'!" &amp; J1927, J1927), "")</f>
        <v/>
      </c>
    </row>
    <row r="1928">
      <c r="B1928" s="21">
        <f>IF(AND(C1928&lt;&gt;"", J1928&lt;&gt;""), HYPERLINK("#'" &amp; C1928 &amp; "'!" &amp; J1928, J1928), "")</f>
        <v/>
      </c>
    </row>
    <row r="1929">
      <c r="B1929" s="21">
        <f>IF(AND(C1929&lt;&gt;"", J1929&lt;&gt;""), HYPERLINK("#'" &amp; C1929 &amp; "'!" &amp; J1929, J1929), "")</f>
        <v/>
      </c>
    </row>
    <row r="1930">
      <c r="B1930" s="21">
        <f>IF(AND(C1930&lt;&gt;"", J1930&lt;&gt;""), HYPERLINK("#'" &amp; C1930 &amp; "'!" &amp; J1930, J1930), "")</f>
        <v/>
      </c>
    </row>
    <row r="1931">
      <c r="B1931" s="21">
        <f>IF(AND(C1931&lt;&gt;"", J1931&lt;&gt;""), HYPERLINK("#'" &amp; C1931 &amp; "'!" &amp; J1931, J1931), "")</f>
        <v/>
      </c>
    </row>
    <row r="1932">
      <c r="B1932" s="21">
        <f>IF(AND(C1932&lt;&gt;"", J1932&lt;&gt;""), HYPERLINK("#'" &amp; C1932 &amp; "'!" &amp; J1932, J1932), "")</f>
        <v/>
      </c>
    </row>
    <row r="1933">
      <c r="B1933" s="21">
        <f>IF(AND(C1933&lt;&gt;"", J1933&lt;&gt;""), HYPERLINK("#'" &amp; C1933 &amp; "'!" &amp; J1933, J1933), "")</f>
        <v/>
      </c>
    </row>
    <row r="1934">
      <c r="B1934" s="21">
        <f>IF(AND(C1934&lt;&gt;"", J1934&lt;&gt;""), HYPERLINK("#'" &amp; C1934 &amp; "'!" &amp; J1934, J1934), "")</f>
        <v/>
      </c>
    </row>
    <row r="1935">
      <c r="B1935" s="21">
        <f>IF(AND(C1935&lt;&gt;"", J1935&lt;&gt;""), HYPERLINK("#'" &amp; C1935 &amp; "'!" &amp; J1935, J1935), "")</f>
        <v/>
      </c>
    </row>
    <row r="1936">
      <c r="B1936" s="21">
        <f>IF(AND(C1936&lt;&gt;"", J1936&lt;&gt;""), HYPERLINK("#'" &amp; C1936 &amp; "'!" &amp; J1936, J1936), "")</f>
        <v/>
      </c>
    </row>
    <row r="1937">
      <c r="B1937" s="21">
        <f>IF(AND(C1937&lt;&gt;"", J1937&lt;&gt;""), HYPERLINK("#'" &amp; C1937 &amp; "'!" &amp; J1937, J1937), "")</f>
        <v/>
      </c>
    </row>
    <row r="1938">
      <c r="B1938" s="21">
        <f>IF(AND(C1938&lt;&gt;"", J1938&lt;&gt;""), HYPERLINK("#'" &amp; C1938 &amp; "'!" &amp; J1938, J1938), "")</f>
        <v/>
      </c>
    </row>
    <row r="1939">
      <c r="B1939" s="21">
        <f>IF(AND(C1939&lt;&gt;"", J1939&lt;&gt;""), HYPERLINK("#'" &amp; C1939 &amp; "'!" &amp; J1939, J1939), "")</f>
        <v/>
      </c>
    </row>
    <row r="1940">
      <c r="B1940" s="21">
        <f>IF(AND(C1940&lt;&gt;"", J1940&lt;&gt;""), HYPERLINK("#'" &amp; C1940 &amp; "'!" &amp; J1940, J1940), "")</f>
        <v/>
      </c>
    </row>
    <row r="1941">
      <c r="B1941" s="21">
        <f>IF(AND(C1941&lt;&gt;"", J1941&lt;&gt;""), HYPERLINK("#'" &amp; C1941 &amp; "'!" &amp; J1941, J1941), "")</f>
        <v/>
      </c>
    </row>
    <row r="1942">
      <c r="B1942" s="21">
        <f>IF(AND(C1942&lt;&gt;"", J1942&lt;&gt;""), HYPERLINK("#'" &amp; C1942 &amp; "'!" &amp; J1942, J1942), "")</f>
        <v/>
      </c>
    </row>
    <row r="1943">
      <c r="B1943" s="21">
        <f>IF(AND(C1943&lt;&gt;"", J1943&lt;&gt;""), HYPERLINK("#'" &amp; C1943 &amp; "'!" &amp; J1943, J1943), "")</f>
        <v/>
      </c>
    </row>
    <row r="1944">
      <c r="B1944" s="21">
        <f>IF(AND(C1944&lt;&gt;"", J1944&lt;&gt;""), HYPERLINK("#'" &amp; C1944 &amp; "'!" &amp; J1944, J1944), "")</f>
        <v/>
      </c>
    </row>
    <row r="1945">
      <c r="B1945" s="21">
        <f>IF(AND(C1945&lt;&gt;"", J1945&lt;&gt;""), HYPERLINK("#'" &amp; C1945 &amp; "'!" &amp; J1945, J1945), "")</f>
        <v/>
      </c>
    </row>
    <row r="1946">
      <c r="B1946" s="21">
        <f>IF(AND(C1946&lt;&gt;"", J1946&lt;&gt;""), HYPERLINK("#'" &amp; C1946 &amp; "'!" &amp; J1946, J1946), "")</f>
        <v/>
      </c>
    </row>
    <row r="1947">
      <c r="B1947" s="21">
        <f>IF(AND(C1947&lt;&gt;"", J1947&lt;&gt;""), HYPERLINK("#'" &amp; C1947 &amp; "'!" &amp; J1947, J1947), "")</f>
        <v/>
      </c>
    </row>
    <row r="1948">
      <c r="B1948" s="21">
        <f>IF(AND(C1948&lt;&gt;"", J1948&lt;&gt;""), HYPERLINK("#'" &amp; C1948 &amp; "'!" &amp; J1948, J1948), "")</f>
        <v/>
      </c>
    </row>
    <row r="1949">
      <c r="B1949" s="21">
        <f>IF(AND(C1949&lt;&gt;"", J1949&lt;&gt;""), HYPERLINK("#'" &amp; C1949 &amp; "'!" &amp; J1949, J1949), "")</f>
        <v/>
      </c>
    </row>
    <row r="1950">
      <c r="B1950" s="21">
        <f>IF(AND(C1950&lt;&gt;"", J1950&lt;&gt;""), HYPERLINK("#'" &amp; C1950 &amp; "'!" &amp; J1950, J1950), "")</f>
        <v/>
      </c>
    </row>
    <row r="1951">
      <c r="B1951" s="21">
        <f>IF(AND(C1951&lt;&gt;"", J1951&lt;&gt;""), HYPERLINK("#'" &amp; C1951 &amp; "'!" &amp; J1951, J1951), "")</f>
        <v/>
      </c>
    </row>
    <row r="1952">
      <c r="B1952" s="21">
        <f>IF(AND(C1952&lt;&gt;"", J1952&lt;&gt;""), HYPERLINK("#'" &amp; C1952 &amp; "'!" &amp; J1952, J1952), "")</f>
        <v/>
      </c>
    </row>
    <row r="1953">
      <c r="B1953" s="21">
        <f>IF(AND(C1953&lt;&gt;"", J1953&lt;&gt;""), HYPERLINK("#'" &amp; C1953 &amp; "'!" &amp; J1953, J1953), "")</f>
        <v/>
      </c>
    </row>
    <row r="1954">
      <c r="B1954" s="21">
        <f>IF(AND(C1954&lt;&gt;"", J1954&lt;&gt;""), HYPERLINK("#'" &amp; C1954 &amp; "'!" &amp; J1954, J1954), "")</f>
        <v/>
      </c>
    </row>
    <row r="1955">
      <c r="B1955" s="21">
        <f>IF(AND(C1955&lt;&gt;"", J1955&lt;&gt;""), HYPERLINK("#'" &amp; C1955 &amp; "'!" &amp; J1955, J1955), "")</f>
        <v/>
      </c>
    </row>
    <row r="1956">
      <c r="B1956" s="21">
        <f>IF(AND(C1956&lt;&gt;"", J1956&lt;&gt;""), HYPERLINK("#'" &amp; C1956 &amp; "'!" &amp; J1956, J1956), "")</f>
        <v/>
      </c>
    </row>
    <row r="1957">
      <c r="B1957" s="21">
        <f>IF(AND(C1957&lt;&gt;"", J1957&lt;&gt;""), HYPERLINK("#'" &amp; C1957 &amp; "'!" &amp; J1957, J1957), "")</f>
        <v/>
      </c>
    </row>
    <row r="1958">
      <c r="B1958" s="21">
        <f>IF(AND(C1958&lt;&gt;"", J1958&lt;&gt;""), HYPERLINK("#'" &amp; C1958 &amp; "'!" &amp; J1958, J1958), "")</f>
        <v/>
      </c>
    </row>
    <row r="1959">
      <c r="B1959" s="21">
        <f>IF(AND(C1959&lt;&gt;"", J1959&lt;&gt;""), HYPERLINK("#'" &amp; C1959 &amp; "'!" &amp; J1959, J1959), "")</f>
        <v/>
      </c>
    </row>
    <row r="1960">
      <c r="B1960" s="21">
        <f>IF(AND(C1960&lt;&gt;"", J1960&lt;&gt;""), HYPERLINK("#'" &amp; C1960 &amp; "'!" &amp; J1960, J1960), "")</f>
        <v/>
      </c>
    </row>
    <row r="1961">
      <c r="B1961" s="21">
        <f>IF(AND(C1961&lt;&gt;"", J1961&lt;&gt;""), HYPERLINK("#'" &amp; C1961 &amp; "'!" &amp; J1961, J1961), "")</f>
        <v/>
      </c>
    </row>
    <row r="1962">
      <c r="B1962" s="21">
        <f>IF(AND(C1962&lt;&gt;"", J1962&lt;&gt;""), HYPERLINK("#'" &amp; C1962 &amp; "'!" &amp; J1962, J1962), "")</f>
        <v/>
      </c>
    </row>
    <row r="1963">
      <c r="B1963" s="21">
        <f>IF(AND(C1963&lt;&gt;"", J1963&lt;&gt;""), HYPERLINK("#'" &amp; C1963 &amp; "'!" &amp; J1963, J1963), "")</f>
        <v/>
      </c>
    </row>
    <row r="1964">
      <c r="B1964" s="21">
        <f>IF(AND(C1964&lt;&gt;"", J1964&lt;&gt;""), HYPERLINK("#'" &amp; C1964 &amp; "'!" &amp; J1964, J1964), "")</f>
        <v/>
      </c>
    </row>
    <row r="1965">
      <c r="B1965" s="21">
        <f>IF(AND(C1965&lt;&gt;"", J1965&lt;&gt;""), HYPERLINK("#'" &amp; C1965 &amp; "'!" &amp; J1965, J1965), "")</f>
        <v/>
      </c>
    </row>
    <row r="1966">
      <c r="B1966" s="21">
        <f>IF(AND(C1966&lt;&gt;"", J1966&lt;&gt;""), HYPERLINK("#'" &amp; C1966 &amp; "'!" &amp; J1966, J1966), "")</f>
        <v/>
      </c>
    </row>
    <row r="1967">
      <c r="B1967" s="21">
        <f>IF(AND(C1967&lt;&gt;"", J1967&lt;&gt;""), HYPERLINK("#'" &amp; C1967 &amp; "'!" &amp; J1967, J1967), "")</f>
        <v/>
      </c>
    </row>
    <row r="1968">
      <c r="B1968" s="21">
        <f>IF(AND(C1968&lt;&gt;"", J1968&lt;&gt;""), HYPERLINK("#'" &amp; C1968 &amp; "'!" &amp; J1968, J1968), "")</f>
        <v/>
      </c>
    </row>
    <row r="1969">
      <c r="B1969" s="21">
        <f>IF(AND(C1969&lt;&gt;"", J1969&lt;&gt;""), HYPERLINK("#'" &amp; C1969 &amp; "'!" &amp; J1969, J1969), "")</f>
        <v/>
      </c>
    </row>
    <row r="1970">
      <c r="B1970" s="21">
        <f>IF(AND(C1970&lt;&gt;"", J1970&lt;&gt;""), HYPERLINK("#'" &amp; C1970 &amp; "'!" &amp; J1970, J1970), "")</f>
        <v/>
      </c>
    </row>
    <row r="1971">
      <c r="B1971" s="21">
        <f>IF(AND(C1971&lt;&gt;"", J1971&lt;&gt;""), HYPERLINK("#'" &amp; C1971 &amp; "'!" &amp; J1971, J1971), "")</f>
        <v/>
      </c>
    </row>
    <row r="1972">
      <c r="B1972" s="21">
        <f>IF(AND(C1972&lt;&gt;"", J1972&lt;&gt;""), HYPERLINK("#'" &amp; C1972 &amp; "'!" &amp; J1972, J1972), "")</f>
        <v/>
      </c>
    </row>
    <row r="1973">
      <c r="B1973" s="21">
        <f>IF(AND(C1973&lt;&gt;"", J1973&lt;&gt;""), HYPERLINK("#'" &amp; C1973 &amp; "'!" &amp; J1973, J1973), "")</f>
        <v/>
      </c>
    </row>
    <row r="1974">
      <c r="B1974" s="21">
        <f>IF(AND(C1974&lt;&gt;"", J1974&lt;&gt;""), HYPERLINK("#'" &amp; C1974 &amp; "'!" &amp; J1974, J1974), "")</f>
        <v/>
      </c>
    </row>
    <row r="1975">
      <c r="B1975" s="21">
        <f>IF(AND(C1975&lt;&gt;"", J1975&lt;&gt;""), HYPERLINK("#'" &amp; C1975 &amp; "'!" &amp; J1975, J1975), "")</f>
        <v/>
      </c>
    </row>
    <row r="1976">
      <c r="B1976" s="21">
        <f>IF(AND(C1976&lt;&gt;"", J1976&lt;&gt;""), HYPERLINK("#'" &amp; C1976 &amp; "'!" &amp; J1976, J1976), "")</f>
        <v/>
      </c>
    </row>
    <row r="1977">
      <c r="B1977" s="21">
        <f>IF(AND(C1977&lt;&gt;"", J1977&lt;&gt;""), HYPERLINK("#'" &amp; C1977 &amp; "'!" &amp; J1977, J1977), "")</f>
        <v/>
      </c>
    </row>
    <row r="1978">
      <c r="B1978" s="21">
        <f>IF(AND(C1978&lt;&gt;"", J1978&lt;&gt;""), HYPERLINK("#'" &amp; C1978 &amp; "'!" &amp; J1978, J1978), "")</f>
        <v/>
      </c>
    </row>
    <row r="1979">
      <c r="B1979" s="21">
        <f>IF(AND(C1979&lt;&gt;"", J1979&lt;&gt;""), HYPERLINK("#'" &amp; C1979 &amp; "'!" &amp; J1979, J1979), "")</f>
        <v/>
      </c>
    </row>
    <row r="1980">
      <c r="B1980" s="21">
        <f>IF(AND(C1980&lt;&gt;"", J1980&lt;&gt;""), HYPERLINK("#'" &amp; C1980 &amp; "'!" &amp; J1980, J1980), "")</f>
        <v/>
      </c>
    </row>
    <row r="1981">
      <c r="B1981" s="21">
        <f>IF(AND(C1981&lt;&gt;"", J1981&lt;&gt;""), HYPERLINK("#'" &amp; C1981 &amp; "'!" &amp; J1981, J1981), "")</f>
        <v/>
      </c>
    </row>
    <row r="1982">
      <c r="B1982" s="21">
        <f>IF(AND(C1982&lt;&gt;"", J1982&lt;&gt;""), HYPERLINK("#'" &amp; C1982 &amp; "'!" &amp; J1982, J1982), "")</f>
        <v/>
      </c>
    </row>
    <row r="1983">
      <c r="B1983" s="21">
        <f>IF(AND(C1983&lt;&gt;"", J1983&lt;&gt;""), HYPERLINK("#'" &amp; C1983 &amp; "'!" &amp; J1983, J1983), "")</f>
        <v/>
      </c>
    </row>
    <row r="1984">
      <c r="B1984" s="21">
        <f>IF(AND(C1984&lt;&gt;"", J1984&lt;&gt;""), HYPERLINK("#'" &amp; C1984 &amp; "'!" &amp; J1984, J1984), "")</f>
        <v/>
      </c>
    </row>
    <row r="1985">
      <c r="B1985" s="21">
        <f>IF(AND(C1985&lt;&gt;"", J1985&lt;&gt;""), HYPERLINK("#'" &amp; C1985 &amp; "'!" &amp; J1985, J1985), "")</f>
        <v/>
      </c>
    </row>
    <row r="1986">
      <c r="B1986" s="21">
        <f>IF(AND(C1986&lt;&gt;"", J1986&lt;&gt;""), HYPERLINK("#'" &amp; C1986 &amp; "'!" &amp; J1986, J1986), "")</f>
        <v/>
      </c>
    </row>
    <row r="1987">
      <c r="B1987" s="21">
        <f>IF(AND(C1987&lt;&gt;"", J1987&lt;&gt;""), HYPERLINK("#'" &amp; C1987 &amp; "'!" &amp; J1987, J1987), "")</f>
        <v/>
      </c>
    </row>
    <row r="1988">
      <c r="B1988" s="21">
        <f>IF(AND(C1988&lt;&gt;"", J1988&lt;&gt;""), HYPERLINK("#'" &amp; C1988 &amp; "'!" &amp; J1988, J1988), "")</f>
        <v/>
      </c>
    </row>
    <row r="1989">
      <c r="B1989" s="21">
        <f>IF(AND(C1989&lt;&gt;"", J1989&lt;&gt;""), HYPERLINK("#'" &amp; C1989 &amp; "'!" &amp; J1989, J1989), "")</f>
        <v/>
      </c>
    </row>
    <row r="1990">
      <c r="B1990" s="21">
        <f>IF(AND(C1990&lt;&gt;"", J1990&lt;&gt;""), HYPERLINK("#'" &amp; C1990 &amp; "'!" &amp; J1990, J1990), "")</f>
        <v/>
      </c>
    </row>
    <row r="1991">
      <c r="B1991" s="21">
        <f>IF(AND(C1991&lt;&gt;"", J1991&lt;&gt;""), HYPERLINK("#'" &amp; C1991 &amp; "'!" &amp; J1991, J1991), "")</f>
        <v/>
      </c>
    </row>
    <row r="1992">
      <c r="B1992" s="21">
        <f>IF(AND(C1992&lt;&gt;"", J1992&lt;&gt;""), HYPERLINK("#'" &amp; C1992 &amp; "'!" &amp; J1992, J1992), "")</f>
        <v/>
      </c>
    </row>
    <row r="1993">
      <c r="B1993" s="21">
        <f>IF(AND(C1993&lt;&gt;"", J1993&lt;&gt;""), HYPERLINK("#'" &amp; C1993 &amp; "'!" &amp; J1993, J1993), "")</f>
        <v/>
      </c>
    </row>
    <row r="1994">
      <c r="B1994" s="21">
        <f>IF(AND(C1994&lt;&gt;"", J1994&lt;&gt;""), HYPERLINK("#'" &amp; C1994 &amp; "'!" &amp; J1994, J1994), "")</f>
        <v/>
      </c>
    </row>
    <row r="1995">
      <c r="B1995" s="21">
        <f>IF(AND(C1995&lt;&gt;"", J1995&lt;&gt;""), HYPERLINK("#'" &amp; C1995 &amp; "'!" &amp; J1995, J1995), "")</f>
        <v/>
      </c>
    </row>
    <row r="1996">
      <c r="B1996" s="21">
        <f>IF(AND(C1996&lt;&gt;"", J1996&lt;&gt;""), HYPERLINK("#'" &amp; C1996 &amp; "'!" &amp; J1996, J1996), "")</f>
        <v/>
      </c>
    </row>
    <row r="1997">
      <c r="B1997" s="21">
        <f>IF(AND(C1997&lt;&gt;"", J1997&lt;&gt;""), HYPERLINK("#'" &amp; C1997 &amp; "'!" &amp; J1997, J1997), "")</f>
        <v/>
      </c>
    </row>
    <row r="1998">
      <c r="B1998" s="21">
        <f>IF(AND(C1998&lt;&gt;"", J1998&lt;&gt;""), HYPERLINK("#'" &amp; C1998 &amp; "'!" &amp; J1998, J1998), "")</f>
        <v/>
      </c>
    </row>
    <row r="1999">
      <c r="B1999" s="21">
        <f>IF(AND(C1999&lt;&gt;"", J1999&lt;&gt;""), HYPERLINK("#'" &amp; C1999 &amp; "'!" &amp; J1999, J1999), "")</f>
        <v/>
      </c>
    </row>
    <row r="2000">
      <c r="B2000" s="21">
        <f>IF(AND(C2000&lt;&gt;"", J2000&lt;&gt;""), HYPERLINK("#'" &amp; C2000 &amp; "'!" &amp; J2000, J2000), "")</f>
        <v/>
      </c>
    </row>
    <row r="2001">
      <c r="B2001" s="21">
        <f>IF(AND(C2001&lt;&gt;"", J2001&lt;&gt;""), HYPERLINK("#'" &amp; C2001 &amp; "'!" &amp; J2001, J2001), "")</f>
        <v/>
      </c>
    </row>
    <row r="2002">
      <c r="B2002" s="21">
        <f>IF(AND(C2002&lt;&gt;"", J2002&lt;&gt;""), HYPERLINK("#'" &amp; C2002 &amp; "'!" &amp; J2002, J2002), "")</f>
        <v/>
      </c>
    </row>
    <row r="2003">
      <c r="B2003" s="21">
        <f>IF(AND(C2003&lt;&gt;"", J2003&lt;&gt;""), HYPERLINK("#'" &amp; C2003 &amp; "'!" &amp; J2003, J2003), "")</f>
        <v/>
      </c>
    </row>
    <row r="2004">
      <c r="B2004" s="21">
        <f>IF(AND(C2004&lt;&gt;"", J2004&lt;&gt;""), HYPERLINK("#'" &amp; C2004 &amp; "'!" &amp; J2004, J2004), "")</f>
        <v/>
      </c>
    </row>
    <row r="2005">
      <c r="B2005" s="21">
        <f>IF(AND(C2005&lt;&gt;"", J2005&lt;&gt;""), HYPERLINK("#'" &amp; C2005 &amp; "'!" &amp; J2005, J2005), "")</f>
        <v/>
      </c>
    </row>
    <row r="2006">
      <c r="B2006" s="21">
        <f>IF(AND(C2006&lt;&gt;"", J2006&lt;&gt;""), HYPERLINK("#'" &amp; C2006 &amp; "'!" &amp; J2006, J2006), "")</f>
        <v/>
      </c>
    </row>
    <row r="2007">
      <c r="B2007" s="21">
        <f>IF(AND(C2007&lt;&gt;"", J2007&lt;&gt;""), HYPERLINK("#'" &amp; C2007 &amp; "'!" &amp; J2007, J2007), "")</f>
        <v/>
      </c>
    </row>
    <row r="2008">
      <c r="B2008" s="21">
        <f>IF(AND(C2008&lt;&gt;"", J2008&lt;&gt;""), HYPERLINK("#'" &amp; C2008 &amp; "'!" &amp; J2008, J2008), "")</f>
        <v/>
      </c>
    </row>
    <row r="2009">
      <c r="B2009" s="21">
        <f>IF(AND(C2009&lt;&gt;"", J2009&lt;&gt;""), HYPERLINK("#'" &amp; C2009 &amp; "'!" &amp; J2009, J2009), "")</f>
        <v/>
      </c>
    </row>
    <row r="2010">
      <c r="B2010" s="21">
        <f>IF(AND(C2010&lt;&gt;"", J2010&lt;&gt;""), HYPERLINK("#'" &amp; C2010 &amp; "'!" &amp; J2010, J2010), "")</f>
        <v/>
      </c>
    </row>
    <row r="2011">
      <c r="B2011" s="21">
        <f>IF(AND(C2011&lt;&gt;"", J2011&lt;&gt;""), HYPERLINK("#'" &amp; C2011 &amp; "'!" &amp; J2011, J2011), "")</f>
        <v/>
      </c>
    </row>
    <row r="2012">
      <c r="B2012" s="21">
        <f>IF(AND(C2012&lt;&gt;"", J2012&lt;&gt;""), HYPERLINK("#'" &amp; C2012 &amp; "'!" &amp; J2012, J2012), "")</f>
        <v/>
      </c>
    </row>
    <row r="2013">
      <c r="B2013" s="21">
        <f>IF(AND(C2013&lt;&gt;"", J2013&lt;&gt;""), HYPERLINK("#'" &amp; C2013 &amp; "'!" &amp; J2013, J2013), "")</f>
        <v/>
      </c>
    </row>
    <row r="2014">
      <c r="B2014" s="21">
        <f>IF(AND(C2014&lt;&gt;"", J2014&lt;&gt;""), HYPERLINK("#'" &amp; C2014 &amp; "'!" &amp; J2014, J2014), "")</f>
        <v/>
      </c>
    </row>
    <row r="2015">
      <c r="B2015" s="21">
        <f>IF(AND(C2015&lt;&gt;"", J2015&lt;&gt;""), HYPERLINK("#'" &amp; C2015 &amp; "'!" &amp; J2015, J2015), "")</f>
        <v/>
      </c>
    </row>
    <row r="2016">
      <c r="B2016" s="21">
        <f>IF(AND(C2016&lt;&gt;"", J2016&lt;&gt;""), HYPERLINK("#'" &amp; C2016 &amp; "'!" &amp; J2016, J2016), "")</f>
        <v/>
      </c>
    </row>
    <row r="2017">
      <c r="B2017" s="21">
        <f>IF(AND(C2017&lt;&gt;"", J2017&lt;&gt;""), HYPERLINK("#'" &amp; C2017 &amp; "'!" &amp; J2017, J2017), "")</f>
        <v/>
      </c>
    </row>
    <row r="2018">
      <c r="B2018" s="21">
        <f>IF(AND(C2018&lt;&gt;"", J2018&lt;&gt;""), HYPERLINK("#'" &amp; C2018 &amp; "'!" &amp; J2018, J2018), "")</f>
        <v/>
      </c>
    </row>
    <row r="2019">
      <c r="B2019" s="21">
        <f>IF(AND(C2019&lt;&gt;"", J2019&lt;&gt;""), HYPERLINK("#'" &amp; C2019 &amp; "'!" &amp; J2019, J2019), "")</f>
        <v/>
      </c>
    </row>
    <row r="2020">
      <c r="B2020" s="21">
        <f>IF(AND(C2020&lt;&gt;"", J2020&lt;&gt;""), HYPERLINK("#'" &amp; C2020 &amp; "'!" &amp; J2020, J2020), "")</f>
        <v/>
      </c>
    </row>
    <row r="2021">
      <c r="B2021" s="21">
        <f>IF(AND(C2021&lt;&gt;"", J2021&lt;&gt;""), HYPERLINK("#'" &amp; C2021 &amp; "'!" &amp; J2021, J2021), "")</f>
        <v/>
      </c>
    </row>
    <row r="2022">
      <c r="B2022" s="21">
        <f>IF(AND(C2022&lt;&gt;"", J2022&lt;&gt;""), HYPERLINK("#'" &amp; C2022 &amp; "'!" &amp; J2022, J2022), "")</f>
        <v/>
      </c>
    </row>
    <row r="2023">
      <c r="B2023" s="21">
        <f>IF(AND(C2023&lt;&gt;"", J2023&lt;&gt;""), HYPERLINK("#'" &amp; C2023 &amp; "'!" &amp; J2023, J2023), "")</f>
        <v/>
      </c>
    </row>
    <row r="2024">
      <c r="B2024" s="21">
        <f>IF(AND(C2024&lt;&gt;"", J2024&lt;&gt;""), HYPERLINK("#'" &amp; C2024 &amp; "'!" &amp; J2024, J2024), "")</f>
        <v/>
      </c>
    </row>
    <row r="2025">
      <c r="B2025" s="21">
        <f>IF(AND(C2025&lt;&gt;"", J2025&lt;&gt;""), HYPERLINK("#'" &amp; C2025 &amp; "'!" &amp; J2025, J2025), "")</f>
        <v/>
      </c>
    </row>
    <row r="2026">
      <c r="B2026" s="21">
        <f>IF(AND(C2026&lt;&gt;"", J2026&lt;&gt;""), HYPERLINK("#'" &amp; C2026 &amp; "'!" &amp; J2026, J2026), "")</f>
        <v/>
      </c>
    </row>
    <row r="2027">
      <c r="B2027" s="21">
        <f>IF(AND(C2027&lt;&gt;"", J2027&lt;&gt;""), HYPERLINK("#'" &amp; C2027 &amp; "'!" &amp; J2027, J2027), "")</f>
        <v/>
      </c>
    </row>
    <row r="2028">
      <c r="B2028" s="21">
        <f>IF(AND(C2028&lt;&gt;"", J2028&lt;&gt;""), HYPERLINK("#'" &amp; C2028 &amp; "'!" &amp; J2028, J2028), "")</f>
        <v/>
      </c>
    </row>
    <row r="2029">
      <c r="B2029" s="21">
        <f>IF(AND(C2029&lt;&gt;"", J2029&lt;&gt;""), HYPERLINK("#'" &amp; C2029 &amp; "'!" &amp; J2029, J2029), "")</f>
        <v/>
      </c>
    </row>
    <row r="2030">
      <c r="B2030" s="21">
        <f>IF(AND(C2030&lt;&gt;"", J2030&lt;&gt;""), HYPERLINK("#'" &amp; C2030 &amp; "'!" &amp; J2030, J2030), "")</f>
        <v/>
      </c>
    </row>
    <row r="2031">
      <c r="B2031" s="21">
        <f>IF(AND(C2031&lt;&gt;"", J2031&lt;&gt;""), HYPERLINK("#'" &amp; C2031 &amp; "'!" &amp; J2031, J2031), "")</f>
        <v/>
      </c>
    </row>
    <row r="2032">
      <c r="B2032" s="21">
        <f>IF(AND(C2032&lt;&gt;"", J2032&lt;&gt;""), HYPERLINK("#'" &amp; C2032 &amp; "'!" &amp; J2032, J2032), "")</f>
        <v/>
      </c>
    </row>
    <row r="2033">
      <c r="B2033" s="21">
        <f>IF(AND(C2033&lt;&gt;"", J2033&lt;&gt;""), HYPERLINK("#'" &amp; C2033 &amp; "'!" &amp; J2033, J2033), "")</f>
        <v/>
      </c>
    </row>
    <row r="2034">
      <c r="B2034" s="21">
        <f>IF(AND(C2034&lt;&gt;"", J2034&lt;&gt;""), HYPERLINK("#'" &amp; C2034 &amp; "'!" &amp; J2034, J2034), "")</f>
        <v/>
      </c>
    </row>
    <row r="2035">
      <c r="B2035" s="21">
        <f>IF(AND(C2035&lt;&gt;"", J2035&lt;&gt;""), HYPERLINK("#'" &amp; C2035 &amp; "'!" &amp; J2035, J2035), "")</f>
        <v/>
      </c>
    </row>
    <row r="2036">
      <c r="B2036" s="21">
        <f>IF(AND(C2036&lt;&gt;"", J2036&lt;&gt;""), HYPERLINK("#'" &amp; C2036 &amp; "'!" &amp; J2036, J2036), "")</f>
        <v/>
      </c>
    </row>
    <row r="2037">
      <c r="B2037" s="21">
        <f>IF(AND(C2037&lt;&gt;"", J2037&lt;&gt;""), HYPERLINK("#'" &amp; C2037 &amp; "'!" &amp; J2037, J2037), "")</f>
        <v/>
      </c>
    </row>
    <row r="2038">
      <c r="B2038" s="21">
        <f>IF(AND(C2038&lt;&gt;"", J2038&lt;&gt;""), HYPERLINK("#'" &amp; C2038 &amp; "'!" &amp; J2038, J2038), "")</f>
        <v/>
      </c>
    </row>
    <row r="2039">
      <c r="B2039" s="21">
        <f>IF(AND(C2039&lt;&gt;"", J2039&lt;&gt;""), HYPERLINK("#'" &amp; C2039 &amp; "'!" &amp; J2039, J2039), "")</f>
        <v/>
      </c>
    </row>
    <row r="2040">
      <c r="B2040" s="21">
        <f>IF(AND(C2040&lt;&gt;"", J2040&lt;&gt;""), HYPERLINK("#'" &amp; C2040 &amp; "'!" &amp; J2040, J2040), "")</f>
        <v/>
      </c>
    </row>
    <row r="2041">
      <c r="B2041" s="21">
        <f>IF(AND(C2041&lt;&gt;"", J2041&lt;&gt;""), HYPERLINK("#'" &amp; C2041 &amp; "'!" &amp; J2041, J2041), "")</f>
        <v/>
      </c>
    </row>
    <row r="2042">
      <c r="B2042" s="21">
        <f>IF(AND(C2042&lt;&gt;"", J2042&lt;&gt;""), HYPERLINK("#'" &amp; C2042 &amp; "'!" &amp; J2042, J2042), "")</f>
        <v/>
      </c>
    </row>
    <row r="2043">
      <c r="B2043" s="21">
        <f>IF(AND(C2043&lt;&gt;"", J2043&lt;&gt;""), HYPERLINK("#'" &amp; C2043 &amp; "'!" &amp; J2043, J2043), "")</f>
        <v/>
      </c>
    </row>
    <row r="2044">
      <c r="B2044" s="21">
        <f>IF(AND(C2044&lt;&gt;"", J2044&lt;&gt;""), HYPERLINK("#'" &amp; C2044 &amp; "'!" &amp; J2044, J2044), "")</f>
        <v/>
      </c>
    </row>
    <row r="2045">
      <c r="B2045" s="21">
        <f>IF(AND(C2045&lt;&gt;"", J2045&lt;&gt;""), HYPERLINK("#'" &amp; C2045 &amp; "'!" &amp; J2045, J2045), "")</f>
        <v/>
      </c>
    </row>
    <row r="2046">
      <c r="B2046" s="21">
        <f>IF(AND(C2046&lt;&gt;"", J2046&lt;&gt;""), HYPERLINK("#'" &amp; C2046 &amp; "'!" &amp; J2046, J2046), "")</f>
        <v/>
      </c>
    </row>
    <row r="2047">
      <c r="B2047" s="21">
        <f>IF(AND(C2047&lt;&gt;"", J2047&lt;&gt;""), HYPERLINK("#'" &amp; C2047 &amp; "'!" &amp; J2047, J2047), "")</f>
        <v/>
      </c>
    </row>
    <row r="2048">
      <c r="B2048" s="21">
        <f>IF(AND(C2048&lt;&gt;"", J2048&lt;&gt;""), HYPERLINK("#'" &amp; C2048 &amp; "'!" &amp; J2048, J2048), "")</f>
        <v/>
      </c>
    </row>
    <row r="2049">
      <c r="B2049" s="21">
        <f>IF(AND(C2049&lt;&gt;"", J2049&lt;&gt;""), HYPERLINK("#'" &amp; C2049 &amp; "'!" &amp; J2049, J2049), "")</f>
        <v/>
      </c>
    </row>
    <row r="2050">
      <c r="B2050" s="21">
        <f>IF(AND(C2050&lt;&gt;"", J2050&lt;&gt;""), HYPERLINK("#'" &amp; C2050 &amp; "'!" &amp; J2050, J2050), "")</f>
        <v/>
      </c>
    </row>
    <row r="2051">
      <c r="B2051" s="21">
        <f>IF(AND(C2051&lt;&gt;"", J2051&lt;&gt;""), HYPERLINK("#'" &amp; C2051 &amp; "'!" &amp; J2051, J2051), "")</f>
        <v/>
      </c>
    </row>
    <row r="2052">
      <c r="B2052" s="21">
        <f>IF(AND(C2052&lt;&gt;"", J2052&lt;&gt;""), HYPERLINK("#'" &amp; C2052 &amp; "'!" &amp; J2052, J2052), "")</f>
        <v/>
      </c>
    </row>
    <row r="2053">
      <c r="B2053" s="21">
        <f>IF(AND(C2053&lt;&gt;"", J2053&lt;&gt;""), HYPERLINK("#'" &amp; C2053 &amp; "'!" &amp; J2053, J2053), "")</f>
        <v/>
      </c>
    </row>
    <row r="2054">
      <c r="B2054" s="21">
        <f>IF(AND(C2054&lt;&gt;"", J2054&lt;&gt;""), HYPERLINK("#'" &amp; C2054 &amp; "'!" &amp; J2054, J2054), "")</f>
        <v/>
      </c>
    </row>
    <row r="2055">
      <c r="B2055" s="21">
        <f>IF(AND(C2055&lt;&gt;"", J2055&lt;&gt;""), HYPERLINK("#'" &amp; C2055 &amp; "'!" &amp; J2055, J2055), "")</f>
        <v/>
      </c>
    </row>
    <row r="2056">
      <c r="B2056" s="21">
        <f>IF(AND(C2056&lt;&gt;"", J2056&lt;&gt;""), HYPERLINK("#'" &amp; C2056 &amp; "'!" &amp; J2056, J2056), "")</f>
        <v/>
      </c>
    </row>
    <row r="2057">
      <c r="B2057" s="21">
        <f>IF(AND(C2057&lt;&gt;"", J2057&lt;&gt;""), HYPERLINK("#'" &amp; C2057 &amp; "'!" &amp; J2057, J2057), "")</f>
        <v/>
      </c>
    </row>
    <row r="2058">
      <c r="B2058" s="21">
        <f>IF(AND(C2058&lt;&gt;"", J2058&lt;&gt;""), HYPERLINK("#'" &amp; C2058 &amp; "'!" &amp; J2058, J2058), "")</f>
        <v/>
      </c>
    </row>
    <row r="2059">
      <c r="B2059" s="21">
        <f>IF(AND(C2059&lt;&gt;"", J2059&lt;&gt;""), HYPERLINK("#'" &amp; C2059 &amp; "'!" &amp; J2059, J2059), "")</f>
        <v/>
      </c>
    </row>
    <row r="2060">
      <c r="B2060" s="21">
        <f>IF(AND(C2060&lt;&gt;"", J2060&lt;&gt;""), HYPERLINK("#'" &amp; C2060 &amp; "'!" &amp; J2060, J2060), "")</f>
        <v/>
      </c>
    </row>
    <row r="2061">
      <c r="B2061" s="21">
        <f>IF(AND(C2061&lt;&gt;"", J2061&lt;&gt;""), HYPERLINK("#'" &amp; C2061 &amp; "'!" &amp; J2061, J2061), "")</f>
        <v/>
      </c>
    </row>
    <row r="2062">
      <c r="B2062" s="21">
        <f>IF(AND(C2062&lt;&gt;"", J2062&lt;&gt;""), HYPERLINK("#'" &amp; C2062 &amp; "'!" &amp; J2062, J2062), "")</f>
        <v/>
      </c>
    </row>
    <row r="2063">
      <c r="B2063" s="21">
        <f>IF(AND(C2063&lt;&gt;"", J2063&lt;&gt;""), HYPERLINK("#'" &amp; C2063 &amp; "'!" &amp; J2063, J2063), "")</f>
        <v/>
      </c>
    </row>
    <row r="2064">
      <c r="B2064" s="21">
        <f>IF(AND(C2064&lt;&gt;"", J2064&lt;&gt;""), HYPERLINK("#'" &amp; C2064 &amp; "'!" &amp; J2064, J2064), "")</f>
        <v/>
      </c>
    </row>
    <row r="2065">
      <c r="B2065" s="21">
        <f>IF(AND(C2065&lt;&gt;"", J2065&lt;&gt;""), HYPERLINK("#'" &amp; C2065 &amp; "'!" &amp; J2065, J2065), "")</f>
        <v/>
      </c>
    </row>
    <row r="2066">
      <c r="B2066" s="21">
        <f>IF(AND(C2066&lt;&gt;"", J2066&lt;&gt;""), HYPERLINK("#'" &amp; C2066 &amp; "'!" &amp; J2066, J2066), "")</f>
        <v/>
      </c>
    </row>
    <row r="2067">
      <c r="B2067" s="21">
        <f>IF(AND(C2067&lt;&gt;"", J2067&lt;&gt;""), HYPERLINK("#'" &amp; C2067 &amp; "'!" &amp; J2067, J2067), "")</f>
        <v/>
      </c>
    </row>
    <row r="2068">
      <c r="B2068" s="21">
        <f>IF(AND(C2068&lt;&gt;"", J2068&lt;&gt;""), HYPERLINK("#'" &amp; C2068 &amp; "'!" &amp; J2068, J2068), "")</f>
        <v/>
      </c>
    </row>
    <row r="2069">
      <c r="B2069" s="21">
        <f>IF(AND(C2069&lt;&gt;"", J2069&lt;&gt;""), HYPERLINK("#'" &amp; C2069 &amp; "'!" &amp; J2069, J2069), "")</f>
        <v/>
      </c>
    </row>
    <row r="2070">
      <c r="B2070" s="21">
        <f>IF(AND(C2070&lt;&gt;"", J2070&lt;&gt;""), HYPERLINK("#'" &amp; C2070 &amp; "'!" &amp; J2070, J2070), "")</f>
        <v/>
      </c>
    </row>
    <row r="2071">
      <c r="B2071" s="21">
        <f>IF(AND(C2071&lt;&gt;"", J2071&lt;&gt;""), HYPERLINK("#'" &amp; C2071 &amp; "'!" &amp; J2071, J2071), "")</f>
        <v/>
      </c>
    </row>
    <row r="2072">
      <c r="B2072" s="21">
        <f>IF(AND(C2072&lt;&gt;"", J2072&lt;&gt;""), HYPERLINK("#'" &amp; C2072 &amp; "'!" &amp; J2072, J2072), "")</f>
        <v/>
      </c>
    </row>
    <row r="2073">
      <c r="B2073" s="21">
        <f>IF(AND(C2073&lt;&gt;"", J2073&lt;&gt;""), HYPERLINK("#'" &amp; C2073 &amp; "'!" &amp; J2073, J2073), "")</f>
        <v/>
      </c>
    </row>
    <row r="2074">
      <c r="B2074" s="21">
        <f>IF(AND(C2074&lt;&gt;"", J2074&lt;&gt;""), HYPERLINK("#'" &amp; C2074 &amp; "'!" &amp; J2074, J2074), "")</f>
        <v/>
      </c>
    </row>
    <row r="2075">
      <c r="B2075" s="21">
        <f>IF(AND(C2075&lt;&gt;"", J2075&lt;&gt;""), HYPERLINK("#'" &amp; C2075 &amp; "'!" &amp; J2075, J2075), "")</f>
        <v/>
      </c>
    </row>
    <row r="2076">
      <c r="B2076" s="21">
        <f>IF(AND(C2076&lt;&gt;"", J2076&lt;&gt;""), HYPERLINK("#'" &amp; C2076 &amp; "'!" &amp; J2076, J2076), "")</f>
        <v/>
      </c>
    </row>
    <row r="2077">
      <c r="B2077" s="21">
        <f>IF(AND(C2077&lt;&gt;"", J2077&lt;&gt;""), HYPERLINK("#'" &amp; C2077 &amp; "'!" &amp; J2077, J2077), "")</f>
        <v/>
      </c>
    </row>
    <row r="2078">
      <c r="B2078" s="21">
        <f>IF(AND(C2078&lt;&gt;"", J2078&lt;&gt;""), HYPERLINK("#'" &amp; C2078 &amp; "'!" &amp; J2078, J2078), "")</f>
        <v/>
      </c>
    </row>
    <row r="2079">
      <c r="B2079" s="21">
        <f>IF(AND(C2079&lt;&gt;"", J2079&lt;&gt;""), HYPERLINK("#'" &amp; C2079 &amp; "'!" &amp; J2079, J2079), "")</f>
        <v/>
      </c>
    </row>
    <row r="2080">
      <c r="B2080" s="21">
        <f>IF(AND(C2080&lt;&gt;"", J2080&lt;&gt;""), HYPERLINK("#'" &amp; C2080 &amp; "'!" &amp; J2080, J2080), "")</f>
        <v/>
      </c>
    </row>
    <row r="2081">
      <c r="B2081" s="21">
        <f>IF(AND(C2081&lt;&gt;"", J2081&lt;&gt;""), HYPERLINK("#'" &amp; C2081 &amp; "'!" &amp; J2081, J2081), "")</f>
        <v/>
      </c>
    </row>
    <row r="2082">
      <c r="B2082" s="21">
        <f>IF(AND(C2082&lt;&gt;"", J2082&lt;&gt;""), HYPERLINK("#'" &amp; C2082 &amp; "'!" &amp; J2082, J2082), "")</f>
        <v/>
      </c>
    </row>
    <row r="2083">
      <c r="B2083" s="21">
        <f>IF(AND(C2083&lt;&gt;"", J2083&lt;&gt;""), HYPERLINK("#'" &amp; C2083 &amp; "'!" &amp; J2083, J2083), "")</f>
        <v/>
      </c>
    </row>
    <row r="2084">
      <c r="B2084" s="21">
        <f>IF(AND(C2084&lt;&gt;"", J2084&lt;&gt;""), HYPERLINK("#'" &amp; C2084 &amp; "'!" &amp; J2084, J2084), "")</f>
        <v/>
      </c>
    </row>
    <row r="2085">
      <c r="B2085" s="21">
        <f>IF(AND(C2085&lt;&gt;"", J2085&lt;&gt;""), HYPERLINK("#'" &amp; C2085 &amp; "'!" &amp; J2085, J2085), "")</f>
        <v/>
      </c>
    </row>
    <row r="2086">
      <c r="B2086" s="21">
        <f>IF(AND(C2086&lt;&gt;"", J2086&lt;&gt;""), HYPERLINK("#'" &amp; C2086 &amp; "'!" &amp; J2086, J2086), "")</f>
        <v/>
      </c>
    </row>
    <row r="2087">
      <c r="B2087" s="21">
        <f>IF(AND(C2087&lt;&gt;"", J2087&lt;&gt;""), HYPERLINK("#'" &amp; C2087 &amp; "'!" &amp; J2087, J2087), "")</f>
        <v/>
      </c>
    </row>
    <row r="2088">
      <c r="B2088" s="21">
        <f>IF(AND(C2088&lt;&gt;"", J2088&lt;&gt;""), HYPERLINK("#'" &amp; C2088 &amp; "'!" &amp; J2088, J2088), "")</f>
        <v/>
      </c>
    </row>
    <row r="2089">
      <c r="B2089" s="21">
        <f>IF(AND(C2089&lt;&gt;"", J2089&lt;&gt;""), HYPERLINK("#'" &amp; C2089 &amp; "'!" &amp; J2089, J2089), "")</f>
        <v/>
      </c>
    </row>
    <row r="2090">
      <c r="B2090" s="21">
        <f>IF(AND(C2090&lt;&gt;"", J2090&lt;&gt;""), HYPERLINK("#'" &amp; C2090 &amp; "'!" &amp; J2090, J2090), "")</f>
        <v/>
      </c>
    </row>
    <row r="2091">
      <c r="B2091" s="21">
        <f>IF(AND(C2091&lt;&gt;"", J2091&lt;&gt;""), HYPERLINK("#'" &amp; C2091 &amp; "'!" &amp; J2091, J2091), "")</f>
        <v/>
      </c>
    </row>
    <row r="2092">
      <c r="B2092" s="21">
        <f>IF(AND(C2092&lt;&gt;"", J2092&lt;&gt;""), HYPERLINK("#'" &amp; C2092 &amp; "'!" &amp; J2092, J2092), "")</f>
        <v/>
      </c>
    </row>
    <row r="2093">
      <c r="B2093" s="21">
        <f>IF(AND(C2093&lt;&gt;"", J2093&lt;&gt;""), HYPERLINK("#'" &amp; C2093 &amp; "'!" &amp; J2093, J2093), "")</f>
        <v/>
      </c>
    </row>
    <row r="2094">
      <c r="B2094" s="21">
        <f>IF(AND(C2094&lt;&gt;"", J2094&lt;&gt;""), HYPERLINK("#'" &amp; C2094 &amp; "'!" &amp; J2094, J2094), "")</f>
        <v/>
      </c>
    </row>
    <row r="2095">
      <c r="B2095" s="21">
        <f>IF(AND(C2095&lt;&gt;"", J2095&lt;&gt;""), HYPERLINK("#'" &amp; C2095 &amp; "'!" &amp; J2095, J2095), "")</f>
        <v/>
      </c>
    </row>
    <row r="2096">
      <c r="B2096" s="21">
        <f>IF(AND(C2096&lt;&gt;"", J2096&lt;&gt;""), HYPERLINK("#'" &amp; C2096 &amp; "'!" &amp; J2096, J2096), "")</f>
        <v/>
      </c>
    </row>
    <row r="2097">
      <c r="B2097" s="21">
        <f>IF(AND(C2097&lt;&gt;"", J2097&lt;&gt;""), HYPERLINK("#'" &amp; C2097 &amp; "'!" &amp; J2097, J2097), "")</f>
        <v/>
      </c>
    </row>
    <row r="2098">
      <c r="B2098" s="21">
        <f>IF(AND(C2098&lt;&gt;"", J2098&lt;&gt;""), HYPERLINK("#'" &amp; C2098 &amp; "'!" &amp; J2098, J2098), "")</f>
        <v/>
      </c>
    </row>
    <row r="2099">
      <c r="B2099" s="21">
        <f>IF(AND(C2099&lt;&gt;"", J2099&lt;&gt;""), HYPERLINK("#'" &amp; C2099 &amp; "'!" &amp; J2099, J2099), "")</f>
        <v/>
      </c>
    </row>
    <row r="2100">
      <c r="B2100" s="21">
        <f>IF(AND(C2100&lt;&gt;"", J2100&lt;&gt;""), HYPERLINK("#'" &amp; C2100 &amp; "'!" &amp; J2100, J2100), "")</f>
        <v/>
      </c>
    </row>
    <row r="2101">
      <c r="B2101" s="21">
        <f>IF(AND(C2101&lt;&gt;"", J2101&lt;&gt;""), HYPERLINK("#'" &amp; C2101 &amp; "'!" &amp; J2101, J2101), "")</f>
        <v/>
      </c>
    </row>
    <row r="2102">
      <c r="B2102" s="21">
        <f>IF(AND(C2102&lt;&gt;"", J2102&lt;&gt;""), HYPERLINK("#'" &amp; C2102 &amp; "'!" &amp; J2102, J2102), "")</f>
        <v/>
      </c>
    </row>
    <row r="2103">
      <c r="B2103" s="21">
        <f>IF(AND(C2103&lt;&gt;"", J2103&lt;&gt;""), HYPERLINK("#'" &amp; C2103 &amp; "'!" &amp; J2103, J2103), "")</f>
        <v/>
      </c>
    </row>
    <row r="2104">
      <c r="B2104" s="21">
        <f>IF(AND(C2104&lt;&gt;"", J2104&lt;&gt;""), HYPERLINK("#'" &amp; C2104 &amp; "'!" &amp; J2104, J2104), "")</f>
        <v/>
      </c>
    </row>
    <row r="2105">
      <c r="B2105" s="21">
        <f>IF(AND(C2105&lt;&gt;"", J2105&lt;&gt;""), HYPERLINK("#'" &amp; C2105 &amp; "'!" &amp; J2105, J2105), "")</f>
        <v/>
      </c>
    </row>
    <row r="2106">
      <c r="B2106" s="21">
        <f>IF(AND(C2106&lt;&gt;"", J2106&lt;&gt;""), HYPERLINK("#'" &amp; C2106 &amp; "'!" &amp; J2106, J2106), "")</f>
        <v/>
      </c>
    </row>
    <row r="2107">
      <c r="B2107" s="21">
        <f>IF(AND(C2107&lt;&gt;"", J2107&lt;&gt;""), HYPERLINK("#'" &amp; C2107 &amp; "'!" &amp; J2107, J2107), "")</f>
        <v/>
      </c>
    </row>
    <row r="2108">
      <c r="B2108" s="21">
        <f>IF(AND(C2108&lt;&gt;"", J2108&lt;&gt;""), HYPERLINK("#'" &amp; C2108 &amp; "'!" &amp; J2108, J2108), "")</f>
        <v/>
      </c>
    </row>
    <row r="2109">
      <c r="B2109" s="21">
        <f>IF(AND(C2109&lt;&gt;"", J2109&lt;&gt;""), HYPERLINK("#'" &amp; C2109 &amp; "'!" &amp; J2109, J2109), "")</f>
        <v/>
      </c>
    </row>
    <row r="2110">
      <c r="B2110" s="21">
        <f>IF(AND(C2110&lt;&gt;"", J2110&lt;&gt;""), HYPERLINK("#'" &amp; C2110 &amp; "'!" &amp; J2110, J2110), "")</f>
        <v/>
      </c>
    </row>
    <row r="2111">
      <c r="B2111" s="21">
        <f>IF(AND(C2111&lt;&gt;"", J2111&lt;&gt;""), HYPERLINK("#'" &amp; C2111 &amp; "'!" &amp; J2111, J2111), "")</f>
        <v/>
      </c>
    </row>
    <row r="2112">
      <c r="B2112" s="21">
        <f>IF(AND(C2112&lt;&gt;"", J2112&lt;&gt;""), HYPERLINK("#'" &amp; C2112 &amp; "'!" &amp; J2112, J2112), "")</f>
        <v/>
      </c>
    </row>
    <row r="2113">
      <c r="B2113" s="21">
        <f>IF(AND(C2113&lt;&gt;"", J2113&lt;&gt;""), HYPERLINK("#'" &amp; C2113 &amp; "'!" &amp; J2113, J2113), "")</f>
        <v/>
      </c>
    </row>
    <row r="2114">
      <c r="B2114" s="21">
        <f>IF(AND(C2114&lt;&gt;"", J2114&lt;&gt;""), HYPERLINK("#'" &amp; C2114 &amp; "'!" &amp; J2114, J2114), "")</f>
        <v/>
      </c>
    </row>
    <row r="2115">
      <c r="B2115" s="21">
        <f>IF(AND(C2115&lt;&gt;"", J2115&lt;&gt;""), HYPERLINK("#'" &amp; C2115 &amp; "'!" &amp; J2115, J2115), "")</f>
        <v/>
      </c>
    </row>
    <row r="2116">
      <c r="B2116" s="21">
        <f>IF(AND(C2116&lt;&gt;"", J2116&lt;&gt;""), HYPERLINK("#'" &amp; C2116 &amp; "'!" &amp; J2116, J2116), "")</f>
        <v/>
      </c>
    </row>
    <row r="2117">
      <c r="B2117" s="21">
        <f>IF(AND(C2117&lt;&gt;"", J2117&lt;&gt;""), HYPERLINK("#'" &amp; C2117 &amp; "'!" &amp; J2117, J2117), "")</f>
        <v/>
      </c>
    </row>
    <row r="2118">
      <c r="B2118" s="21">
        <f>IF(AND(C2118&lt;&gt;"", J2118&lt;&gt;""), HYPERLINK("#'" &amp; C2118 &amp; "'!" &amp; J2118, J2118), "")</f>
        <v/>
      </c>
    </row>
    <row r="2119">
      <c r="B2119" s="21">
        <f>IF(AND(C2119&lt;&gt;"", J2119&lt;&gt;""), HYPERLINK("#'" &amp; C2119 &amp; "'!" &amp; J2119, J2119), "")</f>
        <v/>
      </c>
    </row>
    <row r="2120">
      <c r="B2120" s="21">
        <f>IF(AND(C2120&lt;&gt;"", J2120&lt;&gt;""), HYPERLINK("#'" &amp; C2120 &amp; "'!" &amp; J2120, J2120), "")</f>
        <v/>
      </c>
    </row>
    <row r="2121">
      <c r="B2121" s="21">
        <f>IF(AND(C2121&lt;&gt;"", J2121&lt;&gt;""), HYPERLINK("#'" &amp; C2121 &amp; "'!" &amp; J2121, J2121), "")</f>
        <v/>
      </c>
    </row>
    <row r="2122">
      <c r="B2122" s="21">
        <f>IF(AND(C2122&lt;&gt;"", J2122&lt;&gt;""), HYPERLINK("#'" &amp; C2122 &amp; "'!" &amp; J2122, J2122), "")</f>
        <v/>
      </c>
    </row>
    <row r="2123">
      <c r="B2123" s="21">
        <f>IF(AND(C2123&lt;&gt;"", J2123&lt;&gt;""), HYPERLINK("#'" &amp; C2123 &amp; "'!" &amp; J2123, J2123), "")</f>
        <v/>
      </c>
    </row>
    <row r="2124">
      <c r="B2124" s="21">
        <f>IF(AND(C2124&lt;&gt;"", J2124&lt;&gt;""), HYPERLINK("#'" &amp; C2124 &amp; "'!" &amp; J2124, J2124), "")</f>
        <v/>
      </c>
    </row>
    <row r="2125">
      <c r="B2125" s="21">
        <f>IF(AND(C2125&lt;&gt;"", J2125&lt;&gt;""), HYPERLINK("#'" &amp; C2125 &amp; "'!" &amp; J2125, J2125), "")</f>
        <v/>
      </c>
    </row>
    <row r="2126">
      <c r="B2126" s="21">
        <f>IF(AND(C2126&lt;&gt;"", J2126&lt;&gt;""), HYPERLINK("#'" &amp; C2126 &amp; "'!" &amp; J2126, J2126), "")</f>
        <v/>
      </c>
    </row>
    <row r="2127">
      <c r="B2127" s="21">
        <f>IF(AND(C2127&lt;&gt;"", J2127&lt;&gt;""), HYPERLINK("#'" &amp; C2127 &amp; "'!" &amp; J2127, J2127), "")</f>
        <v/>
      </c>
    </row>
    <row r="2128">
      <c r="B2128" s="21">
        <f>IF(AND(C2128&lt;&gt;"", J2128&lt;&gt;""), HYPERLINK("#'" &amp; C2128 &amp; "'!" &amp; J2128, J2128), "")</f>
        <v/>
      </c>
    </row>
    <row r="2129">
      <c r="B2129" s="21">
        <f>IF(AND(C2129&lt;&gt;"", J2129&lt;&gt;""), HYPERLINK("#'" &amp; C2129 &amp; "'!" &amp; J2129, J2129), "")</f>
        <v/>
      </c>
    </row>
    <row r="2130">
      <c r="B2130" s="21">
        <f>IF(AND(C2130&lt;&gt;"", J2130&lt;&gt;""), HYPERLINK("#'" &amp; C2130 &amp; "'!" &amp; J2130, J2130), "")</f>
        <v/>
      </c>
    </row>
    <row r="2131">
      <c r="B2131" s="21">
        <f>IF(AND(C2131&lt;&gt;"", J2131&lt;&gt;""), HYPERLINK("#'" &amp; C2131 &amp; "'!" &amp; J2131, J2131), "")</f>
        <v/>
      </c>
    </row>
    <row r="2132">
      <c r="B2132" s="21">
        <f>IF(AND(C2132&lt;&gt;"", J2132&lt;&gt;""), HYPERLINK("#'" &amp; C2132 &amp; "'!" &amp; J2132, J2132), "")</f>
        <v/>
      </c>
    </row>
    <row r="2133">
      <c r="B2133" s="21">
        <f>IF(AND(C2133&lt;&gt;"", J2133&lt;&gt;""), HYPERLINK("#'" &amp; C2133 &amp; "'!" &amp; J2133, J2133), "")</f>
        <v/>
      </c>
    </row>
    <row r="2134">
      <c r="B2134" s="21">
        <f>IF(AND(C2134&lt;&gt;"", J2134&lt;&gt;""), HYPERLINK("#'" &amp; C2134 &amp; "'!" &amp; J2134, J2134), "")</f>
        <v/>
      </c>
    </row>
    <row r="2135">
      <c r="B2135" s="21">
        <f>IF(AND(C2135&lt;&gt;"", J2135&lt;&gt;""), HYPERLINK("#'" &amp; C2135 &amp; "'!" &amp; J2135, J2135), "")</f>
        <v/>
      </c>
    </row>
    <row r="2136">
      <c r="B2136" s="21">
        <f>IF(AND(C2136&lt;&gt;"", J2136&lt;&gt;""), HYPERLINK("#'" &amp; C2136 &amp; "'!" &amp; J2136, J2136), "")</f>
        <v/>
      </c>
    </row>
    <row r="2137">
      <c r="B2137" s="21">
        <f>IF(AND(C2137&lt;&gt;"", J2137&lt;&gt;""), HYPERLINK("#'" &amp; C2137 &amp; "'!" &amp; J2137, J2137), "")</f>
        <v/>
      </c>
    </row>
    <row r="2138">
      <c r="B2138" s="21">
        <f>IF(AND(C2138&lt;&gt;"", J2138&lt;&gt;""), HYPERLINK("#'" &amp; C2138 &amp; "'!" &amp; J2138, J2138), "")</f>
        <v/>
      </c>
    </row>
    <row r="2139">
      <c r="B2139" s="21">
        <f>IF(AND(C2139&lt;&gt;"", J2139&lt;&gt;""), HYPERLINK("#'" &amp; C2139 &amp; "'!" &amp; J2139, J2139), "")</f>
        <v/>
      </c>
    </row>
    <row r="2140">
      <c r="B2140" s="21">
        <f>IF(AND(C2140&lt;&gt;"", J2140&lt;&gt;""), HYPERLINK("#'" &amp; C2140 &amp; "'!" &amp; J2140, J2140), "")</f>
        <v/>
      </c>
    </row>
    <row r="2141">
      <c r="B2141" s="21">
        <f>IF(AND(C2141&lt;&gt;"", J2141&lt;&gt;""), HYPERLINK("#'" &amp; C2141 &amp; "'!" &amp; J2141, J2141), "")</f>
        <v/>
      </c>
    </row>
    <row r="2142">
      <c r="B2142" s="21">
        <f>IF(AND(C2142&lt;&gt;"", J2142&lt;&gt;""), HYPERLINK("#'" &amp; C2142 &amp; "'!" &amp; J2142, J2142), "")</f>
        <v/>
      </c>
    </row>
    <row r="2143">
      <c r="B2143" s="21">
        <f>IF(AND(C2143&lt;&gt;"", J2143&lt;&gt;""), HYPERLINK("#'" &amp; C2143 &amp; "'!" &amp; J2143, J2143), "")</f>
        <v/>
      </c>
    </row>
    <row r="2144">
      <c r="B2144" s="21">
        <f>IF(AND(C2144&lt;&gt;"", J2144&lt;&gt;""), HYPERLINK("#'" &amp; C2144 &amp; "'!" &amp; J2144, J2144), "")</f>
        <v/>
      </c>
    </row>
    <row r="2145">
      <c r="B2145" s="21">
        <f>IF(AND(C2145&lt;&gt;"", J2145&lt;&gt;""), HYPERLINK("#'" &amp; C2145 &amp; "'!" &amp; J2145, J2145), "")</f>
        <v/>
      </c>
    </row>
    <row r="2146">
      <c r="B2146" s="21">
        <f>IF(AND(C2146&lt;&gt;"", J2146&lt;&gt;""), HYPERLINK("#'" &amp; C2146 &amp; "'!" &amp; J2146, J2146), "")</f>
        <v/>
      </c>
    </row>
    <row r="2147">
      <c r="B2147" s="21">
        <f>IF(AND(C2147&lt;&gt;"", J2147&lt;&gt;""), HYPERLINK("#'" &amp; C2147 &amp; "'!" &amp; J2147, J2147), "")</f>
        <v/>
      </c>
    </row>
    <row r="2148">
      <c r="B2148" s="21">
        <f>IF(AND(C2148&lt;&gt;"", J2148&lt;&gt;""), HYPERLINK("#'" &amp; C2148 &amp; "'!" &amp; J2148, J2148), "")</f>
        <v/>
      </c>
    </row>
    <row r="2149">
      <c r="B2149" s="21">
        <f>IF(AND(C2149&lt;&gt;"", J2149&lt;&gt;""), HYPERLINK("#'" &amp; C2149 &amp; "'!" &amp; J2149, J2149), "")</f>
        <v/>
      </c>
    </row>
    <row r="2150">
      <c r="B2150" s="21">
        <f>IF(AND(C2150&lt;&gt;"", J2150&lt;&gt;""), HYPERLINK("#'" &amp; C2150 &amp; "'!" &amp; J2150, J2150), "")</f>
        <v/>
      </c>
    </row>
    <row r="2151">
      <c r="B2151" s="21">
        <f>IF(AND(C2151&lt;&gt;"", J2151&lt;&gt;""), HYPERLINK("#'" &amp; C2151 &amp; "'!" &amp; J2151, J2151), "")</f>
        <v/>
      </c>
    </row>
    <row r="2152">
      <c r="B2152" s="21">
        <f>IF(AND(C2152&lt;&gt;"", J2152&lt;&gt;""), HYPERLINK("#'" &amp; C2152 &amp; "'!" &amp; J2152, J2152), "")</f>
        <v/>
      </c>
    </row>
    <row r="2153">
      <c r="B2153" s="21">
        <f>IF(AND(C2153&lt;&gt;"", J2153&lt;&gt;""), HYPERLINK("#'" &amp; C2153 &amp; "'!" &amp; J2153, J2153), "")</f>
        <v/>
      </c>
    </row>
    <row r="2154">
      <c r="B2154" s="21">
        <f>IF(AND(C2154&lt;&gt;"", J2154&lt;&gt;""), HYPERLINK("#'" &amp; C2154 &amp; "'!" &amp; J2154, J2154), "")</f>
        <v/>
      </c>
    </row>
    <row r="2155">
      <c r="B2155" s="21">
        <f>IF(AND(C2155&lt;&gt;"", J2155&lt;&gt;""), HYPERLINK("#'" &amp; C2155 &amp; "'!" &amp; J2155, J2155), "")</f>
        <v/>
      </c>
    </row>
    <row r="2156">
      <c r="B2156" s="21">
        <f>IF(AND(C2156&lt;&gt;"", J2156&lt;&gt;""), HYPERLINK("#'" &amp; C2156 &amp; "'!" &amp; J2156, J2156), "")</f>
        <v/>
      </c>
    </row>
    <row r="2157">
      <c r="B2157" s="21">
        <f>IF(AND(C2157&lt;&gt;"", J2157&lt;&gt;""), HYPERLINK("#'" &amp; C2157 &amp; "'!" &amp; J2157, J2157), "")</f>
        <v/>
      </c>
    </row>
    <row r="2158">
      <c r="B2158" s="21">
        <f>IF(AND(C2158&lt;&gt;"", J2158&lt;&gt;""), HYPERLINK("#'" &amp; C2158 &amp; "'!" &amp; J2158, J2158), "")</f>
        <v/>
      </c>
    </row>
    <row r="2159">
      <c r="B2159" s="21">
        <f>IF(AND(C2159&lt;&gt;"", J2159&lt;&gt;""), HYPERLINK("#'" &amp; C2159 &amp; "'!" &amp; J2159, J2159), "")</f>
        <v/>
      </c>
    </row>
    <row r="2160">
      <c r="B2160" s="21">
        <f>IF(AND(C2160&lt;&gt;"", J2160&lt;&gt;""), HYPERLINK("#'" &amp; C2160 &amp; "'!" &amp; J2160, J2160), "")</f>
        <v/>
      </c>
    </row>
    <row r="2161">
      <c r="B2161" s="21">
        <f>IF(AND(C2161&lt;&gt;"", J2161&lt;&gt;""), HYPERLINK("#'" &amp; C2161 &amp; "'!" &amp; J2161, J2161), "")</f>
        <v/>
      </c>
    </row>
    <row r="2162">
      <c r="B2162" s="21">
        <f>IF(AND(C2162&lt;&gt;"", J2162&lt;&gt;""), HYPERLINK("#'" &amp; C2162 &amp; "'!" &amp; J2162, J2162), "")</f>
        <v/>
      </c>
    </row>
    <row r="2163">
      <c r="B2163" s="21">
        <f>IF(AND(C2163&lt;&gt;"", J2163&lt;&gt;""), HYPERLINK("#'" &amp; C2163 &amp; "'!" &amp; J2163, J2163), "")</f>
        <v/>
      </c>
    </row>
    <row r="2164">
      <c r="B2164" s="21">
        <f>IF(AND(C2164&lt;&gt;"", J2164&lt;&gt;""), HYPERLINK("#'" &amp; C2164 &amp; "'!" &amp; J2164, J2164), "")</f>
        <v/>
      </c>
    </row>
    <row r="2165">
      <c r="B2165" s="21">
        <f>IF(AND(C2165&lt;&gt;"", J2165&lt;&gt;""), HYPERLINK("#'" &amp; C2165 &amp; "'!" &amp; J2165, J2165), "")</f>
        <v/>
      </c>
    </row>
    <row r="2166">
      <c r="B2166" s="21">
        <f>IF(AND(C2166&lt;&gt;"", J2166&lt;&gt;""), HYPERLINK("#'" &amp; C2166 &amp; "'!" &amp; J2166, J2166), "")</f>
        <v/>
      </c>
    </row>
    <row r="2167">
      <c r="B2167" s="21">
        <f>IF(AND(C2167&lt;&gt;"", J2167&lt;&gt;""), HYPERLINK("#'" &amp; C2167 &amp; "'!" &amp; J2167, J2167), "")</f>
        <v/>
      </c>
    </row>
    <row r="2168">
      <c r="B2168" s="21">
        <f>IF(AND(C2168&lt;&gt;"", J2168&lt;&gt;""), HYPERLINK("#'" &amp; C2168 &amp; "'!" &amp; J2168, J2168), "")</f>
        <v/>
      </c>
    </row>
    <row r="2169">
      <c r="B2169" s="21">
        <f>IF(AND(C2169&lt;&gt;"", J2169&lt;&gt;""), HYPERLINK("#'" &amp; C2169 &amp; "'!" &amp; J2169, J2169), "")</f>
        <v/>
      </c>
    </row>
    <row r="2170">
      <c r="B2170" s="21">
        <f>IF(AND(C2170&lt;&gt;"", J2170&lt;&gt;""), HYPERLINK("#'" &amp; C2170 &amp; "'!" &amp; J2170, J2170), "")</f>
        <v/>
      </c>
    </row>
    <row r="2171">
      <c r="B2171" s="21">
        <f>IF(AND(C2171&lt;&gt;"", J2171&lt;&gt;""), HYPERLINK("#'" &amp; C2171 &amp; "'!" &amp; J2171, J2171), "")</f>
        <v/>
      </c>
    </row>
    <row r="2172">
      <c r="B2172" s="21">
        <f>IF(AND(C2172&lt;&gt;"", J2172&lt;&gt;""), HYPERLINK("#'" &amp; C2172 &amp; "'!" &amp; J2172, J2172), "")</f>
        <v/>
      </c>
    </row>
    <row r="2173">
      <c r="B2173" s="21">
        <f>IF(AND(C2173&lt;&gt;"", J2173&lt;&gt;""), HYPERLINK("#'" &amp; C2173 &amp; "'!" &amp; J2173, J2173), "")</f>
        <v/>
      </c>
    </row>
    <row r="2174">
      <c r="B2174" s="21">
        <f>IF(AND(C2174&lt;&gt;"", J2174&lt;&gt;""), HYPERLINK("#'" &amp; C2174 &amp; "'!" &amp; J2174, J2174), "")</f>
        <v/>
      </c>
    </row>
    <row r="2175">
      <c r="B2175" s="21">
        <f>IF(AND(C2175&lt;&gt;"", J2175&lt;&gt;""), HYPERLINK("#'" &amp; C2175 &amp; "'!" &amp; J2175, J2175), "")</f>
        <v/>
      </c>
    </row>
    <row r="2176">
      <c r="B2176" s="21">
        <f>IF(AND(C2176&lt;&gt;"", J2176&lt;&gt;""), HYPERLINK("#'" &amp; C2176 &amp; "'!" &amp; J2176, J2176), "")</f>
        <v/>
      </c>
    </row>
    <row r="2177">
      <c r="B2177" s="21">
        <f>IF(AND(C2177&lt;&gt;"", J2177&lt;&gt;""), HYPERLINK("#'" &amp; C2177 &amp; "'!" &amp; J2177, J2177), "")</f>
        <v/>
      </c>
    </row>
    <row r="2178">
      <c r="B2178" s="21">
        <f>IF(AND(C2178&lt;&gt;"", J2178&lt;&gt;""), HYPERLINK("#'" &amp; C2178 &amp; "'!" &amp; J2178, J2178), "")</f>
        <v/>
      </c>
    </row>
    <row r="2179">
      <c r="B2179" s="21">
        <f>IF(AND(C2179&lt;&gt;"", J2179&lt;&gt;""), HYPERLINK("#'" &amp; C2179 &amp; "'!" &amp; J2179, J2179), "")</f>
        <v/>
      </c>
    </row>
    <row r="2180">
      <c r="B2180" s="21">
        <f>IF(AND(C2180&lt;&gt;"", J2180&lt;&gt;""), HYPERLINK("#'" &amp; C2180 &amp; "'!" &amp; J2180, J2180), "")</f>
        <v/>
      </c>
    </row>
    <row r="2181">
      <c r="B2181" s="21">
        <f>IF(AND(C2181&lt;&gt;"", J2181&lt;&gt;""), HYPERLINK("#'" &amp; C2181 &amp; "'!" &amp; J2181, J2181), "")</f>
        <v/>
      </c>
    </row>
    <row r="2182">
      <c r="B2182" s="21">
        <f>IF(AND(C2182&lt;&gt;"", J2182&lt;&gt;""), HYPERLINK("#'" &amp; C2182 &amp; "'!" &amp; J2182, J2182), "")</f>
        <v/>
      </c>
    </row>
    <row r="2183">
      <c r="B2183" s="21">
        <f>IF(AND(C2183&lt;&gt;"", J2183&lt;&gt;""), HYPERLINK("#'" &amp; C2183 &amp; "'!" &amp; J2183, J2183), "")</f>
        <v/>
      </c>
    </row>
    <row r="2184">
      <c r="B2184" s="21">
        <f>IF(AND(C2184&lt;&gt;"", J2184&lt;&gt;""), HYPERLINK("#'" &amp; C2184 &amp; "'!" &amp; J2184, J2184), "")</f>
        <v/>
      </c>
    </row>
    <row r="2185">
      <c r="B2185" s="21">
        <f>IF(AND(C2185&lt;&gt;"", J2185&lt;&gt;""), HYPERLINK("#'" &amp; C2185 &amp; "'!" &amp; J2185, J2185), "")</f>
        <v/>
      </c>
    </row>
    <row r="2186">
      <c r="B2186" s="21">
        <f>IF(AND(C2186&lt;&gt;"", J2186&lt;&gt;""), HYPERLINK("#'" &amp; C2186 &amp; "'!" &amp; J2186, J2186), "")</f>
        <v/>
      </c>
    </row>
    <row r="2187">
      <c r="B2187" s="21">
        <f>IF(AND(C2187&lt;&gt;"", J2187&lt;&gt;""), HYPERLINK("#'" &amp; C2187 &amp; "'!" &amp; J2187, J2187), "")</f>
        <v/>
      </c>
    </row>
    <row r="2188">
      <c r="B2188" s="21">
        <f>IF(AND(C2188&lt;&gt;"", J2188&lt;&gt;""), HYPERLINK("#'" &amp; C2188 &amp; "'!" &amp; J2188, J2188), "")</f>
        <v/>
      </c>
    </row>
    <row r="2189">
      <c r="B2189" s="21">
        <f>IF(AND(C2189&lt;&gt;"", J2189&lt;&gt;""), HYPERLINK("#'" &amp; C2189 &amp; "'!" &amp; J2189, J2189), "")</f>
        <v/>
      </c>
    </row>
    <row r="2190">
      <c r="B2190" s="21">
        <f>IF(AND(C2190&lt;&gt;"", J2190&lt;&gt;""), HYPERLINK("#'" &amp; C2190 &amp; "'!" &amp; J2190, J2190), "")</f>
        <v/>
      </c>
    </row>
    <row r="2191">
      <c r="B2191" s="21">
        <f>IF(AND(C2191&lt;&gt;"", J2191&lt;&gt;""), HYPERLINK("#'" &amp; C2191 &amp; "'!" &amp; J2191, J2191), "")</f>
        <v/>
      </c>
    </row>
    <row r="2192">
      <c r="B2192" s="21">
        <f>IF(AND(C2192&lt;&gt;"", J2192&lt;&gt;""), HYPERLINK("#'" &amp; C2192 &amp; "'!" &amp; J2192, J2192), "")</f>
        <v/>
      </c>
    </row>
    <row r="2193">
      <c r="B2193" s="21">
        <f>IF(AND(C2193&lt;&gt;"", J2193&lt;&gt;""), HYPERLINK("#'" &amp; C2193 &amp; "'!" &amp; J2193, J2193), "")</f>
        <v/>
      </c>
    </row>
    <row r="2194">
      <c r="B2194" s="21">
        <f>IF(AND(C2194&lt;&gt;"", J2194&lt;&gt;""), HYPERLINK("#'" &amp; C2194 &amp; "'!" &amp; J2194, J2194), "")</f>
        <v/>
      </c>
    </row>
    <row r="2195">
      <c r="B2195" s="21">
        <f>IF(AND(C2195&lt;&gt;"", J2195&lt;&gt;""), HYPERLINK("#'" &amp; C2195 &amp; "'!" &amp; J2195, J2195), "")</f>
        <v/>
      </c>
    </row>
    <row r="2196">
      <c r="B2196" s="21">
        <f>IF(AND(C2196&lt;&gt;"", J2196&lt;&gt;""), HYPERLINK("#'" &amp; C2196 &amp; "'!" &amp; J2196, J2196), "")</f>
        <v/>
      </c>
    </row>
    <row r="2197">
      <c r="B2197" s="21">
        <f>IF(AND(C2197&lt;&gt;"", J2197&lt;&gt;""), HYPERLINK("#'" &amp; C2197 &amp; "'!" &amp; J2197, J2197), "")</f>
        <v/>
      </c>
    </row>
    <row r="2198">
      <c r="B2198" s="21">
        <f>IF(AND(C2198&lt;&gt;"", J2198&lt;&gt;""), HYPERLINK("#'" &amp; C2198 &amp; "'!" &amp; J2198, J2198), "")</f>
        <v/>
      </c>
    </row>
    <row r="2199">
      <c r="B2199" s="21">
        <f>IF(AND(C2199&lt;&gt;"", J2199&lt;&gt;""), HYPERLINK("#'" &amp; C2199 &amp; "'!" &amp; J2199, J2199), "")</f>
        <v/>
      </c>
    </row>
    <row r="2200">
      <c r="B2200" s="21">
        <f>IF(AND(C2200&lt;&gt;"", J2200&lt;&gt;""), HYPERLINK("#'" &amp; C2200 &amp; "'!" &amp; J2200, J2200), "")</f>
        <v/>
      </c>
    </row>
    <row r="2201">
      <c r="B2201" s="21">
        <f>IF(AND(C2201&lt;&gt;"", J2201&lt;&gt;""), HYPERLINK("#'" &amp; C2201 &amp; "'!" &amp; J2201, J2201), "")</f>
        <v/>
      </c>
    </row>
    <row r="2202">
      <c r="B2202" s="21">
        <f>IF(AND(C2202&lt;&gt;"", J2202&lt;&gt;""), HYPERLINK("#'" &amp; C2202 &amp; "'!" &amp; J2202, J2202), "")</f>
        <v/>
      </c>
    </row>
    <row r="2203">
      <c r="B2203" s="21">
        <f>IF(AND(C2203&lt;&gt;"", J2203&lt;&gt;""), HYPERLINK("#'" &amp; C2203 &amp; "'!" &amp; J2203, J2203), "")</f>
        <v/>
      </c>
    </row>
    <row r="2204">
      <c r="B2204" s="21">
        <f>IF(AND(C2204&lt;&gt;"", J2204&lt;&gt;""), HYPERLINK("#'" &amp; C2204 &amp; "'!" &amp; J2204, J2204), "")</f>
        <v/>
      </c>
    </row>
    <row r="2205">
      <c r="B2205" s="21">
        <f>IF(AND(C2205&lt;&gt;"", J2205&lt;&gt;""), HYPERLINK("#'" &amp; C2205 &amp; "'!" &amp; J2205, J2205), "")</f>
        <v/>
      </c>
    </row>
    <row r="2206">
      <c r="B2206" s="21">
        <f>IF(AND(C2206&lt;&gt;"", J2206&lt;&gt;""), HYPERLINK("#'" &amp; C2206 &amp; "'!" &amp; J2206, J2206), "")</f>
        <v/>
      </c>
    </row>
    <row r="2207">
      <c r="B2207" s="21">
        <f>IF(AND(C2207&lt;&gt;"", J2207&lt;&gt;""), HYPERLINK("#'" &amp; C2207 &amp; "'!" &amp; J2207, J2207), "")</f>
        <v/>
      </c>
    </row>
    <row r="2208">
      <c r="B2208" s="21">
        <f>IF(AND(C2208&lt;&gt;"", J2208&lt;&gt;""), HYPERLINK("#'" &amp; C2208 &amp; "'!" &amp; J2208, J2208), "")</f>
        <v/>
      </c>
    </row>
    <row r="2209">
      <c r="B2209" s="21">
        <f>IF(AND(C2209&lt;&gt;"", J2209&lt;&gt;""), HYPERLINK("#'" &amp; C2209 &amp; "'!" &amp; J2209, J2209), "")</f>
        <v/>
      </c>
    </row>
    <row r="2210">
      <c r="B2210" s="21">
        <f>IF(AND(C2210&lt;&gt;"", J2210&lt;&gt;""), HYPERLINK("#'" &amp; C2210 &amp; "'!" &amp; J2210, J2210), "")</f>
        <v/>
      </c>
    </row>
    <row r="2211">
      <c r="B2211" s="21">
        <f>IF(AND(C2211&lt;&gt;"", J2211&lt;&gt;""), HYPERLINK("#'" &amp; C2211 &amp; "'!" &amp; J2211, J2211), "")</f>
        <v/>
      </c>
    </row>
    <row r="2212">
      <c r="B2212" s="21">
        <f>IF(AND(C2212&lt;&gt;"", J2212&lt;&gt;""), HYPERLINK("#'" &amp; C2212 &amp; "'!" &amp; J2212, J2212), "")</f>
        <v/>
      </c>
    </row>
    <row r="2213">
      <c r="B2213" s="21">
        <f>IF(AND(C2213&lt;&gt;"", J2213&lt;&gt;""), HYPERLINK("#'" &amp; C2213 &amp; "'!" &amp; J2213, J2213), "")</f>
        <v/>
      </c>
    </row>
    <row r="2214">
      <c r="B2214" s="21">
        <f>IF(AND(C2214&lt;&gt;"", J2214&lt;&gt;""), HYPERLINK("#'" &amp; C2214 &amp; "'!" &amp; J2214, J2214), "")</f>
        <v/>
      </c>
    </row>
    <row r="2215">
      <c r="B2215" s="21">
        <f>IF(AND(C2215&lt;&gt;"", J2215&lt;&gt;""), HYPERLINK("#'" &amp; C2215 &amp; "'!" &amp; J2215, J2215), "")</f>
        <v/>
      </c>
    </row>
    <row r="2216">
      <c r="B2216" s="21">
        <f>IF(AND(C2216&lt;&gt;"", J2216&lt;&gt;""), HYPERLINK("#'" &amp; C2216 &amp; "'!" &amp; J2216, J2216), "")</f>
        <v/>
      </c>
    </row>
    <row r="2217">
      <c r="B2217" s="21">
        <f>IF(AND(C2217&lt;&gt;"", J2217&lt;&gt;""), HYPERLINK("#'" &amp; C2217 &amp; "'!" &amp; J2217, J2217), "")</f>
        <v/>
      </c>
    </row>
    <row r="2218">
      <c r="B2218" s="21">
        <f>IF(AND(C2218&lt;&gt;"", J2218&lt;&gt;""), HYPERLINK("#'" &amp; C2218 &amp; "'!" &amp; J2218, J2218), "")</f>
        <v/>
      </c>
    </row>
    <row r="2219">
      <c r="B2219" s="21">
        <f>IF(AND(C2219&lt;&gt;"", J2219&lt;&gt;""), HYPERLINK("#'" &amp; C2219 &amp; "'!" &amp; J2219, J2219), "")</f>
        <v/>
      </c>
    </row>
    <row r="2220">
      <c r="B2220" s="21">
        <f>IF(AND(C2220&lt;&gt;"", J2220&lt;&gt;""), HYPERLINK("#'" &amp; C2220 &amp; "'!" &amp; J2220, J2220), "")</f>
        <v/>
      </c>
    </row>
    <row r="2221">
      <c r="B2221" s="21">
        <f>IF(AND(C2221&lt;&gt;"", J2221&lt;&gt;""), HYPERLINK("#'" &amp; C2221 &amp; "'!" &amp; J2221, J2221), "")</f>
        <v/>
      </c>
    </row>
    <row r="2222">
      <c r="B2222" s="21">
        <f>IF(AND(C2222&lt;&gt;"", J2222&lt;&gt;""), HYPERLINK("#'" &amp; C2222 &amp; "'!" &amp; J2222, J2222), "")</f>
        <v/>
      </c>
    </row>
    <row r="2223">
      <c r="B2223" s="21">
        <f>IF(AND(C2223&lt;&gt;"", J2223&lt;&gt;""), HYPERLINK("#'" &amp; C2223 &amp; "'!" &amp; J2223, J2223), "")</f>
        <v/>
      </c>
    </row>
    <row r="2224">
      <c r="B2224" s="21">
        <f>IF(AND(C2224&lt;&gt;"", J2224&lt;&gt;""), HYPERLINK("#'" &amp; C2224 &amp; "'!" &amp; J2224, J2224), "")</f>
        <v/>
      </c>
    </row>
    <row r="2225">
      <c r="B2225" s="21">
        <f>IF(AND(C2225&lt;&gt;"", J2225&lt;&gt;""), HYPERLINK("#'" &amp; C2225 &amp; "'!" &amp; J2225, J2225), "")</f>
        <v/>
      </c>
    </row>
    <row r="2226">
      <c r="B2226" s="21">
        <f>IF(AND(C2226&lt;&gt;"", J2226&lt;&gt;""), HYPERLINK("#'" &amp; C2226 &amp; "'!" &amp; J2226, J2226), "")</f>
        <v/>
      </c>
    </row>
    <row r="2227">
      <c r="B2227" s="21">
        <f>IF(AND(C2227&lt;&gt;"", J2227&lt;&gt;""), HYPERLINK("#'" &amp; C2227 &amp; "'!" &amp; J2227, J2227), "")</f>
        <v/>
      </c>
    </row>
    <row r="2228">
      <c r="B2228" s="21">
        <f>IF(AND(C2228&lt;&gt;"", J2228&lt;&gt;""), HYPERLINK("#'" &amp; C2228 &amp; "'!" &amp; J2228, J2228), "")</f>
        <v/>
      </c>
    </row>
    <row r="2229">
      <c r="B2229" s="21">
        <f>IF(AND(C2229&lt;&gt;"", J2229&lt;&gt;""), HYPERLINK("#'" &amp; C2229 &amp; "'!" &amp; J2229, J2229), "")</f>
        <v/>
      </c>
    </row>
    <row r="2230">
      <c r="B2230" s="21">
        <f>IF(AND(C2230&lt;&gt;"", J2230&lt;&gt;""), HYPERLINK("#'" &amp; C2230 &amp; "'!" &amp; J2230, J2230), "")</f>
        <v/>
      </c>
    </row>
    <row r="2231">
      <c r="B2231" s="21">
        <f>IF(AND(C2231&lt;&gt;"", J2231&lt;&gt;""), HYPERLINK("#'" &amp; C2231 &amp; "'!" &amp; J2231, J2231), "")</f>
        <v/>
      </c>
    </row>
    <row r="2232">
      <c r="B2232" s="21">
        <f>IF(AND(C2232&lt;&gt;"", J2232&lt;&gt;""), HYPERLINK("#'" &amp; C2232 &amp; "'!" &amp; J2232, J2232), "")</f>
        <v/>
      </c>
    </row>
    <row r="2233">
      <c r="B2233" s="21">
        <f>IF(AND(C2233&lt;&gt;"", J2233&lt;&gt;""), HYPERLINK("#'" &amp; C2233 &amp; "'!" &amp; J2233, J2233), "")</f>
        <v/>
      </c>
    </row>
    <row r="2234">
      <c r="B2234" s="21">
        <f>IF(AND(C2234&lt;&gt;"", J2234&lt;&gt;""), HYPERLINK("#'" &amp; C2234 &amp; "'!" &amp; J2234, J2234), "")</f>
        <v/>
      </c>
    </row>
    <row r="2235">
      <c r="B2235" s="21">
        <f>IF(AND(C2235&lt;&gt;"", J2235&lt;&gt;""), HYPERLINK("#'" &amp; C2235 &amp; "'!" &amp; J2235, J2235), "")</f>
        <v/>
      </c>
    </row>
    <row r="2236">
      <c r="B2236" s="21">
        <f>IF(AND(C2236&lt;&gt;"", J2236&lt;&gt;""), HYPERLINK("#'" &amp; C2236 &amp; "'!" &amp; J2236, J2236), "")</f>
        <v/>
      </c>
    </row>
    <row r="2237">
      <c r="B2237" s="21">
        <f>IF(AND(C2237&lt;&gt;"", J2237&lt;&gt;""), HYPERLINK("#'" &amp; C2237 &amp; "'!" &amp; J2237, J2237), "")</f>
        <v/>
      </c>
    </row>
    <row r="2238">
      <c r="B2238" s="21">
        <f>IF(AND(C2238&lt;&gt;"", J2238&lt;&gt;""), HYPERLINK("#'" &amp; C2238 &amp; "'!" &amp; J2238, J2238), "")</f>
        <v/>
      </c>
    </row>
    <row r="2239">
      <c r="B2239" s="21">
        <f>IF(AND(C2239&lt;&gt;"", J2239&lt;&gt;""), HYPERLINK("#'" &amp; C2239 &amp; "'!" &amp; J2239, J2239), "")</f>
        <v/>
      </c>
    </row>
    <row r="2240">
      <c r="B2240" s="21">
        <f>IF(AND(C2240&lt;&gt;"", J2240&lt;&gt;""), HYPERLINK("#'" &amp; C2240 &amp; "'!" &amp; J2240, J2240), "")</f>
        <v/>
      </c>
    </row>
    <row r="2241">
      <c r="B2241" s="21">
        <f>IF(AND(C2241&lt;&gt;"", J2241&lt;&gt;""), HYPERLINK("#'" &amp; C2241 &amp; "'!" &amp; J2241, J2241), "")</f>
        <v/>
      </c>
    </row>
    <row r="2242">
      <c r="B2242" s="21">
        <f>IF(AND(C2242&lt;&gt;"", J2242&lt;&gt;""), HYPERLINK("#'" &amp; C2242 &amp; "'!" &amp; J2242, J2242), "")</f>
        <v/>
      </c>
    </row>
    <row r="2243">
      <c r="B2243" s="21">
        <f>IF(AND(C2243&lt;&gt;"", J2243&lt;&gt;""), HYPERLINK("#'" &amp; C2243 &amp; "'!" &amp; J2243, J2243), "")</f>
        <v/>
      </c>
    </row>
    <row r="2244">
      <c r="B2244" s="21">
        <f>IF(AND(C2244&lt;&gt;"", J2244&lt;&gt;""), HYPERLINK("#'" &amp; C2244 &amp; "'!" &amp; J2244, J2244), "")</f>
        <v/>
      </c>
    </row>
    <row r="2245">
      <c r="B2245" s="21">
        <f>IF(AND(C2245&lt;&gt;"", J2245&lt;&gt;""), HYPERLINK("#'" &amp; C2245 &amp; "'!" &amp; J2245, J2245), "")</f>
        <v/>
      </c>
    </row>
    <row r="2246">
      <c r="B2246" s="21">
        <f>IF(AND(C2246&lt;&gt;"", J2246&lt;&gt;""), HYPERLINK("#'" &amp; C2246 &amp; "'!" &amp; J2246, J2246), "")</f>
        <v/>
      </c>
    </row>
    <row r="2247">
      <c r="B2247" s="21">
        <f>IF(AND(C2247&lt;&gt;"", J2247&lt;&gt;""), HYPERLINK("#'" &amp; C2247 &amp; "'!" &amp; J2247, J2247), "")</f>
        <v/>
      </c>
    </row>
    <row r="2248">
      <c r="B2248" s="21">
        <f>IF(AND(C2248&lt;&gt;"", J2248&lt;&gt;""), HYPERLINK("#'" &amp; C2248 &amp; "'!" &amp; J2248, J2248), "")</f>
        <v/>
      </c>
    </row>
    <row r="2249">
      <c r="B2249" s="21">
        <f>IF(AND(C2249&lt;&gt;"", J2249&lt;&gt;""), HYPERLINK("#'" &amp; C2249 &amp; "'!" &amp; J2249, J2249), "")</f>
        <v/>
      </c>
    </row>
    <row r="2250">
      <c r="B2250" s="21">
        <f>IF(AND(C2250&lt;&gt;"", J2250&lt;&gt;""), HYPERLINK("#'" &amp; C2250 &amp; "'!" &amp; J2250, J2250), "")</f>
        <v/>
      </c>
    </row>
    <row r="2251">
      <c r="B2251" s="21">
        <f>IF(AND(C2251&lt;&gt;"", J2251&lt;&gt;""), HYPERLINK("#'" &amp; C2251 &amp; "'!" &amp; J2251, J2251), "")</f>
        <v/>
      </c>
    </row>
    <row r="2252">
      <c r="B2252" s="21">
        <f>IF(AND(C2252&lt;&gt;"", J2252&lt;&gt;""), HYPERLINK("#'" &amp; C2252 &amp; "'!" &amp; J2252, J2252), "")</f>
        <v/>
      </c>
    </row>
    <row r="2253">
      <c r="B2253" s="21">
        <f>IF(AND(C2253&lt;&gt;"", J2253&lt;&gt;""), HYPERLINK("#'" &amp; C2253 &amp; "'!" &amp; J2253, J2253), "")</f>
        <v/>
      </c>
    </row>
    <row r="2254">
      <c r="B2254" s="21">
        <f>IF(AND(C2254&lt;&gt;"", J2254&lt;&gt;""), HYPERLINK("#'" &amp; C2254 &amp; "'!" &amp; J2254, J2254), "")</f>
        <v/>
      </c>
    </row>
    <row r="2255">
      <c r="B2255" s="21">
        <f>IF(AND(C2255&lt;&gt;"", J2255&lt;&gt;""), HYPERLINK("#'" &amp; C2255 &amp; "'!" &amp; J2255, J2255), "")</f>
        <v/>
      </c>
    </row>
    <row r="2256">
      <c r="B2256" s="21">
        <f>IF(AND(C2256&lt;&gt;"", J2256&lt;&gt;""), HYPERLINK("#'" &amp; C2256 &amp; "'!" &amp; J2256, J2256), "")</f>
        <v/>
      </c>
    </row>
    <row r="2257">
      <c r="B2257" s="21">
        <f>IF(AND(C2257&lt;&gt;"", J2257&lt;&gt;""), HYPERLINK("#'" &amp; C2257 &amp; "'!" &amp; J2257, J2257), "")</f>
        <v/>
      </c>
    </row>
    <row r="2258">
      <c r="B2258" s="21">
        <f>IF(AND(C2258&lt;&gt;"", J2258&lt;&gt;""), HYPERLINK("#'" &amp; C2258 &amp; "'!" &amp; J2258, J2258), "")</f>
        <v/>
      </c>
    </row>
    <row r="2259">
      <c r="B2259" s="21">
        <f>IF(AND(C2259&lt;&gt;"", J2259&lt;&gt;""), HYPERLINK("#'" &amp; C2259 &amp; "'!" &amp; J2259, J2259), "")</f>
        <v/>
      </c>
    </row>
    <row r="2260">
      <c r="B2260" s="21">
        <f>IF(AND(C2260&lt;&gt;"", J2260&lt;&gt;""), HYPERLINK("#'" &amp; C2260 &amp; "'!" &amp; J2260, J2260), "")</f>
        <v/>
      </c>
    </row>
    <row r="2261">
      <c r="B2261" s="21">
        <f>IF(AND(C2261&lt;&gt;"", J2261&lt;&gt;""), HYPERLINK("#'" &amp; C2261 &amp; "'!" &amp; J2261, J2261), "")</f>
        <v/>
      </c>
    </row>
    <row r="2262">
      <c r="B2262" s="21">
        <f>IF(AND(C2262&lt;&gt;"", J2262&lt;&gt;""), HYPERLINK("#'" &amp; C2262 &amp; "'!" &amp; J2262, J2262), "")</f>
        <v/>
      </c>
    </row>
    <row r="2263">
      <c r="B2263" s="21">
        <f>IF(AND(C2263&lt;&gt;"", J2263&lt;&gt;""), HYPERLINK("#'" &amp; C2263 &amp; "'!" &amp; J2263, J2263), "")</f>
        <v/>
      </c>
    </row>
    <row r="2264">
      <c r="B2264" s="21">
        <f>IF(AND(C2264&lt;&gt;"", J2264&lt;&gt;""), HYPERLINK("#'" &amp; C2264 &amp; "'!" &amp; J2264, J2264), "")</f>
        <v/>
      </c>
    </row>
    <row r="2265">
      <c r="B2265" s="21">
        <f>IF(AND(C2265&lt;&gt;"", J2265&lt;&gt;""), HYPERLINK("#'" &amp; C2265 &amp; "'!" &amp; J2265, J2265), "")</f>
        <v/>
      </c>
    </row>
    <row r="2266">
      <c r="B2266" s="21">
        <f>IF(AND(C2266&lt;&gt;"", J2266&lt;&gt;""), HYPERLINK("#'" &amp; C2266 &amp; "'!" &amp; J2266, J2266), "")</f>
        <v/>
      </c>
    </row>
    <row r="2267">
      <c r="B2267" s="21">
        <f>IF(AND(C2267&lt;&gt;"", J2267&lt;&gt;""), HYPERLINK("#'" &amp; C2267 &amp; "'!" &amp; J2267, J2267), "")</f>
        <v/>
      </c>
    </row>
    <row r="2268">
      <c r="B2268" s="21">
        <f>IF(AND(C2268&lt;&gt;"", J2268&lt;&gt;""), HYPERLINK("#'" &amp; C2268 &amp; "'!" &amp; J2268, J2268), "")</f>
        <v/>
      </c>
    </row>
    <row r="2269">
      <c r="B2269" s="21">
        <f>IF(AND(C2269&lt;&gt;"", J2269&lt;&gt;""), HYPERLINK("#'" &amp; C2269 &amp; "'!" &amp; J2269, J2269), "")</f>
        <v/>
      </c>
    </row>
    <row r="2270">
      <c r="B2270" s="21">
        <f>IF(AND(C2270&lt;&gt;"", J2270&lt;&gt;""), HYPERLINK("#'" &amp; C2270 &amp; "'!" &amp; J2270, J2270), "")</f>
        <v/>
      </c>
    </row>
    <row r="2271">
      <c r="B2271" s="21">
        <f>IF(AND(C2271&lt;&gt;"", J2271&lt;&gt;""), HYPERLINK("#'" &amp; C2271 &amp; "'!" &amp; J2271, J2271), "")</f>
        <v/>
      </c>
    </row>
    <row r="2272">
      <c r="B2272" s="21">
        <f>IF(AND(C2272&lt;&gt;"", J2272&lt;&gt;""), HYPERLINK("#'" &amp; C2272 &amp; "'!" &amp; J2272, J2272), "")</f>
        <v/>
      </c>
    </row>
    <row r="2273">
      <c r="B2273" s="21">
        <f>IF(AND(C2273&lt;&gt;"", J2273&lt;&gt;""), HYPERLINK("#'" &amp; C2273 &amp; "'!" &amp; J2273, J2273), "")</f>
        <v/>
      </c>
    </row>
    <row r="2274">
      <c r="B2274" s="21">
        <f>IF(AND(C2274&lt;&gt;"", J2274&lt;&gt;""), HYPERLINK("#'" &amp; C2274 &amp; "'!" &amp; J2274, J2274), "")</f>
        <v/>
      </c>
    </row>
    <row r="2275">
      <c r="B2275" s="21">
        <f>IF(AND(C2275&lt;&gt;"", J2275&lt;&gt;""), HYPERLINK("#'" &amp; C2275 &amp; "'!" &amp; J2275, J2275), "")</f>
        <v/>
      </c>
    </row>
    <row r="2276">
      <c r="B2276" s="21">
        <f>IF(AND(C2276&lt;&gt;"", J2276&lt;&gt;""), HYPERLINK("#'" &amp; C2276 &amp; "'!" &amp; J2276, J2276), "")</f>
        <v/>
      </c>
    </row>
    <row r="2277">
      <c r="B2277" s="21">
        <f>IF(AND(C2277&lt;&gt;"", J2277&lt;&gt;""), HYPERLINK("#'" &amp; C2277 &amp; "'!" &amp; J2277, J2277), "")</f>
        <v/>
      </c>
    </row>
    <row r="2278">
      <c r="B2278" s="21">
        <f>IF(AND(C2278&lt;&gt;"", J2278&lt;&gt;""), HYPERLINK("#'" &amp; C2278 &amp; "'!" &amp; J2278, J2278), "")</f>
        <v/>
      </c>
    </row>
    <row r="2279">
      <c r="B2279" s="21">
        <f>IF(AND(C2279&lt;&gt;"", J2279&lt;&gt;""), HYPERLINK("#'" &amp; C2279 &amp; "'!" &amp; J2279, J2279), "")</f>
        <v/>
      </c>
    </row>
    <row r="2280">
      <c r="B2280" s="21">
        <f>IF(AND(C2280&lt;&gt;"", J2280&lt;&gt;""), HYPERLINK("#'" &amp; C2280 &amp; "'!" &amp; J2280, J2280), "")</f>
        <v/>
      </c>
    </row>
    <row r="2281">
      <c r="B2281" s="21">
        <f>IF(AND(C2281&lt;&gt;"", J2281&lt;&gt;""), HYPERLINK("#'" &amp; C2281 &amp; "'!" &amp; J2281, J2281), "")</f>
        <v/>
      </c>
    </row>
    <row r="2282">
      <c r="B2282" s="21">
        <f>IF(AND(C2282&lt;&gt;"", J2282&lt;&gt;""), HYPERLINK("#'" &amp; C2282 &amp; "'!" &amp; J2282, J2282), "")</f>
        <v/>
      </c>
    </row>
    <row r="2283">
      <c r="B2283" s="21">
        <f>IF(AND(C2283&lt;&gt;"", J2283&lt;&gt;""), HYPERLINK("#'" &amp; C2283 &amp; "'!" &amp; J2283, J2283), "")</f>
        <v/>
      </c>
    </row>
    <row r="2284">
      <c r="B2284" s="21">
        <f>IF(AND(C2284&lt;&gt;"", J2284&lt;&gt;""), HYPERLINK("#'" &amp; C2284 &amp; "'!" &amp; J2284, J2284), "")</f>
        <v/>
      </c>
    </row>
    <row r="2285">
      <c r="B2285" s="21">
        <f>IF(AND(C2285&lt;&gt;"", J2285&lt;&gt;""), HYPERLINK("#'" &amp; C2285 &amp; "'!" &amp; J2285, J2285), "")</f>
        <v/>
      </c>
    </row>
    <row r="2286">
      <c r="B2286" s="21">
        <f>IF(AND(C2286&lt;&gt;"", J2286&lt;&gt;""), HYPERLINK("#'" &amp; C2286 &amp; "'!" &amp; J2286, J2286), "")</f>
        <v/>
      </c>
    </row>
    <row r="2287">
      <c r="B2287" s="21">
        <f>IF(AND(C2287&lt;&gt;"", J2287&lt;&gt;""), HYPERLINK("#'" &amp; C2287 &amp; "'!" &amp; J2287, J2287), "")</f>
        <v/>
      </c>
    </row>
    <row r="2288">
      <c r="B2288" s="21">
        <f>IF(AND(C2288&lt;&gt;"", J2288&lt;&gt;""), HYPERLINK("#'" &amp; C2288 &amp; "'!" &amp; J2288, J2288), "")</f>
        <v/>
      </c>
    </row>
    <row r="2289">
      <c r="B2289" s="21">
        <f>IF(AND(C2289&lt;&gt;"", J2289&lt;&gt;""), HYPERLINK("#'" &amp; C2289 &amp; "'!" &amp; J2289, J2289), "")</f>
        <v/>
      </c>
    </row>
    <row r="2290">
      <c r="B2290" s="21">
        <f>IF(AND(C2290&lt;&gt;"", J2290&lt;&gt;""), HYPERLINK("#'" &amp; C2290 &amp; "'!" &amp; J2290, J2290), "")</f>
        <v/>
      </c>
    </row>
    <row r="2291">
      <c r="B2291" s="21">
        <f>IF(AND(C2291&lt;&gt;"", J2291&lt;&gt;""), HYPERLINK("#'" &amp; C2291 &amp; "'!" &amp; J2291, J2291), "")</f>
        <v/>
      </c>
    </row>
    <row r="2292">
      <c r="B2292" s="21">
        <f>IF(AND(C2292&lt;&gt;"", J2292&lt;&gt;""), HYPERLINK("#'" &amp; C2292 &amp; "'!" &amp; J2292, J2292), "")</f>
        <v/>
      </c>
    </row>
    <row r="2293">
      <c r="B2293" s="21">
        <f>IF(AND(C2293&lt;&gt;"", J2293&lt;&gt;""), HYPERLINK("#'" &amp; C2293 &amp; "'!" &amp; J2293, J2293), "")</f>
        <v/>
      </c>
    </row>
    <row r="2294">
      <c r="B2294" s="21">
        <f>IF(AND(C2294&lt;&gt;"", J2294&lt;&gt;""), HYPERLINK("#'" &amp; C2294 &amp; "'!" &amp; J2294, J2294), "")</f>
        <v/>
      </c>
    </row>
    <row r="2295">
      <c r="B2295" s="21">
        <f>IF(AND(C2295&lt;&gt;"", J2295&lt;&gt;""), HYPERLINK("#'" &amp; C2295 &amp; "'!" &amp; J2295, J2295), "")</f>
        <v/>
      </c>
    </row>
    <row r="2296">
      <c r="B2296" s="21">
        <f>IF(AND(C2296&lt;&gt;"", J2296&lt;&gt;""), HYPERLINK("#'" &amp; C2296 &amp; "'!" &amp; J2296, J2296), "")</f>
        <v/>
      </c>
    </row>
    <row r="2297">
      <c r="B2297" s="21">
        <f>IF(AND(C2297&lt;&gt;"", J2297&lt;&gt;""), HYPERLINK("#'" &amp; C2297 &amp; "'!" &amp; J2297, J2297), "")</f>
        <v/>
      </c>
    </row>
    <row r="2298">
      <c r="B2298" s="21">
        <f>IF(AND(C2298&lt;&gt;"", J2298&lt;&gt;""), HYPERLINK("#'" &amp; C2298 &amp; "'!" &amp; J2298, J2298), "")</f>
        <v/>
      </c>
    </row>
    <row r="2299">
      <c r="B2299" s="21">
        <f>IF(AND(C2299&lt;&gt;"", J2299&lt;&gt;""), HYPERLINK("#'" &amp; C2299 &amp; "'!" &amp; J2299, J2299), "")</f>
        <v/>
      </c>
    </row>
    <row r="2300">
      <c r="B2300" s="21">
        <f>IF(AND(C2300&lt;&gt;"", J2300&lt;&gt;""), HYPERLINK("#'" &amp; C2300 &amp; "'!" &amp; J2300, J2300), "")</f>
        <v/>
      </c>
    </row>
    <row r="2301">
      <c r="B2301" s="21">
        <f>IF(AND(C2301&lt;&gt;"", J2301&lt;&gt;""), HYPERLINK("#'" &amp; C2301 &amp; "'!" &amp; J2301, J2301), "")</f>
        <v/>
      </c>
    </row>
    <row r="2302">
      <c r="B2302" s="21">
        <f>IF(AND(C2302&lt;&gt;"", J2302&lt;&gt;""), HYPERLINK("#'" &amp; C2302 &amp; "'!" &amp; J2302, J2302), "")</f>
        <v/>
      </c>
    </row>
    <row r="2303">
      <c r="B2303" s="21">
        <f>IF(AND(C2303&lt;&gt;"", J2303&lt;&gt;""), HYPERLINK("#'" &amp; C2303 &amp; "'!" &amp; J2303, J2303), "")</f>
        <v/>
      </c>
    </row>
    <row r="2304">
      <c r="B2304" s="21">
        <f>IF(AND(C2304&lt;&gt;"", J2304&lt;&gt;""), HYPERLINK("#'" &amp; C2304 &amp; "'!" &amp; J2304, J2304), "")</f>
        <v/>
      </c>
    </row>
    <row r="2305">
      <c r="B2305" s="21">
        <f>IF(AND(C2305&lt;&gt;"", J2305&lt;&gt;""), HYPERLINK("#'" &amp; C2305 &amp; "'!" &amp; J2305, J2305), "")</f>
        <v/>
      </c>
    </row>
    <row r="2306">
      <c r="B2306" s="21">
        <f>IF(AND(C2306&lt;&gt;"", J2306&lt;&gt;""), HYPERLINK("#'" &amp; C2306 &amp; "'!" &amp; J2306, J2306), "")</f>
        <v/>
      </c>
    </row>
    <row r="2307">
      <c r="B2307" s="21">
        <f>IF(AND(C2307&lt;&gt;"", J2307&lt;&gt;""), HYPERLINK("#'" &amp; C2307 &amp; "'!" &amp; J2307, J2307), "")</f>
        <v/>
      </c>
    </row>
    <row r="2308">
      <c r="B2308" s="21">
        <f>IF(AND(C2308&lt;&gt;"", J2308&lt;&gt;""), HYPERLINK("#'" &amp; C2308 &amp; "'!" &amp; J2308, J2308), "")</f>
        <v/>
      </c>
    </row>
    <row r="2309">
      <c r="B2309" s="21">
        <f>IF(AND(C2309&lt;&gt;"", J2309&lt;&gt;""), HYPERLINK("#'" &amp; C2309 &amp; "'!" &amp; J2309, J2309), "")</f>
        <v/>
      </c>
    </row>
    <row r="2310">
      <c r="B2310" s="21">
        <f>IF(AND(C2310&lt;&gt;"", J2310&lt;&gt;""), HYPERLINK("#'" &amp; C2310 &amp; "'!" &amp; J2310, J2310), "")</f>
        <v/>
      </c>
    </row>
    <row r="2311">
      <c r="B2311" s="21">
        <f>IF(AND(C2311&lt;&gt;"", J2311&lt;&gt;""), HYPERLINK("#'" &amp; C2311 &amp; "'!" &amp; J2311, J2311), "")</f>
        <v/>
      </c>
    </row>
    <row r="2312">
      <c r="B2312" s="21">
        <f>IF(AND(C2312&lt;&gt;"", J2312&lt;&gt;""), HYPERLINK("#'" &amp; C2312 &amp; "'!" &amp; J2312, J2312), "")</f>
        <v/>
      </c>
    </row>
    <row r="2313">
      <c r="B2313" s="21">
        <f>IF(AND(C2313&lt;&gt;"", J2313&lt;&gt;""), HYPERLINK("#'" &amp; C2313 &amp; "'!" &amp; J2313, J2313), "")</f>
        <v/>
      </c>
    </row>
    <row r="2314">
      <c r="B2314" s="21">
        <f>IF(AND(C2314&lt;&gt;"", J2314&lt;&gt;""), HYPERLINK("#'" &amp; C2314 &amp; "'!" &amp; J2314, J2314), "")</f>
        <v/>
      </c>
    </row>
    <row r="2315">
      <c r="B2315" s="21">
        <f>IF(AND(C2315&lt;&gt;"", J2315&lt;&gt;""), HYPERLINK("#'" &amp; C2315 &amp; "'!" &amp; J2315, J2315), "")</f>
        <v/>
      </c>
    </row>
    <row r="2316">
      <c r="B2316" s="21">
        <f>IF(AND(C2316&lt;&gt;"", J2316&lt;&gt;""), HYPERLINK("#'" &amp; C2316 &amp; "'!" &amp; J2316, J2316), "")</f>
        <v/>
      </c>
    </row>
    <row r="2317">
      <c r="B2317" s="21">
        <f>IF(AND(C2317&lt;&gt;"", J2317&lt;&gt;""), HYPERLINK("#'" &amp; C2317 &amp; "'!" &amp; J2317, J2317), "")</f>
        <v/>
      </c>
    </row>
    <row r="2318">
      <c r="B2318" s="21">
        <f>IF(AND(C2318&lt;&gt;"", J2318&lt;&gt;""), HYPERLINK("#'" &amp; C2318 &amp; "'!" &amp; J2318, J2318), "")</f>
        <v/>
      </c>
    </row>
    <row r="2319">
      <c r="B2319" s="21">
        <f>IF(AND(C2319&lt;&gt;"", J2319&lt;&gt;""), HYPERLINK("#'" &amp; C2319 &amp; "'!" &amp; J2319, J2319), "")</f>
        <v/>
      </c>
    </row>
    <row r="2320">
      <c r="B2320" s="21">
        <f>IF(AND(C2320&lt;&gt;"", J2320&lt;&gt;""), HYPERLINK("#'" &amp; C2320 &amp; "'!" &amp; J2320, J2320), "")</f>
        <v/>
      </c>
    </row>
    <row r="2321">
      <c r="B2321" s="21">
        <f>IF(AND(C2321&lt;&gt;"", J2321&lt;&gt;""), HYPERLINK("#'" &amp; C2321 &amp; "'!" &amp; J2321, J2321), "")</f>
        <v/>
      </c>
    </row>
    <row r="2322">
      <c r="B2322" s="21">
        <f>IF(AND(C2322&lt;&gt;"", J2322&lt;&gt;""), HYPERLINK("#'" &amp; C2322 &amp; "'!" &amp; J2322, J2322), "")</f>
        <v/>
      </c>
    </row>
    <row r="2323">
      <c r="B2323" s="21">
        <f>IF(AND(C2323&lt;&gt;"", J2323&lt;&gt;""), HYPERLINK("#'" &amp; C2323 &amp; "'!" &amp; J2323, J2323), "")</f>
        <v/>
      </c>
    </row>
    <row r="2324">
      <c r="B2324" s="21">
        <f>IF(AND(C2324&lt;&gt;"", J2324&lt;&gt;""), HYPERLINK("#'" &amp; C2324 &amp; "'!" &amp; J2324, J2324), "")</f>
        <v/>
      </c>
    </row>
    <row r="2325">
      <c r="B2325" s="21">
        <f>IF(AND(C2325&lt;&gt;"", J2325&lt;&gt;""), HYPERLINK("#'" &amp; C2325 &amp; "'!" &amp; J2325, J2325), "")</f>
        <v/>
      </c>
    </row>
    <row r="2326">
      <c r="B2326" s="21">
        <f>IF(AND(C2326&lt;&gt;"", J2326&lt;&gt;""), HYPERLINK("#'" &amp; C2326 &amp; "'!" &amp; J2326, J2326), "")</f>
        <v/>
      </c>
    </row>
    <row r="2327">
      <c r="B2327" s="21">
        <f>IF(AND(C2327&lt;&gt;"", J2327&lt;&gt;""), HYPERLINK("#'" &amp; C2327 &amp; "'!" &amp; J2327, J2327), "")</f>
        <v/>
      </c>
    </row>
    <row r="2328">
      <c r="B2328" s="21">
        <f>IF(AND(C2328&lt;&gt;"", J2328&lt;&gt;""), HYPERLINK("#'" &amp; C2328 &amp; "'!" &amp; J2328, J2328), "")</f>
        <v/>
      </c>
    </row>
    <row r="2329">
      <c r="B2329" s="21">
        <f>IF(AND(C2329&lt;&gt;"", J2329&lt;&gt;""), HYPERLINK("#'" &amp; C2329 &amp; "'!" &amp; J2329, J2329), "")</f>
        <v/>
      </c>
    </row>
    <row r="2330">
      <c r="B2330" s="21">
        <f>IF(AND(C2330&lt;&gt;"", J2330&lt;&gt;""), HYPERLINK("#'" &amp; C2330 &amp; "'!" &amp; J2330, J2330), "")</f>
        <v/>
      </c>
    </row>
    <row r="2331">
      <c r="B2331" s="21">
        <f>IF(AND(C2331&lt;&gt;"", J2331&lt;&gt;""), HYPERLINK("#'" &amp; C2331 &amp; "'!" &amp; J2331, J2331), "")</f>
        <v/>
      </c>
    </row>
    <row r="2332">
      <c r="B2332" s="21">
        <f>IF(AND(C2332&lt;&gt;"", J2332&lt;&gt;""), HYPERLINK("#'" &amp; C2332 &amp; "'!" &amp; J2332, J2332), "")</f>
        <v/>
      </c>
    </row>
    <row r="2333">
      <c r="B2333" s="21">
        <f>IF(AND(C2333&lt;&gt;"", J2333&lt;&gt;""), HYPERLINK("#'" &amp; C2333 &amp; "'!" &amp; J2333, J2333), "")</f>
        <v/>
      </c>
    </row>
    <row r="2334">
      <c r="B2334" s="21">
        <f>IF(AND(C2334&lt;&gt;"", J2334&lt;&gt;""), HYPERLINK("#'" &amp; C2334 &amp; "'!" &amp; J2334, J2334), "")</f>
        <v/>
      </c>
    </row>
    <row r="2335">
      <c r="B2335" s="21">
        <f>IF(AND(C2335&lt;&gt;"", J2335&lt;&gt;""), HYPERLINK("#'" &amp; C2335 &amp; "'!" &amp; J2335, J2335), "")</f>
        <v/>
      </c>
    </row>
    <row r="2336">
      <c r="B2336" s="21">
        <f>IF(AND(C2336&lt;&gt;"", J2336&lt;&gt;""), HYPERLINK("#'" &amp; C2336 &amp; "'!" &amp; J2336, J2336), "")</f>
        <v/>
      </c>
    </row>
    <row r="2337">
      <c r="B2337" s="21">
        <f>IF(AND(C2337&lt;&gt;"", J2337&lt;&gt;""), HYPERLINK("#'" &amp; C2337 &amp; "'!" &amp; J2337, J2337), "")</f>
        <v/>
      </c>
    </row>
    <row r="2338">
      <c r="B2338" s="21">
        <f>IF(AND(C2338&lt;&gt;"", J2338&lt;&gt;""), HYPERLINK("#'" &amp; C2338 &amp; "'!" &amp; J2338, J2338), "")</f>
        <v/>
      </c>
    </row>
    <row r="2339">
      <c r="B2339" s="21">
        <f>IF(AND(C2339&lt;&gt;"", J2339&lt;&gt;""), HYPERLINK("#'" &amp; C2339 &amp; "'!" &amp; J2339, J2339), "")</f>
        <v/>
      </c>
    </row>
    <row r="2340">
      <c r="B2340" s="21">
        <f>IF(AND(C2340&lt;&gt;"", J2340&lt;&gt;""), HYPERLINK("#'" &amp; C2340 &amp; "'!" &amp; J2340, J2340), "")</f>
        <v/>
      </c>
    </row>
    <row r="2341">
      <c r="B2341" s="21">
        <f>IF(AND(C2341&lt;&gt;"", J2341&lt;&gt;""), HYPERLINK("#'" &amp; C2341 &amp; "'!" &amp; J2341, J2341), "")</f>
        <v/>
      </c>
    </row>
    <row r="2342">
      <c r="B2342" s="21">
        <f>IF(AND(C2342&lt;&gt;"", J2342&lt;&gt;""), HYPERLINK("#'" &amp; C2342 &amp; "'!" &amp; J2342, J2342), "")</f>
        <v/>
      </c>
    </row>
    <row r="2343">
      <c r="B2343" s="21">
        <f>IF(AND(C2343&lt;&gt;"", J2343&lt;&gt;""), HYPERLINK("#'" &amp; C2343 &amp; "'!" &amp; J2343, J2343), "")</f>
        <v/>
      </c>
    </row>
    <row r="2344">
      <c r="B2344" s="21">
        <f>IF(AND(C2344&lt;&gt;"", J2344&lt;&gt;""), HYPERLINK("#'" &amp; C2344 &amp; "'!" &amp; J2344, J2344), "")</f>
        <v/>
      </c>
    </row>
    <row r="2345">
      <c r="B2345" s="21">
        <f>IF(AND(C2345&lt;&gt;"", J2345&lt;&gt;""), HYPERLINK("#'" &amp; C2345 &amp; "'!" &amp; J2345, J2345), "")</f>
        <v/>
      </c>
    </row>
    <row r="2346">
      <c r="B2346" s="21">
        <f>IF(AND(C2346&lt;&gt;"", J2346&lt;&gt;""), HYPERLINK("#'" &amp; C2346 &amp; "'!" &amp; J2346, J2346), "")</f>
        <v/>
      </c>
    </row>
    <row r="2347">
      <c r="B2347" s="21">
        <f>IF(AND(C2347&lt;&gt;"", J2347&lt;&gt;""), HYPERLINK("#'" &amp; C2347 &amp; "'!" &amp; J2347, J2347), "")</f>
        <v/>
      </c>
    </row>
    <row r="2348">
      <c r="B2348" s="21">
        <f>IF(AND(C2348&lt;&gt;"", J2348&lt;&gt;""), HYPERLINK("#'" &amp; C2348 &amp; "'!" &amp; J2348, J2348), "")</f>
        <v/>
      </c>
    </row>
    <row r="2349">
      <c r="B2349" s="21">
        <f>IF(AND(C2349&lt;&gt;"", J2349&lt;&gt;""), HYPERLINK("#'" &amp; C2349 &amp; "'!" &amp; J2349, J2349), "")</f>
        <v/>
      </c>
    </row>
    <row r="2350">
      <c r="B2350" s="21">
        <f>IF(AND(C2350&lt;&gt;"", J2350&lt;&gt;""), HYPERLINK("#'" &amp; C2350 &amp; "'!" &amp; J2350, J2350), "")</f>
        <v/>
      </c>
    </row>
    <row r="2351">
      <c r="B2351" s="21">
        <f>IF(AND(C2351&lt;&gt;"", J2351&lt;&gt;""), HYPERLINK("#'" &amp; C2351 &amp; "'!" &amp; J2351, J2351), "")</f>
        <v/>
      </c>
    </row>
    <row r="2352">
      <c r="B2352" s="21">
        <f>IF(AND(C2352&lt;&gt;"", J2352&lt;&gt;""), HYPERLINK("#'" &amp; C2352 &amp; "'!" &amp; J2352, J2352), "")</f>
        <v/>
      </c>
    </row>
    <row r="2353">
      <c r="B2353" s="21">
        <f>IF(AND(C2353&lt;&gt;"", J2353&lt;&gt;""), HYPERLINK("#'" &amp; C2353 &amp; "'!" &amp; J2353, J2353), "")</f>
        <v/>
      </c>
    </row>
    <row r="2354">
      <c r="B2354" s="21">
        <f>IF(AND(C2354&lt;&gt;"", J2354&lt;&gt;""), HYPERLINK("#'" &amp; C2354 &amp; "'!" &amp; J2354, J2354), "")</f>
        <v/>
      </c>
    </row>
    <row r="2355">
      <c r="B2355" s="21">
        <f>IF(AND(C2355&lt;&gt;"", J2355&lt;&gt;""), HYPERLINK("#'" &amp; C2355 &amp; "'!" &amp; J2355, J2355), "")</f>
        <v/>
      </c>
    </row>
    <row r="2356">
      <c r="B2356" s="21">
        <f>IF(AND(C2356&lt;&gt;"", J2356&lt;&gt;""), HYPERLINK("#'" &amp; C2356 &amp; "'!" &amp; J2356, J2356), "")</f>
        <v/>
      </c>
    </row>
    <row r="2357">
      <c r="B2357" s="21">
        <f>IF(AND(C2357&lt;&gt;"", J2357&lt;&gt;""), HYPERLINK("#'" &amp; C2357 &amp; "'!" &amp; J2357, J2357), "")</f>
        <v/>
      </c>
    </row>
    <row r="2358">
      <c r="B2358" s="21">
        <f>IF(AND(C2358&lt;&gt;"", J2358&lt;&gt;""), HYPERLINK("#'" &amp; C2358 &amp; "'!" &amp; J2358, J2358), "")</f>
        <v/>
      </c>
    </row>
    <row r="2359">
      <c r="B2359" s="21">
        <f>IF(AND(C2359&lt;&gt;"", J2359&lt;&gt;""), HYPERLINK("#'" &amp; C2359 &amp; "'!" &amp; J2359, J2359), "")</f>
        <v/>
      </c>
    </row>
    <row r="2360">
      <c r="B2360" s="21">
        <f>IF(AND(C2360&lt;&gt;"", J2360&lt;&gt;""), HYPERLINK("#'" &amp; C2360 &amp; "'!" &amp; J2360, J2360), "")</f>
        <v/>
      </c>
    </row>
    <row r="2361">
      <c r="B2361" s="21">
        <f>IF(AND(C2361&lt;&gt;"", J2361&lt;&gt;""), HYPERLINK("#'" &amp; C2361 &amp; "'!" &amp; J2361, J2361), "")</f>
        <v/>
      </c>
    </row>
    <row r="2362">
      <c r="B2362" s="21">
        <f>IF(AND(C2362&lt;&gt;"", J2362&lt;&gt;""), HYPERLINK("#'" &amp; C2362 &amp; "'!" &amp; J2362, J2362), "")</f>
        <v/>
      </c>
    </row>
    <row r="2363">
      <c r="B2363" s="21">
        <f>IF(AND(C2363&lt;&gt;"", J2363&lt;&gt;""), HYPERLINK("#'" &amp; C2363 &amp; "'!" &amp; J2363, J2363), "")</f>
        <v/>
      </c>
    </row>
    <row r="2364">
      <c r="B2364" s="21">
        <f>IF(AND(C2364&lt;&gt;"", J2364&lt;&gt;""), HYPERLINK("#'" &amp; C2364 &amp; "'!" &amp; J2364, J2364), "")</f>
        <v/>
      </c>
    </row>
    <row r="2365">
      <c r="B2365" s="21">
        <f>IF(AND(C2365&lt;&gt;"", J2365&lt;&gt;""), HYPERLINK("#'" &amp; C2365 &amp; "'!" &amp; J2365, J2365), "")</f>
        <v/>
      </c>
    </row>
    <row r="2366">
      <c r="B2366" s="21">
        <f>IF(AND(C2366&lt;&gt;"", J2366&lt;&gt;""), HYPERLINK("#'" &amp; C2366 &amp; "'!" &amp; J2366, J2366), "")</f>
        <v/>
      </c>
    </row>
    <row r="2367">
      <c r="B2367" s="21">
        <f>IF(AND(C2367&lt;&gt;"", J2367&lt;&gt;""), HYPERLINK("#'" &amp; C2367 &amp; "'!" &amp; J2367, J2367), "")</f>
        <v/>
      </c>
    </row>
    <row r="2368">
      <c r="B2368" s="21">
        <f>IF(AND(C2368&lt;&gt;"", J2368&lt;&gt;""), HYPERLINK("#'" &amp; C2368 &amp; "'!" &amp; J2368, J2368), "")</f>
        <v/>
      </c>
    </row>
    <row r="2369">
      <c r="B2369" s="21">
        <f>IF(AND(C2369&lt;&gt;"", J2369&lt;&gt;""), HYPERLINK("#'" &amp; C2369 &amp; "'!" &amp; J2369, J2369), "")</f>
        <v/>
      </c>
    </row>
    <row r="2370">
      <c r="B2370" s="21">
        <f>IF(AND(C2370&lt;&gt;"", J2370&lt;&gt;""), HYPERLINK("#'" &amp; C2370 &amp; "'!" &amp; J2370, J2370), "")</f>
        <v/>
      </c>
    </row>
    <row r="2371">
      <c r="B2371" s="21">
        <f>IF(AND(C2371&lt;&gt;"", J2371&lt;&gt;""), HYPERLINK("#'" &amp; C2371 &amp; "'!" &amp; J2371, J2371), "")</f>
        <v/>
      </c>
    </row>
    <row r="2372">
      <c r="B2372" s="21">
        <f>IF(AND(C2372&lt;&gt;"", J2372&lt;&gt;""), HYPERLINK("#'" &amp; C2372 &amp; "'!" &amp; J2372, J2372), "")</f>
        <v/>
      </c>
    </row>
    <row r="2373">
      <c r="B2373" s="21">
        <f>IF(AND(C2373&lt;&gt;"", J2373&lt;&gt;""), HYPERLINK("#'" &amp; C2373 &amp; "'!" &amp; J2373, J2373), "")</f>
        <v/>
      </c>
    </row>
    <row r="2374">
      <c r="B2374" s="21">
        <f>IF(AND(C2374&lt;&gt;"", J2374&lt;&gt;""), HYPERLINK("#'" &amp; C2374 &amp; "'!" &amp; J2374, J2374), "")</f>
        <v/>
      </c>
    </row>
    <row r="2375">
      <c r="B2375" s="21">
        <f>IF(AND(C2375&lt;&gt;"", J2375&lt;&gt;""), HYPERLINK("#'" &amp; C2375 &amp; "'!" &amp; J2375, J2375), "")</f>
        <v/>
      </c>
    </row>
    <row r="2376">
      <c r="B2376" s="21">
        <f>IF(AND(C2376&lt;&gt;"", J2376&lt;&gt;""), HYPERLINK("#'" &amp; C2376 &amp; "'!" &amp; J2376, J2376), "")</f>
        <v/>
      </c>
    </row>
    <row r="2377">
      <c r="B2377" s="21">
        <f>IF(AND(C2377&lt;&gt;"", J2377&lt;&gt;""), HYPERLINK("#'" &amp; C2377 &amp; "'!" &amp; J2377, J2377), "")</f>
        <v/>
      </c>
    </row>
    <row r="2378">
      <c r="B2378" s="21">
        <f>IF(AND(C2378&lt;&gt;"", J2378&lt;&gt;""), HYPERLINK("#'" &amp; C2378 &amp; "'!" &amp; J2378, J2378), "")</f>
        <v/>
      </c>
    </row>
    <row r="2379">
      <c r="B2379" s="21">
        <f>IF(AND(C2379&lt;&gt;"", J2379&lt;&gt;""), HYPERLINK("#'" &amp; C2379 &amp; "'!" &amp; J2379, J2379), "")</f>
        <v/>
      </c>
    </row>
    <row r="2380">
      <c r="B2380" s="21">
        <f>IF(AND(C2380&lt;&gt;"", J2380&lt;&gt;""), HYPERLINK("#'" &amp; C2380 &amp; "'!" &amp; J2380, J2380), "")</f>
        <v/>
      </c>
    </row>
    <row r="2381">
      <c r="B2381" s="21">
        <f>IF(AND(C2381&lt;&gt;"", J2381&lt;&gt;""), HYPERLINK("#'" &amp; C2381 &amp; "'!" &amp; J2381, J2381), "")</f>
        <v/>
      </c>
    </row>
    <row r="2382">
      <c r="B2382" s="21">
        <f>IF(AND(C2382&lt;&gt;"", J2382&lt;&gt;""), HYPERLINK("#'" &amp; C2382 &amp; "'!" &amp; J2382, J2382), "")</f>
        <v/>
      </c>
    </row>
    <row r="2383">
      <c r="B2383" s="21">
        <f>IF(AND(C2383&lt;&gt;"", J2383&lt;&gt;""), HYPERLINK("#'" &amp; C2383 &amp; "'!" &amp; J2383, J2383), "")</f>
        <v/>
      </c>
    </row>
    <row r="2384">
      <c r="B2384" s="21">
        <f>IF(AND(C2384&lt;&gt;"", J2384&lt;&gt;""), HYPERLINK("#'" &amp; C2384 &amp; "'!" &amp; J2384, J2384), "")</f>
        <v/>
      </c>
    </row>
    <row r="2385">
      <c r="B2385" s="21">
        <f>IF(AND(C2385&lt;&gt;"", J2385&lt;&gt;""), HYPERLINK("#'" &amp; C2385 &amp; "'!" &amp; J2385, J2385), "")</f>
        <v/>
      </c>
    </row>
    <row r="2386">
      <c r="B2386" s="21">
        <f>IF(AND(C2386&lt;&gt;"", J2386&lt;&gt;""), HYPERLINK("#'" &amp; C2386 &amp; "'!" &amp; J2386, J2386), "")</f>
        <v/>
      </c>
    </row>
    <row r="2387">
      <c r="B2387" s="21">
        <f>IF(AND(C2387&lt;&gt;"", J2387&lt;&gt;""), HYPERLINK("#'" &amp; C2387 &amp; "'!" &amp; J2387, J2387), "")</f>
        <v/>
      </c>
    </row>
    <row r="2388">
      <c r="B2388" s="21">
        <f>IF(AND(C2388&lt;&gt;"", J2388&lt;&gt;""), HYPERLINK("#'" &amp; C2388 &amp; "'!" &amp; J2388, J2388), "")</f>
        <v/>
      </c>
    </row>
    <row r="2389">
      <c r="B2389" s="21">
        <f>IF(AND(C2389&lt;&gt;"", J2389&lt;&gt;""), HYPERLINK("#'" &amp; C2389 &amp; "'!" &amp; J2389, J2389), "")</f>
        <v/>
      </c>
    </row>
    <row r="2390">
      <c r="B2390" s="21">
        <f>IF(AND(C2390&lt;&gt;"", J2390&lt;&gt;""), HYPERLINK("#'" &amp; C2390 &amp; "'!" &amp; J2390, J2390), "")</f>
        <v/>
      </c>
    </row>
    <row r="2391">
      <c r="B2391" s="21">
        <f>IF(AND(C2391&lt;&gt;"", J2391&lt;&gt;""), HYPERLINK("#'" &amp; C2391 &amp; "'!" &amp; J2391, J2391), "")</f>
        <v/>
      </c>
    </row>
    <row r="2392">
      <c r="B2392" s="21">
        <f>IF(AND(C2392&lt;&gt;"", J2392&lt;&gt;""), HYPERLINK("#'" &amp; C2392 &amp; "'!" &amp; J2392, J2392), "")</f>
        <v/>
      </c>
    </row>
    <row r="2393">
      <c r="B2393" s="21">
        <f>IF(AND(C2393&lt;&gt;"", J2393&lt;&gt;""), HYPERLINK("#'" &amp; C2393 &amp; "'!" &amp; J2393, J2393), "")</f>
        <v/>
      </c>
    </row>
    <row r="2394">
      <c r="B2394" s="21">
        <f>IF(AND(C2394&lt;&gt;"", J2394&lt;&gt;""), HYPERLINK("#'" &amp; C2394 &amp; "'!" &amp; J2394, J2394), "")</f>
        <v/>
      </c>
    </row>
    <row r="2395">
      <c r="B2395" s="21">
        <f>IF(AND(C2395&lt;&gt;"", J2395&lt;&gt;""), HYPERLINK("#'" &amp; C2395 &amp; "'!" &amp; J2395, J2395), "")</f>
        <v/>
      </c>
    </row>
    <row r="2396">
      <c r="B2396" s="21">
        <f>IF(AND(C2396&lt;&gt;"", J2396&lt;&gt;""), HYPERLINK("#'" &amp; C2396 &amp; "'!" &amp; J2396, J2396), "")</f>
        <v/>
      </c>
    </row>
    <row r="2397">
      <c r="B2397" s="21">
        <f>IF(AND(C2397&lt;&gt;"", J2397&lt;&gt;""), HYPERLINK("#'" &amp; C2397 &amp; "'!" &amp; J2397, J2397), "")</f>
        <v/>
      </c>
    </row>
    <row r="2398">
      <c r="B2398" s="21">
        <f>IF(AND(C2398&lt;&gt;"", J2398&lt;&gt;""), HYPERLINK("#'" &amp; C2398 &amp; "'!" &amp; J2398, J2398), "")</f>
        <v/>
      </c>
    </row>
    <row r="2399">
      <c r="B2399" s="21">
        <f>IF(AND(C2399&lt;&gt;"", J2399&lt;&gt;""), HYPERLINK("#'" &amp; C2399 &amp; "'!" &amp; J2399, J2399), "")</f>
        <v/>
      </c>
    </row>
    <row r="2400">
      <c r="B2400" s="21">
        <f>IF(AND(C2400&lt;&gt;"", J2400&lt;&gt;""), HYPERLINK("#'" &amp; C2400 &amp; "'!" &amp; J2400, J2400), "")</f>
        <v/>
      </c>
    </row>
    <row r="2401">
      <c r="B2401" s="21">
        <f>IF(AND(C2401&lt;&gt;"", J2401&lt;&gt;""), HYPERLINK("#'" &amp; C2401 &amp; "'!" &amp; J2401, J2401), "")</f>
        <v/>
      </c>
    </row>
    <row r="2402">
      <c r="B2402" s="21">
        <f>IF(AND(C2402&lt;&gt;"", J2402&lt;&gt;""), HYPERLINK("#'" &amp; C2402 &amp; "'!" &amp; J2402, J2402), "")</f>
        <v/>
      </c>
    </row>
    <row r="2403">
      <c r="B2403" s="21">
        <f>IF(AND(C2403&lt;&gt;"", J2403&lt;&gt;""), HYPERLINK("#'" &amp; C2403 &amp; "'!" &amp; J2403, J2403), "")</f>
        <v/>
      </c>
    </row>
    <row r="2404">
      <c r="B2404" s="21">
        <f>IF(AND(C2404&lt;&gt;"", J2404&lt;&gt;""), HYPERLINK("#'" &amp; C2404 &amp; "'!" &amp; J2404, J2404), "")</f>
        <v/>
      </c>
    </row>
    <row r="2405">
      <c r="B2405" s="21">
        <f>IF(AND(C2405&lt;&gt;"", J2405&lt;&gt;""), HYPERLINK("#'" &amp; C2405 &amp; "'!" &amp; J2405, J2405), "")</f>
        <v/>
      </c>
    </row>
    <row r="2406">
      <c r="B2406" s="21">
        <f>IF(AND(C2406&lt;&gt;"", J2406&lt;&gt;""), HYPERLINK("#'" &amp; C2406 &amp; "'!" &amp; J2406, J2406), "")</f>
        <v/>
      </c>
    </row>
    <row r="2407">
      <c r="B2407" s="21">
        <f>IF(AND(C2407&lt;&gt;"", J2407&lt;&gt;""), HYPERLINK("#'" &amp; C2407 &amp; "'!" &amp; J2407, J2407), "")</f>
        <v/>
      </c>
    </row>
    <row r="2408">
      <c r="B2408" s="21">
        <f>IF(AND(C2408&lt;&gt;"", J2408&lt;&gt;""), HYPERLINK("#'" &amp; C2408 &amp; "'!" &amp; J2408, J2408), "")</f>
        <v/>
      </c>
    </row>
    <row r="2409">
      <c r="B2409" s="21">
        <f>IF(AND(C2409&lt;&gt;"", J2409&lt;&gt;""), HYPERLINK("#'" &amp; C2409 &amp; "'!" &amp; J2409, J2409), "")</f>
        <v/>
      </c>
    </row>
    <row r="2410">
      <c r="B2410" s="21">
        <f>IF(AND(C2410&lt;&gt;"", J2410&lt;&gt;""), HYPERLINK("#'" &amp; C2410 &amp; "'!" &amp; J2410, J2410), "")</f>
        <v/>
      </c>
    </row>
    <row r="2411">
      <c r="B2411" s="21">
        <f>IF(AND(C2411&lt;&gt;"", J2411&lt;&gt;""), HYPERLINK("#'" &amp; C2411 &amp; "'!" &amp; J2411, J2411), "")</f>
        <v/>
      </c>
    </row>
    <row r="2412">
      <c r="B2412" s="21">
        <f>IF(AND(C2412&lt;&gt;"", J2412&lt;&gt;""), HYPERLINK("#'" &amp; C2412 &amp; "'!" &amp; J2412, J2412), "")</f>
        <v/>
      </c>
    </row>
    <row r="2413">
      <c r="B2413" s="21">
        <f>IF(AND(C2413&lt;&gt;"", J2413&lt;&gt;""), HYPERLINK("#'" &amp; C2413 &amp; "'!" &amp; J2413, J2413), "")</f>
        <v/>
      </c>
    </row>
    <row r="2414">
      <c r="B2414" s="21">
        <f>IF(AND(C2414&lt;&gt;"", J2414&lt;&gt;""), HYPERLINK("#'" &amp; C2414 &amp; "'!" &amp; J2414, J2414), "")</f>
        <v/>
      </c>
    </row>
    <row r="2415">
      <c r="B2415" s="21">
        <f>IF(AND(C2415&lt;&gt;"", J2415&lt;&gt;""), HYPERLINK("#'" &amp; C2415 &amp; "'!" &amp; J2415, J2415), "")</f>
        <v/>
      </c>
    </row>
    <row r="2416">
      <c r="B2416" s="21">
        <f>IF(AND(C2416&lt;&gt;"", J2416&lt;&gt;""), HYPERLINK("#'" &amp; C2416 &amp; "'!" &amp; J2416, J2416), "")</f>
        <v/>
      </c>
    </row>
    <row r="2417">
      <c r="B2417" s="21">
        <f>IF(AND(C2417&lt;&gt;"", J2417&lt;&gt;""), HYPERLINK("#'" &amp; C2417 &amp; "'!" &amp; J2417, J2417), "")</f>
        <v/>
      </c>
    </row>
    <row r="2418">
      <c r="B2418" s="21">
        <f>IF(AND(C2418&lt;&gt;"", J2418&lt;&gt;""), HYPERLINK("#'" &amp; C2418 &amp; "'!" &amp; J2418, J2418), "")</f>
        <v/>
      </c>
    </row>
    <row r="2419">
      <c r="B2419" s="21">
        <f>IF(AND(C2419&lt;&gt;"", J2419&lt;&gt;""), HYPERLINK("#'" &amp; C2419 &amp; "'!" &amp; J2419, J2419), "")</f>
        <v/>
      </c>
    </row>
    <row r="2420">
      <c r="B2420" s="21">
        <f>IF(AND(C2420&lt;&gt;"", J2420&lt;&gt;""), HYPERLINK("#'" &amp; C2420 &amp; "'!" &amp; J2420, J2420), "")</f>
        <v/>
      </c>
    </row>
    <row r="2421">
      <c r="B2421" s="21">
        <f>IF(AND(C2421&lt;&gt;"", J2421&lt;&gt;""), HYPERLINK("#'" &amp; C2421 &amp; "'!" &amp; J2421, J2421), "")</f>
        <v/>
      </c>
    </row>
    <row r="2422">
      <c r="B2422" s="21">
        <f>IF(AND(C2422&lt;&gt;"", J2422&lt;&gt;""), HYPERLINK("#'" &amp; C2422 &amp; "'!" &amp; J2422, J2422), "")</f>
        <v/>
      </c>
    </row>
    <row r="2423">
      <c r="B2423" s="21">
        <f>IF(AND(C2423&lt;&gt;"", J2423&lt;&gt;""), HYPERLINK("#'" &amp; C2423 &amp; "'!" &amp; J2423, J2423), "")</f>
        <v/>
      </c>
    </row>
    <row r="2424">
      <c r="B2424" s="21">
        <f>IF(AND(C2424&lt;&gt;"", J2424&lt;&gt;""), HYPERLINK("#'" &amp; C2424 &amp; "'!" &amp; J2424, J2424), "")</f>
        <v/>
      </c>
    </row>
    <row r="2425">
      <c r="B2425" s="21">
        <f>IF(AND(C2425&lt;&gt;"", J2425&lt;&gt;""), HYPERLINK("#'" &amp; C2425 &amp; "'!" &amp; J2425, J2425), "")</f>
        <v/>
      </c>
    </row>
    <row r="2426">
      <c r="B2426" s="21">
        <f>IF(AND(C2426&lt;&gt;"", J2426&lt;&gt;""), HYPERLINK("#'" &amp; C2426 &amp; "'!" &amp; J2426, J2426), "")</f>
        <v/>
      </c>
    </row>
    <row r="2427">
      <c r="B2427" s="21">
        <f>IF(AND(C2427&lt;&gt;"", J2427&lt;&gt;""), HYPERLINK("#'" &amp; C2427 &amp; "'!" &amp; J2427, J2427), "")</f>
        <v/>
      </c>
    </row>
    <row r="2428">
      <c r="B2428" s="21">
        <f>IF(AND(C2428&lt;&gt;"", J2428&lt;&gt;""), HYPERLINK("#'" &amp; C2428 &amp; "'!" &amp; J2428, J2428), "")</f>
        <v/>
      </c>
    </row>
    <row r="2429">
      <c r="B2429" s="21">
        <f>IF(AND(C2429&lt;&gt;"", J2429&lt;&gt;""), HYPERLINK("#'" &amp; C2429 &amp; "'!" &amp; J2429, J2429), "")</f>
        <v/>
      </c>
    </row>
    <row r="2430">
      <c r="B2430" s="21">
        <f>IF(AND(C2430&lt;&gt;"", J2430&lt;&gt;""), HYPERLINK("#'" &amp; C2430 &amp; "'!" &amp; J2430, J2430), "")</f>
        <v/>
      </c>
    </row>
    <row r="2431">
      <c r="B2431" s="21">
        <f>IF(AND(C2431&lt;&gt;"", J2431&lt;&gt;""), HYPERLINK("#'" &amp; C2431 &amp; "'!" &amp; J2431, J2431), "")</f>
        <v/>
      </c>
    </row>
    <row r="2432">
      <c r="B2432" s="21">
        <f>IF(AND(C2432&lt;&gt;"", J2432&lt;&gt;""), HYPERLINK("#'" &amp; C2432 &amp; "'!" &amp; J2432, J2432), "")</f>
        <v/>
      </c>
    </row>
    <row r="2433">
      <c r="B2433" s="21">
        <f>IF(AND(C2433&lt;&gt;"", J2433&lt;&gt;""), HYPERLINK("#'" &amp; C2433 &amp; "'!" &amp; J2433, J2433), "")</f>
        <v/>
      </c>
    </row>
    <row r="2434">
      <c r="B2434" s="21">
        <f>IF(AND(C2434&lt;&gt;"", J2434&lt;&gt;""), HYPERLINK("#'" &amp; C2434 &amp; "'!" &amp; J2434, J2434), "")</f>
        <v/>
      </c>
    </row>
    <row r="2435">
      <c r="B2435" s="21">
        <f>IF(AND(C2435&lt;&gt;"", J2435&lt;&gt;""), HYPERLINK("#'" &amp; C2435 &amp; "'!" &amp; J2435, J2435), "")</f>
        <v/>
      </c>
    </row>
    <row r="2436">
      <c r="B2436" s="21">
        <f>IF(AND(C2436&lt;&gt;"", J2436&lt;&gt;""), HYPERLINK("#'" &amp; C2436 &amp; "'!" &amp; J2436, J2436), "")</f>
        <v/>
      </c>
    </row>
    <row r="2437">
      <c r="B2437" s="21">
        <f>IF(AND(C2437&lt;&gt;"", J2437&lt;&gt;""), HYPERLINK("#'" &amp; C2437 &amp; "'!" &amp; J2437, J2437), "")</f>
        <v/>
      </c>
    </row>
    <row r="2438">
      <c r="B2438" s="21">
        <f>IF(AND(C2438&lt;&gt;"", J2438&lt;&gt;""), HYPERLINK("#'" &amp; C2438 &amp; "'!" &amp; J2438, J2438), "")</f>
        <v/>
      </c>
    </row>
    <row r="2439">
      <c r="B2439" s="21">
        <f>IF(AND(C2439&lt;&gt;"", J2439&lt;&gt;""), HYPERLINK("#'" &amp; C2439 &amp; "'!" &amp; J2439, J2439), "")</f>
        <v/>
      </c>
    </row>
    <row r="2440">
      <c r="B2440" s="21">
        <f>IF(AND(C2440&lt;&gt;"", J2440&lt;&gt;""), HYPERLINK("#'" &amp; C2440 &amp; "'!" &amp; J2440, J2440), "")</f>
        <v/>
      </c>
    </row>
    <row r="2441">
      <c r="B2441" s="21">
        <f>IF(AND(C2441&lt;&gt;"", J2441&lt;&gt;""), HYPERLINK("#'" &amp; C2441 &amp; "'!" &amp; J2441, J2441), "")</f>
        <v/>
      </c>
    </row>
    <row r="2442">
      <c r="B2442" s="21">
        <f>IF(AND(C2442&lt;&gt;"", J2442&lt;&gt;""), HYPERLINK("#'" &amp; C2442 &amp; "'!" &amp; J2442, J2442), "")</f>
        <v/>
      </c>
    </row>
    <row r="2443">
      <c r="B2443" s="21">
        <f>IF(AND(C2443&lt;&gt;"", J2443&lt;&gt;""), HYPERLINK("#'" &amp; C2443 &amp; "'!" &amp; J2443, J2443), "")</f>
        <v/>
      </c>
    </row>
    <row r="2444">
      <c r="B2444" s="21">
        <f>IF(AND(C2444&lt;&gt;"", J2444&lt;&gt;""), HYPERLINK("#'" &amp; C2444 &amp; "'!" &amp; J2444, J2444), "")</f>
        <v/>
      </c>
    </row>
    <row r="2445">
      <c r="B2445" s="21">
        <f>IF(AND(C2445&lt;&gt;"", J2445&lt;&gt;""), HYPERLINK("#'" &amp; C2445 &amp; "'!" &amp; J2445, J2445), "")</f>
        <v/>
      </c>
    </row>
    <row r="2446">
      <c r="B2446" s="21">
        <f>IF(AND(C2446&lt;&gt;"", J2446&lt;&gt;""), HYPERLINK("#'" &amp; C2446 &amp; "'!" &amp; J2446, J2446), "")</f>
        <v/>
      </c>
    </row>
    <row r="2447">
      <c r="B2447" s="21">
        <f>IF(AND(C2447&lt;&gt;"", J2447&lt;&gt;""), HYPERLINK("#'" &amp; C2447 &amp; "'!" &amp; J2447, J2447), "")</f>
        <v/>
      </c>
    </row>
    <row r="2448">
      <c r="B2448" s="21">
        <f>IF(AND(C2448&lt;&gt;"", J2448&lt;&gt;""), HYPERLINK("#'" &amp; C2448 &amp; "'!" &amp; J2448, J2448), "")</f>
        <v/>
      </c>
    </row>
    <row r="2449">
      <c r="B2449" s="21">
        <f>IF(AND(C2449&lt;&gt;"", J2449&lt;&gt;""), HYPERLINK("#'" &amp; C2449 &amp; "'!" &amp; J2449, J2449), "")</f>
        <v/>
      </c>
    </row>
    <row r="2450">
      <c r="B2450" s="21">
        <f>IF(AND(C2450&lt;&gt;"", J2450&lt;&gt;""), HYPERLINK("#'" &amp; C2450 &amp; "'!" &amp; J2450, J2450), "")</f>
        <v/>
      </c>
    </row>
    <row r="2451">
      <c r="B2451" s="21">
        <f>IF(AND(C2451&lt;&gt;"", J2451&lt;&gt;""), HYPERLINK("#'" &amp; C2451 &amp; "'!" &amp; J2451, J2451), "")</f>
        <v/>
      </c>
    </row>
    <row r="2452">
      <c r="B2452" s="21">
        <f>IF(AND(C2452&lt;&gt;"", J2452&lt;&gt;""), HYPERLINK("#'" &amp; C2452 &amp; "'!" &amp; J2452, J2452), "")</f>
        <v/>
      </c>
    </row>
    <row r="2453">
      <c r="B2453" s="21">
        <f>IF(AND(C2453&lt;&gt;"", J2453&lt;&gt;""), HYPERLINK("#'" &amp; C2453 &amp; "'!" &amp; J2453, J2453), "")</f>
        <v/>
      </c>
    </row>
    <row r="2454">
      <c r="B2454" s="21">
        <f>IF(AND(C2454&lt;&gt;"", J2454&lt;&gt;""), HYPERLINK("#'" &amp; C2454 &amp; "'!" &amp; J2454, J2454), "")</f>
        <v/>
      </c>
    </row>
    <row r="2455">
      <c r="B2455" s="21">
        <f>IF(AND(C2455&lt;&gt;"", J2455&lt;&gt;""), HYPERLINK("#'" &amp; C2455 &amp; "'!" &amp; J2455, J2455), "")</f>
        <v/>
      </c>
    </row>
    <row r="2456">
      <c r="B2456" s="21">
        <f>IF(AND(C2456&lt;&gt;"", J2456&lt;&gt;""), HYPERLINK("#'" &amp; C2456 &amp; "'!" &amp; J2456, J2456), "")</f>
        <v/>
      </c>
    </row>
    <row r="2457">
      <c r="B2457" s="21">
        <f>IF(AND(C2457&lt;&gt;"", J2457&lt;&gt;""), HYPERLINK("#'" &amp; C2457 &amp; "'!" &amp; J2457, J2457), "")</f>
        <v/>
      </c>
    </row>
    <row r="2458">
      <c r="B2458" s="21">
        <f>IF(AND(C2458&lt;&gt;"", J2458&lt;&gt;""), HYPERLINK("#'" &amp; C2458 &amp; "'!" &amp; J2458, J2458), "")</f>
        <v/>
      </c>
    </row>
    <row r="2459">
      <c r="B2459" s="21">
        <f>IF(AND(C2459&lt;&gt;"", J2459&lt;&gt;""), HYPERLINK("#'" &amp; C2459 &amp; "'!" &amp; J2459, J2459), "")</f>
        <v/>
      </c>
    </row>
    <row r="2460">
      <c r="B2460" s="21">
        <f>IF(AND(C2460&lt;&gt;"", J2460&lt;&gt;""), HYPERLINK("#'" &amp; C2460 &amp; "'!" &amp; J2460, J2460), "")</f>
        <v/>
      </c>
    </row>
    <row r="2461">
      <c r="B2461" s="21">
        <f>IF(AND(C2461&lt;&gt;"", J2461&lt;&gt;""), HYPERLINK("#'" &amp; C2461 &amp; "'!" &amp; J2461, J2461), "")</f>
        <v/>
      </c>
    </row>
    <row r="2462">
      <c r="B2462" s="21">
        <f>IF(AND(C2462&lt;&gt;"", J2462&lt;&gt;""), HYPERLINK("#'" &amp; C2462 &amp; "'!" &amp; J2462, J2462), "")</f>
        <v/>
      </c>
    </row>
    <row r="2463">
      <c r="B2463" s="21">
        <f>IF(AND(C2463&lt;&gt;"", J2463&lt;&gt;""), HYPERLINK("#'" &amp; C2463 &amp; "'!" &amp; J2463, J2463), "")</f>
        <v/>
      </c>
    </row>
    <row r="2464">
      <c r="B2464" s="21">
        <f>IF(AND(C2464&lt;&gt;"", J2464&lt;&gt;""), HYPERLINK("#'" &amp; C2464 &amp; "'!" &amp; J2464, J2464), "")</f>
        <v/>
      </c>
    </row>
    <row r="2465">
      <c r="B2465" s="21">
        <f>IF(AND(C2465&lt;&gt;"", J2465&lt;&gt;""), HYPERLINK("#'" &amp; C2465 &amp; "'!" &amp; J2465, J2465), "")</f>
        <v/>
      </c>
    </row>
    <row r="2466">
      <c r="B2466" s="21">
        <f>IF(AND(C2466&lt;&gt;"", J2466&lt;&gt;""), HYPERLINK("#'" &amp; C2466 &amp; "'!" &amp; J2466, J2466), "")</f>
        <v/>
      </c>
    </row>
    <row r="2467">
      <c r="B2467" s="21">
        <f>IF(AND(C2467&lt;&gt;"", J2467&lt;&gt;""), HYPERLINK("#'" &amp; C2467 &amp; "'!" &amp; J2467, J2467), "")</f>
        <v/>
      </c>
    </row>
    <row r="2468">
      <c r="B2468" s="21">
        <f>IF(AND(C2468&lt;&gt;"", J2468&lt;&gt;""), HYPERLINK("#'" &amp; C2468 &amp; "'!" &amp; J2468, J2468), "")</f>
        <v/>
      </c>
    </row>
    <row r="2469">
      <c r="B2469" s="21">
        <f>IF(AND(C2469&lt;&gt;"", J2469&lt;&gt;""), HYPERLINK("#'" &amp; C2469 &amp; "'!" &amp; J2469, J2469), "")</f>
        <v/>
      </c>
    </row>
    <row r="2470">
      <c r="B2470" s="21">
        <f>IF(AND(C2470&lt;&gt;"", J2470&lt;&gt;""), HYPERLINK("#'" &amp; C2470 &amp; "'!" &amp; J2470, J2470), "")</f>
        <v/>
      </c>
    </row>
    <row r="2471">
      <c r="B2471" s="21">
        <f>IF(AND(C2471&lt;&gt;"", J2471&lt;&gt;""), HYPERLINK("#'" &amp; C2471 &amp; "'!" &amp; J2471, J2471), "")</f>
        <v/>
      </c>
    </row>
    <row r="2472">
      <c r="B2472" s="21">
        <f>IF(AND(C2472&lt;&gt;"", J2472&lt;&gt;""), HYPERLINK("#'" &amp; C2472 &amp; "'!" &amp; J2472, J2472), "")</f>
        <v/>
      </c>
    </row>
    <row r="2473">
      <c r="B2473" s="21">
        <f>IF(AND(C2473&lt;&gt;"", J2473&lt;&gt;""), HYPERLINK("#'" &amp; C2473 &amp; "'!" &amp; J2473, J2473), "")</f>
        <v/>
      </c>
    </row>
    <row r="2474">
      <c r="B2474" s="21">
        <f>IF(AND(C2474&lt;&gt;"", J2474&lt;&gt;""), HYPERLINK("#'" &amp; C2474 &amp; "'!" &amp; J2474, J2474), "")</f>
        <v/>
      </c>
    </row>
    <row r="2475">
      <c r="B2475" s="21">
        <f>IF(AND(C2475&lt;&gt;"", J2475&lt;&gt;""), HYPERLINK("#'" &amp; C2475 &amp; "'!" &amp; J2475, J2475), "")</f>
        <v/>
      </c>
    </row>
    <row r="2476">
      <c r="B2476" s="21">
        <f>IF(AND(C2476&lt;&gt;"", J2476&lt;&gt;""), HYPERLINK("#'" &amp; C2476 &amp; "'!" &amp; J2476, J2476), "")</f>
        <v/>
      </c>
    </row>
    <row r="2477">
      <c r="B2477" s="21">
        <f>IF(AND(C2477&lt;&gt;"", J2477&lt;&gt;""), HYPERLINK("#'" &amp; C2477 &amp; "'!" &amp; J2477, J2477), "")</f>
        <v/>
      </c>
    </row>
    <row r="2478">
      <c r="B2478" s="21">
        <f>IF(AND(C2478&lt;&gt;"", J2478&lt;&gt;""), HYPERLINK("#'" &amp; C2478 &amp; "'!" &amp; J2478, J2478), "")</f>
        <v/>
      </c>
    </row>
    <row r="2479">
      <c r="B2479" s="21">
        <f>IF(AND(C2479&lt;&gt;"", J2479&lt;&gt;""), HYPERLINK("#'" &amp; C2479 &amp; "'!" &amp; J2479, J2479), "")</f>
        <v/>
      </c>
    </row>
    <row r="2480">
      <c r="B2480" s="21">
        <f>IF(AND(C2480&lt;&gt;"", J2480&lt;&gt;""), HYPERLINK("#'" &amp; C2480 &amp; "'!" &amp; J2480, J2480), "")</f>
        <v/>
      </c>
    </row>
    <row r="2481">
      <c r="B2481" s="21">
        <f>IF(AND(C2481&lt;&gt;"", J2481&lt;&gt;""), HYPERLINK("#'" &amp; C2481 &amp; "'!" &amp; J2481, J2481), "")</f>
        <v/>
      </c>
    </row>
    <row r="2482">
      <c r="B2482" s="21">
        <f>IF(AND(C2482&lt;&gt;"", J2482&lt;&gt;""), HYPERLINK("#'" &amp; C2482 &amp; "'!" &amp; J2482, J2482), "")</f>
        <v/>
      </c>
    </row>
    <row r="2483">
      <c r="B2483" s="21">
        <f>IF(AND(C2483&lt;&gt;"", J2483&lt;&gt;""), HYPERLINK("#'" &amp; C2483 &amp; "'!" &amp; J2483, J2483), "")</f>
        <v/>
      </c>
    </row>
    <row r="2484">
      <c r="B2484" s="21">
        <f>IF(AND(C2484&lt;&gt;"", J2484&lt;&gt;""), HYPERLINK("#'" &amp; C2484 &amp; "'!" &amp; J2484, J2484), "")</f>
        <v/>
      </c>
    </row>
    <row r="2485">
      <c r="B2485" s="21">
        <f>IF(AND(C2485&lt;&gt;"", J2485&lt;&gt;""), HYPERLINK("#'" &amp; C2485 &amp; "'!" &amp; J2485, J2485), "")</f>
        <v/>
      </c>
    </row>
    <row r="2486">
      <c r="B2486" s="21">
        <f>IF(AND(C2486&lt;&gt;"", J2486&lt;&gt;""), HYPERLINK("#'" &amp; C2486 &amp; "'!" &amp; J2486, J2486), "")</f>
        <v/>
      </c>
    </row>
    <row r="2487">
      <c r="B2487" s="21">
        <f>IF(AND(C2487&lt;&gt;"", J2487&lt;&gt;""), HYPERLINK("#'" &amp; C2487 &amp; "'!" &amp; J2487, J2487), "")</f>
        <v/>
      </c>
    </row>
    <row r="2488">
      <c r="B2488" s="21">
        <f>IF(AND(C2488&lt;&gt;"", J2488&lt;&gt;""), HYPERLINK("#'" &amp; C2488 &amp; "'!" &amp; J2488, J2488), "")</f>
        <v/>
      </c>
    </row>
    <row r="2489">
      <c r="B2489" s="21">
        <f>IF(AND(C2489&lt;&gt;"", J2489&lt;&gt;""), HYPERLINK("#'" &amp; C2489 &amp; "'!" &amp; J2489, J2489), "")</f>
        <v/>
      </c>
    </row>
    <row r="2490">
      <c r="B2490" s="21">
        <f>IF(AND(C2490&lt;&gt;"", J2490&lt;&gt;""), HYPERLINK("#'" &amp; C2490 &amp; "'!" &amp; J2490, J2490), "")</f>
        <v/>
      </c>
    </row>
    <row r="2491">
      <c r="B2491" s="21">
        <f>IF(AND(C2491&lt;&gt;"", J2491&lt;&gt;""), HYPERLINK("#'" &amp; C2491 &amp; "'!" &amp; J2491, J2491), "")</f>
        <v/>
      </c>
    </row>
    <row r="2492">
      <c r="B2492" s="21">
        <f>IF(AND(C2492&lt;&gt;"", J2492&lt;&gt;""), HYPERLINK("#'" &amp; C2492 &amp; "'!" &amp; J2492, J2492), "")</f>
        <v/>
      </c>
    </row>
    <row r="2493">
      <c r="B2493" s="21">
        <f>IF(AND(C2493&lt;&gt;"", J2493&lt;&gt;""), HYPERLINK("#'" &amp; C2493 &amp; "'!" &amp; J2493, J2493), "")</f>
        <v/>
      </c>
    </row>
    <row r="2494">
      <c r="B2494" s="21">
        <f>IF(AND(C2494&lt;&gt;"", J2494&lt;&gt;""), HYPERLINK("#'" &amp; C2494 &amp; "'!" &amp; J2494, J2494), "")</f>
        <v/>
      </c>
    </row>
    <row r="2495">
      <c r="B2495" s="21">
        <f>IF(AND(C2495&lt;&gt;"", J2495&lt;&gt;""), HYPERLINK("#'" &amp; C2495 &amp; "'!" &amp; J2495, J2495), "")</f>
        <v/>
      </c>
    </row>
    <row r="2496">
      <c r="B2496" s="21">
        <f>IF(AND(C2496&lt;&gt;"", J2496&lt;&gt;""), HYPERLINK("#'" &amp; C2496 &amp; "'!" &amp; J2496, J2496), "")</f>
        <v/>
      </c>
    </row>
    <row r="2497">
      <c r="B2497" s="21">
        <f>IF(AND(C2497&lt;&gt;"", J2497&lt;&gt;""), HYPERLINK("#'" &amp; C2497 &amp; "'!" &amp; J2497, J2497), "")</f>
        <v/>
      </c>
    </row>
    <row r="2498">
      <c r="B2498" s="21">
        <f>IF(AND(C2498&lt;&gt;"", J2498&lt;&gt;""), HYPERLINK("#'" &amp; C2498 &amp; "'!" &amp; J2498, J2498), "")</f>
        <v/>
      </c>
    </row>
    <row r="2499">
      <c r="B2499" s="21">
        <f>IF(AND(C2499&lt;&gt;"", J2499&lt;&gt;""), HYPERLINK("#'" &amp; C2499 &amp; "'!" &amp; J2499, J2499), "")</f>
        <v/>
      </c>
    </row>
    <row r="2500">
      <c r="B2500" s="21">
        <f>IF(AND(C2500&lt;&gt;"", J2500&lt;&gt;""), HYPERLINK("#'" &amp; C2500 &amp; "'!" &amp; J2500, J2500), "")</f>
        <v/>
      </c>
    </row>
    <row r="2501">
      <c r="B2501" s="21">
        <f>IF(AND(C2501&lt;&gt;"", J2501&lt;&gt;""), HYPERLINK("#'" &amp; C2501 &amp; "'!" &amp; J2501, J2501), "")</f>
        <v/>
      </c>
    </row>
    <row r="2502">
      <c r="B2502" s="21">
        <f>IF(AND(C2502&lt;&gt;"", J2502&lt;&gt;""), HYPERLINK("#'" &amp; C2502 &amp; "'!" &amp; J2502, J2502), "")</f>
        <v/>
      </c>
    </row>
    <row r="2503">
      <c r="B2503" s="21">
        <f>IF(AND(C2503&lt;&gt;"", J2503&lt;&gt;""), HYPERLINK("#'" &amp; C2503 &amp; "'!" &amp; J2503, J2503), "")</f>
        <v/>
      </c>
    </row>
    <row r="2504">
      <c r="B2504" s="21">
        <f>IF(AND(C2504&lt;&gt;"", J2504&lt;&gt;""), HYPERLINK("#'" &amp; C2504 &amp; "'!" &amp; J2504, J2504), "")</f>
        <v/>
      </c>
    </row>
    <row r="2505">
      <c r="B2505" s="21">
        <f>IF(AND(C2505&lt;&gt;"", J2505&lt;&gt;""), HYPERLINK("#'" &amp; C2505 &amp; "'!" &amp; J2505, J2505), "")</f>
        <v/>
      </c>
    </row>
    <row r="2506">
      <c r="B2506" s="21">
        <f>IF(AND(C2506&lt;&gt;"", J2506&lt;&gt;""), HYPERLINK("#'" &amp; C2506 &amp; "'!" &amp; J2506, J2506), "")</f>
        <v/>
      </c>
    </row>
    <row r="2507">
      <c r="B2507" s="21">
        <f>IF(AND(C2507&lt;&gt;"", J2507&lt;&gt;""), HYPERLINK("#'" &amp; C2507 &amp; "'!" &amp; J2507, J2507), "")</f>
        <v/>
      </c>
    </row>
    <row r="2508">
      <c r="B2508" s="21">
        <f>IF(AND(C2508&lt;&gt;"", J2508&lt;&gt;""), HYPERLINK("#'" &amp; C2508 &amp; "'!" &amp; J2508, J2508), "")</f>
        <v/>
      </c>
    </row>
    <row r="2509">
      <c r="B2509" s="21">
        <f>IF(AND(C2509&lt;&gt;"", J2509&lt;&gt;""), HYPERLINK("#'" &amp; C2509 &amp; "'!" &amp; J2509, J2509), "")</f>
        <v/>
      </c>
    </row>
    <row r="2510">
      <c r="B2510" s="21">
        <f>IF(AND(C2510&lt;&gt;"", J2510&lt;&gt;""), HYPERLINK("#'" &amp; C2510 &amp; "'!" &amp; J2510, J2510), "")</f>
        <v/>
      </c>
    </row>
    <row r="2511">
      <c r="B2511" s="21">
        <f>IF(AND(C2511&lt;&gt;"", J2511&lt;&gt;""), HYPERLINK("#'" &amp; C2511 &amp; "'!" &amp; J2511, J2511), "")</f>
        <v/>
      </c>
    </row>
    <row r="2512">
      <c r="B2512" s="21">
        <f>IF(AND(C2512&lt;&gt;"", J2512&lt;&gt;""), HYPERLINK("#'" &amp; C2512 &amp; "'!" &amp; J2512, J2512), "")</f>
        <v/>
      </c>
    </row>
    <row r="2513">
      <c r="B2513" s="21">
        <f>IF(AND(C2513&lt;&gt;"", J2513&lt;&gt;""), HYPERLINK("#'" &amp; C2513 &amp; "'!" &amp; J2513, J2513), "")</f>
        <v/>
      </c>
    </row>
    <row r="2514">
      <c r="B2514" s="21">
        <f>IF(AND(C2514&lt;&gt;"", J2514&lt;&gt;""), HYPERLINK("#'" &amp; C2514 &amp; "'!" &amp; J2514, J2514), "")</f>
        <v/>
      </c>
    </row>
    <row r="2515">
      <c r="B2515" s="21">
        <f>IF(AND(C2515&lt;&gt;"", J2515&lt;&gt;""), HYPERLINK("#'" &amp; C2515 &amp; "'!" &amp; J2515, J2515), "")</f>
        <v/>
      </c>
    </row>
    <row r="2516">
      <c r="B2516" s="21">
        <f>IF(AND(C2516&lt;&gt;"", J2516&lt;&gt;""), HYPERLINK("#'" &amp; C2516 &amp; "'!" &amp; J2516, J2516), "")</f>
        <v/>
      </c>
    </row>
    <row r="2517">
      <c r="B2517" s="21">
        <f>IF(AND(C2517&lt;&gt;"", J2517&lt;&gt;""), HYPERLINK("#'" &amp; C2517 &amp; "'!" &amp; J2517, J2517), "")</f>
        <v/>
      </c>
    </row>
    <row r="2518">
      <c r="B2518" s="21">
        <f>IF(AND(C2518&lt;&gt;"", J2518&lt;&gt;""), HYPERLINK("#'" &amp; C2518 &amp; "'!" &amp; J2518, J2518), "")</f>
        <v/>
      </c>
    </row>
    <row r="2519">
      <c r="B2519" s="21">
        <f>IF(AND(C2519&lt;&gt;"", J2519&lt;&gt;""), HYPERLINK("#'" &amp; C2519 &amp; "'!" &amp; J2519, J2519), "")</f>
        <v/>
      </c>
    </row>
    <row r="2520">
      <c r="B2520" s="21">
        <f>IF(AND(C2520&lt;&gt;"", J2520&lt;&gt;""), HYPERLINK("#'" &amp; C2520 &amp; "'!" &amp; J2520, J2520), "")</f>
        <v/>
      </c>
    </row>
    <row r="2521">
      <c r="B2521" s="21">
        <f>IF(AND(C2521&lt;&gt;"", J2521&lt;&gt;""), HYPERLINK("#'" &amp; C2521 &amp; "'!" &amp; J2521, J2521), "")</f>
        <v/>
      </c>
    </row>
    <row r="2522">
      <c r="B2522" s="21">
        <f>IF(AND(C2522&lt;&gt;"", J2522&lt;&gt;""), HYPERLINK("#'" &amp; C2522 &amp; "'!" &amp; J2522, J2522), "")</f>
        <v/>
      </c>
    </row>
    <row r="2523">
      <c r="B2523" s="21">
        <f>IF(AND(C2523&lt;&gt;"", J2523&lt;&gt;""), HYPERLINK("#'" &amp; C2523 &amp; "'!" &amp; J2523, J2523), "")</f>
        <v/>
      </c>
    </row>
    <row r="2524">
      <c r="B2524" s="21">
        <f>IF(AND(C2524&lt;&gt;"", J2524&lt;&gt;""), HYPERLINK("#'" &amp; C2524 &amp; "'!" &amp; J2524, J2524), "")</f>
        <v/>
      </c>
    </row>
    <row r="2525">
      <c r="B2525" s="21">
        <f>IF(AND(C2525&lt;&gt;"", J2525&lt;&gt;""), HYPERLINK("#'" &amp; C2525 &amp; "'!" &amp; J2525, J2525), "")</f>
        <v/>
      </c>
    </row>
    <row r="2526">
      <c r="B2526" s="21">
        <f>IF(AND(C2526&lt;&gt;"", J2526&lt;&gt;""), HYPERLINK("#'" &amp; C2526 &amp; "'!" &amp; J2526, J2526), "")</f>
        <v/>
      </c>
    </row>
    <row r="2527">
      <c r="B2527" s="21">
        <f>IF(AND(C2527&lt;&gt;"", J2527&lt;&gt;""), HYPERLINK("#'" &amp; C2527 &amp; "'!" &amp; J2527, J2527), "")</f>
        <v/>
      </c>
    </row>
    <row r="2528">
      <c r="B2528" s="21">
        <f>IF(AND(C2528&lt;&gt;"", J2528&lt;&gt;""), HYPERLINK("#'" &amp; C2528 &amp; "'!" &amp; J2528, J2528), "")</f>
        <v/>
      </c>
    </row>
    <row r="2529">
      <c r="B2529" s="21">
        <f>IF(AND(C2529&lt;&gt;"", J2529&lt;&gt;""), HYPERLINK("#'" &amp; C2529 &amp; "'!" &amp; J2529, J2529), "")</f>
        <v/>
      </c>
    </row>
    <row r="2530">
      <c r="B2530" s="21">
        <f>IF(AND(C2530&lt;&gt;"", J2530&lt;&gt;""), HYPERLINK("#'" &amp; C2530 &amp; "'!" &amp; J2530, J2530), "")</f>
        <v/>
      </c>
    </row>
    <row r="2531">
      <c r="B2531" s="21">
        <f>IF(AND(C2531&lt;&gt;"", J2531&lt;&gt;""), HYPERLINK("#'" &amp; C2531 &amp; "'!" &amp; J2531, J2531), "")</f>
        <v/>
      </c>
    </row>
    <row r="2532">
      <c r="B2532" s="21">
        <f>IF(AND(C2532&lt;&gt;"", J2532&lt;&gt;""), HYPERLINK("#'" &amp; C2532 &amp; "'!" &amp; J2532, J2532), "")</f>
        <v/>
      </c>
    </row>
    <row r="2533">
      <c r="B2533" s="21">
        <f>IF(AND(C2533&lt;&gt;"", J2533&lt;&gt;""), HYPERLINK("#'" &amp; C2533 &amp; "'!" &amp; J2533, J2533), "")</f>
        <v/>
      </c>
    </row>
    <row r="2534">
      <c r="B2534" s="21">
        <f>IF(AND(C2534&lt;&gt;"", J2534&lt;&gt;""), HYPERLINK("#'" &amp; C2534 &amp; "'!" &amp; J2534, J2534), "")</f>
        <v/>
      </c>
    </row>
    <row r="2535">
      <c r="B2535" s="21">
        <f>IF(AND(C2535&lt;&gt;"", J2535&lt;&gt;""), HYPERLINK("#'" &amp; C2535 &amp; "'!" &amp; J2535, J2535), "")</f>
        <v/>
      </c>
    </row>
    <row r="2536">
      <c r="B2536" s="21">
        <f>IF(AND(C2536&lt;&gt;"", J2536&lt;&gt;""), HYPERLINK("#'" &amp; C2536 &amp; "'!" &amp; J2536, J2536), "")</f>
        <v/>
      </c>
    </row>
    <row r="2537">
      <c r="B2537" s="21">
        <f>IF(AND(C2537&lt;&gt;"", J2537&lt;&gt;""), HYPERLINK("#'" &amp; C2537 &amp; "'!" &amp; J2537, J2537), "")</f>
        <v/>
      </c>
    </row>
    <row r="2538">
      <c r="B2538" s="21">
        <f>IF(AND(C2538&lt;&gt;"", J2538&lt;&gt;""), HYPERLINK("#'" &amp; C2538 &amp; "'!" &amp; J2538, J2538), "")</f>
        <v/>
      </c>
    </row>
    <row r="2539">
      <c r="B2539" s="21">
        <f>IF(AND(C2539&lt;&gt;"", J2539&lt;&gt;""), HYPERLINK("#'" &amp; C2539 &amp; "'!" &amp; J2539, J2539), "")</f>
        <v/>
      </c>
    </row>
    <row r="2540">
      <c r="B2540" s="21">
        <f>IF(AND(C2540&lt;&gt;"", J2540&lt;&gt;""), HYPERLINK("#'" &amp; C2540 &amp; "'!" &amp; J2540, J2540), "")</f>
        <v/>
      </c>
    </row>
    <row r="2541">
      <c r="B2541" s="21">
        <f>IF(AND(C2541&lt;&gt;"", J2541&lt;&gt;""), HYPERLINK("#'" &amp; C2541 &amp; "'!" &amp; J2541, J2541), "")</f>
        <v/>
      </c>
    </row>
    <row r="2542">
      <c r="B2542" s="21">
        <f>IF(AND(C2542&lt;&gt;"", J2542&lt;&gt;""), HYPERLINK("#'" &amp; C2542 &amp; "'!" &amp; J2542, J2542), "")</f>
        <v/>
      </c>
    </row>
    <row r="2543">
      <c r="B2543" s="21">
        <f>IF(AND(C2543&lt;&gt;"", J2543&lt;&gt;""), HYPERLINK("#'" &amp; C2543 &amp; "'!" &amp; J2543, J2543), "")</f>
        <v/>
      </c>
    </row>
    <row r="2544">
      <c r="B2544" s="21">
        <f>IF(AND(C2544&lt;&gt;"", J2544&lt;&gt;""), HYPERLINK("#'" &amp; C2544 &amp; "'!" &amp; J2544, J2544), "")</f>
        <v/>
      </c>
    </row>
    <row r="2545">
      <c r="B2545" s="21">
        <f>IF(AND(C2545&lt;&gt;"", J2545&lt;&gt;""), HYPERLINK("#'" &amp; C2545 &amp; "'!" &amp; J2545, J2545), "")</f>
        <v/>
      </c>
    </row>
    <row r="2546">
      <c r="B2546" s="21">
        <f>IF(AND(C2546&lt;&gt;"", J2546&lt;&gt;""), HYPERLINK("#'" &amp; C2546 &amp; "'!" &amp; J2546, J2546), "")</f>
        <v/>
      </c>
    </row>
    <row r="2547">
      <c r="B2547" s="21">
        <f>IF(AND(C2547&lt;&gt;"", J2547&lt;&gt;""), HYPERLINK("#'" &amp; C2547 &amp; "'!" &amp; J2547, J2547), "")</f>
        <v/>
      </c>
    </row>
    <row r="2548">
      <c r="B2548" s="21">
        <f>IF(AND(C2548&lt;&gt;"", J2548&lt;&gt;""), HYPERLINK("#'" &amp; C2548 &amp; "'!" &amp; J2548, J2548), "")</f>
        <v/>
      </c>
    </row>
    <row r="2549">
      <c r="B2549" s="21">
        <f>IF(AND(C2549&lt;&gt;"", J2549&lt;&gt;""), HYPERLINK("#'" &amp; C2549 &amp; "'!" &amp; J2549, J2549), "")</f>
        <v/>
      </c>
    </row>
    <row r="2550">
      <c r="B2550" s="21">
        <f>IF(AND(C2550&lt;&gt;"", J2550&lt;&gt;""), HYPERLINK("#'" &amp; C2550 &amp; "'!" &amp; J2550, J2550), "")</f>
        <v/>
      </c>
    </row>
    <row r="2551">
      <c r="B2551" s="21">
        <f>IF(AND(C2551&lt;&gt;"", J2551&lt;&gt;""), HYPERLINK("#'" &amp; C2551 &amp; "'!" &amp; J2551, J2551), "")</f>
        <v/>
      </c>
    </row>
    <row r="2552">
      <c r="B2552" s="21">
        <f>IF(AND(C2552&lt;&gt;"", J2552&lt;&gt;""), HYPERLINK("#'" &amp; C2552 &amp; "'!" &amp; J2552, J2552), "")</f>
        <v/>
      </c>
    </row>
    <row r="2553">
      <c r="B2553" s="21">
        <f>IF(AND(C2553&lt;&gt;"", J2553&lt;&gt;""), HYPERLINK("#'" &amp; C2553 &amp; "'!" &amp; J2553, J2553), "")</f>
        <v/>
      </c>
    </row>
    <row r="2554">
      <c r="B2554" s="21">
        <f>IF(AND(C2554&lt;&gt;"", J2554&lt;&gt;""), HYPERLINK("#'" &amp; C2554 &amp; "'!" &amp; J2554, J2554), "")</f>
        <v/>
      </c>
    </row>
    <row r="2555">
      <c r="B2555" s="21">
        <f>IF(AND(C2555&lt;&gt;"", J2555&lt;&gt;""), HYPERLINK("#'" &amp; C2555 &amp; "'!" &amp; J2555, J2555), "")</f>
        <v/>
      </c>
    </row>
    <row r="2556">
      <c r="B2556" s="21">
        <f>IF(AND(C2556&lt;&gt;"", J2556&lt;&gt;""), HYPERLINK("#'" &amp; C2556 &amp; "'!" &amp; J2556, J2556), "")</f>
        <v/>
      </c>
    </row>
    <row r="2557">
      <c r="B2557" s="21">
        <f>IF(AND(C2557&lt;&gt;"", J2557&lt;&gt;""), HYPERLINK("#'" &amp; C2557 &amp; "'!" &amp; J2557, J2557), "")</f>
        <v/>
      </c>
    </row>
    <row r="2558">
      <c r="B2558" s="21">
        <f>IF(AND(C2558&lt;&gt;"", J2558&lt;&gt;""), HYPERLINK("#'" &amp; C2558 &amp; "'!" &amp; J2558, J2558), "")</f>
        <v/>
      </c>
    </row>
    <row r="2559">
      <c r="B2559" s="21">
        <f>IF(AND(C2559&lt;&gt;"", J2559&lt;&gt;""), HYPERLINK("#'" &amp; C2559 &amp; "'!" &amp; J2559, J2559), "")</f>
        <v/>
      </c>
    </row>
    <row r="2560">
      <c r="B2560" s="21">
        <f>IF(AND(C2560&lt;&gt;"", J2560&lt;&gt;""), HYPERLINK("#'" &amp; C2560 &amp; "'!" &amp; J2560, J2560), "")</f>
        <v/>
      </c>
    </row>
    <row r="2561">
      <c r="B2561" s="21">
        <f>IF(AND(C2561&lt;&gt;"", J2561&lt;&gt;""), HYPERLINK("#'" &amp; C2561 &amp; "'!" &amp; J2561, J2561), "")</f>
        <v/>
      </c>
    </row>
    <row r="2562">
      <c r="B2562" s="21">
        <f>IF(AND(C2562&lt;&gt;"", J2562&lt;&gt;""), HYPERLINK("#'" &amp; C2562 &amp; "'!" &amp; J2562, J2562), "")</f>
        <v/>
      </c>
    </row>
    <row r="2563">
      <c r="B2563" s="21">
        <f>IF(AND(C2563&lt;&gt;"", J2563&lt;&gt;""), HYPERLINK("#'" &amp; C2563 &amp; "'!" &amp; J2563, J2563), "")</f>
        <v/>
      </c>
    </row>
    <row r="2564">
      <c r="B2564" s="21">
        <f>IF(AND(C2564&lt;&gt;"", J2564&lt;&gt;""), HYPERLINK("#'" &amp; C2564 &amp; "'!" &amp; J2564, J2564), "")</f>
        <v/>
      </c>
    </row>
    <row r="2565">
      <c r="B2565" s="21">
        <f>IF(AND(C2565&lt;&gt;"", J2565&lt;&gt;""), HYPERLINK("#'" &amp; C2565 &amp; "'!" &amp; J2565, J2565), "")</f>
        <v/>
      </c>
    </row>
    <row r="2566">
      <c r="B2566" s="21">
        <f>IF(AND(C2566&lt;&gt;"", J2566&lt;&gt;""), HYPERLINK("#'" &amp; C2566 &amp; "'!" &amp; J2566, J2566), "")</f>
        <v/>
      </c>
    </row>
    <row r="2567">
      <c r="B2567" s="21">
        <f>IF(AND(C2567&lt;&gt;"", J2567&lt;&gt;""), HYPERLINK("#'" &amp; C2567 &amp; "'!" &amp; J2567, J2567), "")</f>
        <v/>
      </c>
    </row>
    <row r="2568">
      <c r="B2568" s="21">
        <f>IF(AND(C2568&lt;&gt;"", J2568&lt;&gt;""), HYPERLINK("#'" &amp; C2568 &amp; "'!" &amp; J2568, J2568), "")</f>
        <v/>
      </c>
    </row>
    <row r="2569">
      <c r="B2569" s="21">
        <f>IF(AND(C2569&lt;&gt;"", J2569&lt;&gt;""), HYPERLINK("#'" &amp; C2569 &amp; "'!" &amp; J2569, J2569), "")</f>
        <v/>
      </c>
    </row>
    <row r="2570">
      <c r="B2570" s="21">
        <f>IF(AND(C2570&lt;&gt;"", J2570&lt;&gt;""), HYPERLINK("#'" &amp; C2570 &amp; "'!" &amp; J2570, J2570), "")</f>
        <v/>
      </c>
    </row>
    <row r="2571">
      <c r="B2571" s="21">
        <f>IF(AND(C2571&lt;&gt;"", J2571&lt;&gt;""), HYPERLINK("#'" &amp; C2571 &amp; "'!" &amp; J2571, J2571), "")</f>
        <v/>
      </c>
    </row>
    <row r="2572">
      <c r="B2572" s="21">
        <f>IF(AND(C2572&lt;&gt;"", J2572&lt;&gt;""), HYPERLINK("#'" &amp; C2572 &amp; "'!" &amp; J2572, J2572), "")</f>
        <v/>
      </c>
    </row>
    <row r="2573">
      <c r="B2573" s="21">
        <f>IF(AND(C2573&lt;&gt;"", J2573&lt;&gt;""), HYPERLINK("#'" &amp; C2573 &amp; "'!" &amp; J2573, J2573), "")</f>
        <v/>
      </c>
    </row>
    <row r="2574">
      <c r="B2574" s="21">
        <f>IF(AND(C2574&lt;&gt;"", J2574&lt;&gt;""), HYPERLINK("#'" &amp; C2574 &amp; "'!" &amp; J2574, J2574), "")</f>
        <v/>
      </c>
    </row>
    <row r="2575">
      <c r="B2575" s="21">
        <f>IF(AND(C2575&lt;&gt;"", J2575&lt;&gt;""), HYPERLINK("#'" &amp; C2575 &amp; "'!" &amp; J2575, J2575), "")</f>
        <v/>
      </c>
    </row>
    <row r="2576">
      <c r="B2576" s="21">
        <f>IF(AND(C2576&lt;&gt;"", J2576&lt;&gt;""), HYPERLINK("#'" &amp; C2576 &amp; "'!" &amp; J2576, J2576), "")</f>
        <v/>
      </c>
    </row>
    <row r="2577">
      <c r="B2577" s="21">
        <f>IF(AND(C2577&lt;&gt;"", J2577&lt;&gt;""), HYPERLINK("#'" &amp; C2577 &amp; "'!" &amp; J2577, J2577), "")</f>
        <v/>
      </c>
    </row>
    <row r="2578">
      <c r="B2578" s="21">
        <f>IF(AND(C2578&lt;&gt;"", J2578&lt;&gt;""), HYPERLINK("#'" &amp; C2578 &amp; "'!" &amp; J2578, J2578), "")</f>
        <v/>
      </c>
    </row>
    <row r="2579">
      <c r="B2579" s="21">
        <f>IF(AND(C2579&lt;&gt;"", J2579&lt;&gt;""), HYPERLINK("#'" &amp; C2579 &amp; "'!" &amp; J2579, J2579), "")</f>
        <v/>
      </c>
    </row>
    <row r="2580">
      <c r="B2580" s="21">
        <f>IF(AND(C2580&lt;&gt;"", J2580&lt;&gt;""), HYPERLINK("#'" &amp; C2580 &amp; "'!" &amp; J2580, J2580), "")</f>
        <v/>
      </c>
    </row>
    <row r="2581">
      <c r="B2581" s="21">
        <f>IF(AND(C2581&lt;&gt;"", J2581&lt;&gt;""), HYPERLINK("#'" &amp; C2581 &amp; "'!" &amp; J2581, J2581), "")</f>
        <v/>
      </c>
    </row>
    <row r="2582">
      <c r="B2582" s="21">
        <f>IF(AND(C2582&lt;&gt;"", J2582&lt;&gt;""), HYPERLINK("#'" &amp; C2582 &amp; "'!" &amp; J2582, J2582), "")</f>
        <v/>
      </c>
    </row>
    <row r="2583">
      <c r="B2583" s="21">
        <f>IF(AND(C2583&lt;&gt;"", J2583&lt;&gt;""), HYPERLINK("#'" &amp; C2583 &amp; "'!" &amp; J2583, J2583), "")</f>
        <v/>
      </c>
    </row>
    <row r="2584">
      <c r="B2584" s="21">
        <f>IF(AND(C2584&lt;&gt;"", J2584&lt;&gt;""), HYPERLINK("#'" &amp; C2584 &amp; "'!" &amp; J2584, J2584), "")</f>
        <v/>
      </c>
    </row>
    <row r="2585">
      <c r="B2585" s="21">
        <f>IF(AND(C2585&lt;&gt;"", J2585&lt;&gt;""), HYPERLINK("#'" &amp; C2585 &amp; "'!" &amp; J2585, J2585), "")</f>
        <v/>
      </c>
    </row>
    <row r="2586">
      <c r="B2586" s="21">
        <f>IF(AND(C2586&lt;&gt;"", J2586&lt;&gt;""), HYPERLINK("#'" &amp; C2586 &amp; "'!" &amp; J2586, J2586), "")</f>
        <v/>
      </c>
    </row>
    <row r="2587">
      <c r="B2587" s="21">
        <f>IF(AND(C2587&lt;&gt;"", J2587&lt;&gt;""), HYPERLINK("#'" &amp; C2587 &amp; "'!" &amp; J2587, J2587), "")</f>
        <v/>
      </c>
    </row>
    <row r="2588">
      <c r="B2588" s="21">
        <f>IF(AND(C2588&lt;&gt;"", J2588&lt;&gt;""), HYPERLINK("#'" &amp; C2588 &amp; "'!" &amp; J2588, J2588), "")</f>
        <v/>
      </c>
    </row>
    <row r="2589">
      <c r="B2589" s="21">
        <f>IF(AND(C2589&lt;&gt;"", J2589&lt;&gt;""), HYPERLINK("#'" &amp; C2589 &amp; "'!" &amp; J2589, J2589), "")</f>
        <v/>
      </c>
    </row>
    <row r="2590">
      <c r="B2590" s="21">
        <f>IF(AND(C2590&lt;&gt;"", J2590&lt;&gt;""), HYPERLINK("#'" &amp; C2590 &amp; "'!" &amp; J2590, J2590), "")</f>
        <v/>
      </c>
    </row>
    <row r="2591">
      <c r="B2591" s="21">
        <f>IF(AND(C2591&lt;&gt;"", J2591&lt;&gt;""), HYPERLINK("#'" &amp; C2591 &amp; "'!" &amp; J2591, J2591), "")</f>
        <v/>
      </c>
    </row>
    <row r="2592">
      <c r="B2592" s="21">
        <f>IF(AND(C2592&lt;&gt;"", J2592&lt;&gt;""), HYPERLINK("#'" &amp; C2592 &amp; "'!" &amp; J2592, J2592), "")</f>
        <v/>
      </c>
    </row>
    <row r="2593">
      <c r="B2593" s="21">
        <f>IF(AND(C2593&lt;&gt;"", J2593&lt;&gt;""), HYPERLINK("#'" &amp; C2593 &amp; "'!" &amp; J2593, J2593), "")</f>
        <v/>
      </c>
    </row>
    <row r="2594">
      <c r="B2594" s="21">
        <f>IF(AND(C2594&lt;&gt;"", J2594&lt;&gt;""), HYPERLINK("#'" &amp; C2594 &amp; "'!" &amp; J2594, J2594), "")</f>
        <v/>
      </c>
    </row>
    <row r="2595">
      <c r="B2595" s="21">
        <f>IF(AND(C2595&lt;&gt;"", J2595&lt;&gt;""), HYPERLINK("#'" &amp; C2595 &amp; "'!" &amp; J2595, J2595), "")</f>
        <v/>
      </c>
    </row>
    <row r="2596">
      <c r="B2596" s="21">
        <f>IF(AND(C2596&lt;&gt;"", J2596&lt;&gt;""), HYPERLINK("#'" &amp; C2596 &amp; "'!" &amp; J2596, J2596), "")</f>
        <v/>
      </c>
    </row>
    <row r="2597">
      <c r="B2597" s="21">
        <f>IF(AND(C2597&lt;&gt;"", J2597&lt;&gt;""), HYPERLINK("#'" &amp; C2597 &amp; "'!" &amp; J2597, J2597), "")</f>
        <v/>
      </c>
    </row>
    <row r="2598">
      <c r="B2598" s="21">
        <f>IF(AND(C2598&lt;&gt;"", J2598&lt;&gt;""), HYPERLINK("#'" &amp; C2598 &amp; "'!" &amp; J2598, J2598), "")</f>
        <v/>
      </c>
    </row>
    <row r="2599">
      <c r="B2599" s="21">
        <f>IF(AND(C2599&lt;&gt;"", J2599&lt;&gt;""), HYPERLINK("#'" &amp; C2599 &amp; "'!" &amp; J2599, J2599), "")</f>
        <v/>
      </c>
    </row>
    <row r="2600">
      <c r="B2600" s="21">
        <f>IF(AND(C2600&lt;&gt;"", J2600&lt;&gt;""), HYPERLINK("#'" &amp; C2600 &amp; "'!" &amp; J2600, J2600), "")</f>
        <v/>
      </c>
    </row>
    <row r="2601">
      <c r="B2601" s="21">
        <f>IF(AND(C2601&lt;&gt;"", J2601&lt;&gt;""), HYPERLINK("#'" &amp; C2601 &amp; "'!" &amp; J2601, J2601), "")</f>
        <v/>
      </c>
    </row>
    <row r="2602">
      <c r="B2602" s="21">
        <f>IF(AND(C2602&lt;&gt;"", J2602&lt;&gt;""), HYPERLINK("#'" &amp; C2602 &amp; "'!" &amp; J2602, J2602), "")</f>
        <v/>
      </c>
    </row>
    <row r="2603">
      <c r="B2603" s="21">
        <f>IF(AND(C2603&lt;&gt;"", J2603&lt;&gt;""), HYPERLINK("#'" &amp; C2603 &amp; "'!" &amp; J2603, J2603), "")</f>
        <v/>
      </c>
    </row>
    <row r="2604">
      <c r="B2604" s="21">
        <f>IF(AND(C2604&lt;&gt;"", J2604&lt;&gt;""), HYPERLINK("#'" &amp; C2604 &amp; "'!" &amp; J2604, J2604), "")</f>
        <v/>
      </c>
    </row>
    <row r="2605">
      <c r="B2605" s="21">
        <f>IF(AND(C2605&lt;&gt;"", J2605&lt;&gt;""), HYPERLINK("#'" &amp; C2605 &amp; "'!" &amp; J2605, J2605), "")</f>
        <v/>
      </c>
    </row>
    <row r="2606">
      <c r="B2606" s="21">
        <f>IF(AND(C2606&lt;&gt;"", J2606&lt;&gt;""), HYPERLINK("#'" &amp; C2606 &amp; "'!" &amp; J2606, J2606), "")</f>
        <v/>
      </c>
    </row>
    <row r="2607">
      <c r="B2607" s="21">
        <f>IF(AND(C2607&lt;&gt;"", J2607&lt;&gt;""), HYPERLINK("#'" &amp; C2607 &amp; "'!" &amp; J2607, J2607), "")</f>
        <v/>
      </c>
    </row>
    <row r="2608">
      <c r="B2608" s="21">
        <f>IF(AND(C2608&lt;&gt;"", J2608&lt;&gt;""), HYPERLINK("#'" &amp; C2608 &amp; "'!" &amp; J2608, J2608), "")</f>
        <v/>
      </c>
    </row>
    <row r="2609">
      <c r="B2609" s="21">
        <f>IF(AND(C2609&lt;&gt;"", J2609&lt;&gt;""), HYPERLINK("#'" &amp; C2609 &amp; "'!" &amp; J2609, J2609), "")</f>
        <v/>
      </c>
    </row>
    <row r="2610">
      <c r="B2610" s="21">
        <f>IF(AND(C2610&lt;&gt;"", J2610&lt;&gt;""), HYPERLINK("#'" &amp; C2610 &amp; "'!" &amp; J2610, J2610), "")</f>
        <v/>
      </c>
    </row>
    <row r="2611">
      <c r="B2611" s="21">
        <f>IF(AND(C2611&lt;&gt;"", J2611&lt;&gt;""), HYPERLINK("#'" &amp; C2611 &amp; "'!" &amp; J2611, J2611), "")</f>
        <v/>
      </c>
    </row>
    <row r="2612">
      <c r="B2612" s="21">
        <f>IF(AND(C2612&lt;&gt;"", J2612&lt;&gt;""), HYPERLINK("#'" &amp; C2612 &amp; "'!" &amp; J2612, J2612), "")</f>
        <v/>
      </c>
    </row>
    <row r="2613">
      <c r="B2613" s="21">
        <f>IF(AND(C2613&lt;&gt;"", J2613&lt;&gt;""), HYPERLINK("#'" &amp; C2613 &amp; "'!" &amp; J2613, J2613), "")</f>
        <v/>
      </c>
    </row>
    <row r="2614">
      <c r="B2614" s="21">
        <f>IF(AND(C2614&lt;&gt;"", J2614&lt;&gt;""), HYPERLINK("#'" &amp; C2614 &amp; "'!" &amp; J2614, J2614), "")</f>
        <v/>
      </c>
    </row>
    <row r="2615">
      <c r="B2615" s="21">
        <f>IF(AND(C2615&lt;&gt;"", J2615&lt;&gt;""), HYPERLINK("#'" &amp; C2615 &amp; "'!" &amp; J2615, J2615), "")</f>
        <v/>
      </c>
    </row>
    <row r="2616">
      <c r="B2616" s="21">
        <f>IF(AND(C2616&lt;&gt;"", J2616&lt;&gt;""), HYPERLINK("#'" &amp; C2616 &amp; "'!" &amp; J2616, J2616), "")</f>
        <v/>
      </c>
    </row>
    <row r="2617">
      <c r="B2617" s="21">
        <f>IF(AND(C2617&lt;&gt;"", J2617&lt;&gt;""), HYPERLINK("#'" &amp; C2617 &amp; "'!" &amp; J2617, J2617), "")</f>
        <v/>
      </c>
    </row>
    <row r="2618">
      <c r="B2618" s="21">
        <f>IF(AND(C2618&lt;&gt;"", J2618&lt;&gt;""), HYPERLINK("#'" &amp; C2618 &amp; "'!" &amp; J2618, J2618), "")</f>
        <v/>
      </c>
    </row>
    <row r="2619">
      <c r="B2619" s="21">
        <f>IF(AND(C2619&lt;&gt;"", J2619&lt;&gt;""), HYPERLINK("#'" &amp; C2619 &amp; "'!" &amp; J2619, J2619), "")</f>
        <v/>
      </c>
    </row>
    <row r="2620">
      <c r="B2620" s="21">
        <f>IF(AND(C2620&lt;&gt;"", J2620&lt;&gt;""), HYPERLINK("#'" &amp; C2620 &amp; "'!" &amp; J2620, J2620), "")</f>
        <v/>
      </c>
    </row>
    <row r="2621">
      <c r="B2621" s="21">
        <f>IF(AND(C2621&lt;&gt;"", J2621&lt;&gt;""), HYPERLINK("#'" &amp; C2621 &amp; "'!" &amp; J2621, J2621), "")</f>
        <v/>
      </c>
    </row>
    <row r="2622">
      <c r="B2622" s="21">
        <f>IF(AND(C2622&lt;&gt;"", J2622&lt;&gt;""), HYPERLINK("#'" &amp; C2622 &amp; "'!" &amp; J2622, J2622), "")</f>
        <v/>
      </c>
    </row>
    <row r="2623">
      <c r="B2623" s="21">
        <f>IF(AND(C2623&lt;&gt;"", J2623&lt;&gt;""), HYPERLINK("#'" &amp; C2623 &amp; "'!" &amp; J2623, J2623), "")</f>
        <v/>
      </c>
    </row>
    <row r="2624">
      <c r="B2624" s="21">
        <f>IF(AND(C2624&lt;&gt;"", J2624&lt;&gt;""), HYPERLINK("#'" &amp; C2624 &amp; "'!" &amp; J2624, J2624), "")</f>
        <v/>
      </c>
    </row>
    <row r="2625">
      <c r="B2625" s="21">
        <f>IF(AND(C2625&lt;&gt;"", J2625&lt;&gt;""), HYPERLINK("#'" &amp; C2625 &amp; "'!" &amp; J2625, J2625), "")</f>
        <v/>
      </c>
    </row>
    <row r="2626">
      <c r="B2626" s="21">
        <f>IF(AND(C2626&lt;&gt;"", J2626&lt;&gt;""), HYPERLINK("#'" &amp; C2626 &amp; "'!" &amp; J2626, J2626), "")</f>
        <v/>
      </c>
    </row>
    <row r="2627">
      <c r="B2627" s="21">
        <f>IF(AND(C2627&lt;&gt;"", J2627&lt;&gt;""), HYPERLINK("#'" &amp; C2627 &amp; "'!" &amp; J2627, J2627), "")</f>
        <v/>
      </c>
    </row>
    <row r="2628">
      <c r="B2628" s="21">
        <f>IF(AND(C2628&lt;&gt;"", J2628&lt;&gt;""), HYPERLINK("#'" &amp; C2628 &amp; "'!" &amp; J2628, J2628), "")</f>
        <v/>
      </c>
    </row>
    <row r="2629">
      <c r="B2629" s="21">
        <f>IF(AND(C2629&lt;&gt;"", J2629&lt;&gt;""), HYPERLINK("#'" &amp; C2629 &amp; "'!" &amp; J2629, J2629), "")</f>
        <v/>
      </c>
    </row>
    <row r="2630">
      <c r="B2630" s="21">
        <f>IF(AND(C2630&lt;&gt;"", J2630&lt;&gt;""), HYPERLINK("#'" &amp; C2630 &amp; "'!" &amp; J2630, J2630), "")</f>
        <v/>
      </c>
    </row>
    <row r="2631">
      <c r="B2631" s="21">
        <f>IF(AND(C2631&lt;&gt;"", J2631&lt;&gt;""), HYPERLINK("#'" &amp; C2631 &amp; "'!" &amp; J2631, J2631), "")</f>
        <v/>
      </c>
    </row>
    <row r="2632">
      <c r="B2632" s="21">
        <f>IF(AND(C2632&lt;&gt;"", J2632&lt;&gt;""), HYPERLINK("#'" &amp; C2632 &amp; "'!" &amp; J2632, J2632), "")</f>
        <v/>
      </c>
    </row>
    <row r="2633">
      <c r="B2633" s="21">
        <f>IF(AND(C2633&lt;&gt;"", J2633&lt;&gt;""), HYPERLINK("#'" &amp; C2633 &amp; "'!" &amp; J2633, J2633), "")</f>
        <v/>
      </c>
    </row>
    <row r="2634">
      <c r="B2634" s="21">
        <f>IF(AND(C2634&lt;&gt;"", J2634&lt;&gt;""), HYPERLINK("#'" &amp; C2634 &amp; "'!" &amp; J2634, J2634), "")</f>
        <v/>
      </c>
    </row>
    <row r="2635">
      <c r="B2635" s="21">
        <f>IF(AND(C2635&lt;&gt;"", J2635&lt;&gt;""), HYPERLINK("#'" &amp; C2635 &amp; "'!" &amp; J2635, J2635), "")</f>
        <v/>
      </c>
    </row>
    <row r="2636">
      <c r="B2636" s="21">
        <f>IF(AND(C2636&lt;&gt;"", J2636&lt;&gt;""), HYPERLINK("#'" &amp; C2636 &amp; "'!" &amp; J2636, J2636), "")</f>
        <v/>
      </c>
    </row>
    <row r="2637">
      <c r="B2637" s="21">
        <f>IF(AND(C2637&lt;&gt;"", J2637&lt;&gt;""), HYPERLINK("#'" &amp; C2637 &amp; "'!" &amp; J2637, J2637), "")</f>
        <v/>
      </c>
    </row>
    <row r="2638">
      <c r="B2638" s="21">
        <f>IF(AND(C2638&lt;&gt;"", J2638&lt;&gt;""), HYPERLINK("#'" &amp; C2638 &amp; "'!" &amp; J2638, J2638), "")</f>
        <v/>
      </c>
    </row>
    <row r="2639">
      <c r="B2639" s="21">
        <f>IF(AND(C2639&lt;&gt;"", J2639&lt;&gt;""), HYPERLINK("#'" &amp; C2639 &amp; "'!" &amp; J2639, J2639), "")</f>
        <v/>
      </c>
    </row>
    <row r="2640">
      <c r="B2640" s="21">
        <f>IF(AND(C2640&lt;&gt;"", J2640&lt;&gt;""), HYPERLINK("#'" &amp; C2640 &amp; "'!" &amp; J2640, J2640), "")</f>
        <v/>
      </c>
    </row>
    <row r="2641">
      <c r="B2641" s="21">
        <f>IF(AND(C2641&lt;&gt;"", J2641&lt;&gt;""), HYPERLINK("#'" &amp; C2641 &amp; "'!" &amp; J2641, J2641), "")</f>
        <v/>
      </c>
    </row>
    <row r="2642">
      <c r="B2642" s="21">
        <f>IF(AND(C2642&lt;&gt;"", J2642&lt;&gt;""), HYPERLINK("#'" &amp; C2642 &amp; "'!" &amp; J2642, J2642), "")</f>
        <v/>
      </c>
    </row>
    <row r="2643">
      <c r="B2643" s="21">
        <f>IF(AND(C2643&lt;&gt;"", J2643&lt;&gt;""), HYPERLINK("#'" &amp; C2643 &amp; "'!" &amp; J2643, J2643), "")</f>
        <v/>
      </c>
    </row>
    <row r="2644">
      <c r="B2644" s="21">
        <f>IF(AND(C2644&lt;&gt;"", J2644&lt;&gt;""), HYPERLINK("#'" &amp; C2644 &amp; "'!" &amp; J2644, J2644), "")</f>
        <v/>
      </c>
    </row>
    <row r="2645">
      <c r="B2645" s="21">
        <f>IF(AND(C2645&lt;&gt;"", J2645&lt;&gt;""), HYPERLINK("#'" &amp; C2645 &amp; "'!" &amp; J2645, J2645), "")</f>
        <v/>
      </c>
    </row>
    <row r="2646">
      <c r="B2646" s="21">
        <f>IF(AND(C2646&lt;&gt;"", J2646&lt;&gt;""), HYPERLINK("#'" &amp; C2646 &amp; "'!" &amp; J2646, J2646), "")</f>
        <v/>
      </c>
    </row>
    <row r="2647">
      <c r="B2647" s="21">
        <f>IF(AND(C2647&lt;&gt;"", J2647&lt;&gt;""), HYPERLINK("#'" &amp; C2647 &amp; "'!" &amp; J2647, J2647), "")</f>
        <v/>
      </c>
    </row>
    <row r="2648">
      <c r="B2648" s="21">
        <f>IF(AND(C2648&lt;&gt;"", J2648&lt;&gt;""), HYPERLINK("#'" &amp; C2648 &amp; "'!" &amp; J2648, J2648), "")</f>
        <v/>
      </c>
    </row>
    <row r="2649">
      <c r="B2649" s="21">
        <f>IF(AND(C2649&lt;&gt;"", J2649&lt;&gt;""), HYPERLINK("#'" &amp; C2649 &amp; "'!" &amp; J2649, J2649), "")</f>
        <v/>
      </c>
    </row>
    <row r="2650">
      <c r="B2650" s="21">
        <f>IF(AND(C2650&lt;&gt;"", J2650&lt;&gt;""), HYPERLINK("#'" &amp; C2650 &amp; "'!" &amp; J2650, J2650), "")</f>
        <v/>
      </c>
    </row>
    <row r="2651">
      <c r="B2651" s="21">
        <f>IF(AND(C2651&lt;&gt;"", J2651&lt;&gt;""), HYPERLINK("#'" &amp; C2651 &amp; "'!" &amp; J2651, J2651), "")</f>
        <v/>
      </c>
    </row>
    <row r="2652">
      <c r="B2652" s="21">
        <f>IF(AND(C2652&lt;&gt;"", J2652&lt;&gt;""), HYPERLINK("#'" &amp; C2652 &amp; "'!" &amp; J2652, J2652), "")</f>
        <v/>
      </c>
    </row>
    <row r="2653">
      <c r="B2653" s="21">
        <f>IF(AND(C2653&lt;&gt;"", J2653&lt;&gt;""), HYPERLINK("#'" &amp; C2653 &amp; "'!" &amp; J2653, J2653), "")</f>
        <v/>
      </c>
    </row>
    <row r="2654">
      <c r="B2654" s="21">
        <f>IF(AND(C2654&lt;&gt;"", J2654&lt;&gt;""), HYPERLINK("#'" &amp; C2654 &amp; "'!" &amp; J2654, J2654), "")</f>
        <v/>
      </c>
    </row>
    <row r="2655">
      <c r="B2655" s="21">
        <f>IF(AND(C2655&lt;&gt;"", J2655&lt;&gt;""), HYPERLINK("#'" &amp; C2655 &amp; "'!" &amp; J2655, J2655), "")</f>
        <v/>
      </c>
    </row>
    <row r="2656">
      <c r="B2656" s="21">
        <f>IF(AND(C2656&lt;&gt;"", J2656&lt;&gt;""), HYPERLINK("#'" &amp; C2656 &amp; "'!" &amp; J2656, J2656), "")</f>
        <v/>
      </c>
    </row>
    <row r="2657">
      <c r="B2657" s="21">
        <f>IF(AND(C2657&lt;&gt;"", J2657&lt;&gt;""), HYPERLINK("#'" &amp; C2657 &amp; "'!" &amp; J2657, J2657), "")</f>
        <v/>
      </c>
    </row>
    <row r="2658">
      <c r="B2658" s="21">
        <f>IF(AND(C2658&lt;&gt;"", J2658&lt;&gt;""), HYPERLINK("#'" &amp; C2658 &amp; "'!" &amp; J2658, J2658), "")</f>
        <v/>
      </c>
    </row>
    <row r="2659">
      <c r="B2659" s="21">
        <f>IF(AND(C2659&lt;&gt;"", J2659&lt;&gt;""), HYPERLINK("#'" &amp; C2659 &amp; "'!" &amp; J2659, J2659), "")</f>
        <v/>
      </c>
    </row>
    <row r="2660">
      <c r="B2660" s="21">
        <f>IF(AND(C2660&lt;&gt;"", J2660&lt;&gt;""), HYPERLINK("#'" &amp; C2660 &amp; "'!" &amp; J2660, J2660), "")</f>
        <v/>
      </c>
    </row>
    <row r="2661">
      <c r="B2661" s="21">
        <f>IF(AND(C2661&lt;&gt;"", J2661&lt;&gt;""), HYPERLINK("#'" &amp; C2661 &amp; "'!" &amp; J2661, J2661), "")</f>
        <v/>
      </c>
    </row>
    <row r="2662">
      <c r="B2662" s="21">
        <f>IF(AND(C2662&lt;&gt;"", J2662&lt;&gt;""), HYPERLINK("#'" &amp; C2662 &amp; "'!" &amp; J2662, J2662), "")</f>
        <v/>
      </c>
    </row>
    <row r="2663">
      <c r="B2663" s="21">
        <f>IF(AND(C2663&lt;&gt;"", J2663&lt;&gt;""), HYPERLINK("#'" &amp; C2663 &amp; "'!" &amp; J2663, J2663), "")</f>
        <v/>
      </c>
    </row>
    <row r="2664">
      <c r="B2664" s="21">
        <f>IF(AND(C2664&lt;&gt;"", J2664&lt;&gt;""), HYPERLINK("#'" &amp; C2664 &amp; "'!" &amp; J2664, J2664), "")</f>
        <v/>
      </c>
    </row>
    <row r="2665">
      <c r="B2665" s="21">
        <f>IF(AND(C2665&lt;&gt;"", J2665&lt;&gt;""), HYPERLINK("#'" &amp; C2665 &amp; "'!" &amp; J2665, J2665), "")</f>
        <v/>
      </c>
    </row>
    <row r="2666">
      <c r="B2666" s="21">
        <f>IF(AND(C2666&lt;&gt;"", J2666&lt;&gt;""), HYPERLINK("#'" &amp; C2666 &amp; "'!" &amp; J2666, J2666), "")</f>
        <v/>
      </c>
    </row>
    <row r="2667">
      <c r="B2667" s="21">
        <f>IF(AND(C2667&lt;&gt;"", J2667&lt;&gt;""), HYPERLINK("#'" &amp; C2667 &amp; "'!" &amp; J2667, J2667), "")</f>
        <v/>
      </c>
    </row>
    <row r="2668">
      <c r="B2668" s="21">
        <f>IF(AND(C2668&lt;&gt;"", J2668&lt;&gt;""), HYPERLINK("#'" &amp; C2668 &amp; "'!" &amp; J2668, J2668), "")</f>
        <v/>
      </c>
    </row>
    <row r="2669">
      <c r="B2669" s="21">
        <f>IF(AND(C2669&lt;&gt;"", J2669&lt;&gt;""), HYPERLINK("#'" &amp; C2669 &amp; "'!" &amp; J2669, J2669), "")</f>
        <v/>
      </c>
    </row>
    <row r="2670">
      <c r="B2670" s="21">
        <f>IF(AND(C2670&lt;&gt;"", J2670&lt;&gt;""), HYPERLINK("#'" &amp; C2670 &amp; "'!" &amp; J2670, J2670), "")</f>
        <v/>
      </c>
    </row>
    <row r="2671">
      <c r="B2671" s="21">
        <f>IF(AND(C2671&lt;&gt;"", J2671&lt;&gt;""), HYPERLINK("#'" &amp; C2671 &amp; "'!" &amp; J2671, J2671), "")</f>
        <v/>
      </c>
    </row>
    <row r="2672">
      <c r="B2672" s="21">
        <f>IF(AND(C2672&lt;&gt;"", J2672&lt;&gt;""), HYPERLINK("#'" &amp; C2672 &amp; "'!" &amp; J2672, J2672), "")</f>
        <v/>
      </c>
    </row>
    <row r="2673">
      <c r="B2673" s="21">
        <f>IF(AND(C2673&lt;&gt;"", J2673&lt;&gt;""), HYPERLINK("#'" &amp; C2673 &amp; "'!" &amp; J2673, J2673), "")</f>
        <v/>
      </c>
    </row>
    <row r="2674">
      <c r="B2674" s="21">
        <f>IF(AND(C2674&lt;&gt;"", J2674&lt;&gt;""), HYPERLINK("#'" &amp; C2674 &amp; "'!" &amp; J2674, J2674), "")</f>
        <v/>
      </c>
    </row>
    <row r="2675">
      <c r="B2675" s="21">
        <f>IF(AND(C2675&lt;&gt;"", J2675&lt;&gt;""), HYPERLINK("#'" &amp; C2675 &amp; "'!" &amp; J2675, J2675), "")</f>
        <v/>
      </c>
    </row>
    <row r="2676">
      <c r="B2676" s="21">
        <f>IF(AND(C2676&lt;&gt;"", J2676&lt;&gt;""), HYPERLINK("#'" &amp; C2676 &amp; "'!" &amp; J2676, J2676), "")</f>
        <v/>
      </c>
    </row>
    <row r="2677">
      <c r="B2677" s="21">
        <f>IF(AND(C2677&lt;&gt;"", J2677&lt;&gt;""), HYPERLINK("#'" &amp; C2677 &amp; "'!" &amp; J2677, J2677), "")</f>
        <v/>
      </c>
    </row>
    <row r="2678">
      <c r="B2678" s="21">
        <f>IF(AND(C2678&lt;&gt;"", J2678&lt;&gt;""), HYPERLINK("#'" &amp; C2678 &amp; "'!" &amp; J2678, J2678), "")</f>
        <v/>
      </c>
    </row>
    <row r="2679">
      <c r="B2679" s="21">
        <f>IF(AND(C2679&lt;&gt;"", J2679&lt;&gt;""), HYPERLINK("#'" &amp; C2679 &amp; "'!" &amp; J2679, J2679), "")</f>
        <v/>
      </c>
    </row>
    <row r="2680">
      <c r="B2680" s="21">
        <f>IF(AND(C2680&lt;&gt;"", J2680&lt;&gt;""), HYPERLINK("#'" &amp; C2680 &amp; "'!" &amp; J2680, J2680), "")</f>
        <v/>
      </c>
    </row>
    <row r="2681">
      <c r="B2681" s="21">
        <f>IF(AND(C2681&lt;&gt;"", J2681&lt;&gt;""), HYPERLINK("#'" &amp; C2681 &amp; "'!" &amp; J2681, J2681), "")</f>
        <v/>
      </c>
    </row>
    <row r="2682">
      <c r="B2682" s="21">
        <f>IF(AND(C2682&lt;&gt;"", J2682&lt;&gt;""), HYPERLINK("#'" &amp; C2682 &amp; "'!" &amp; J2682, J2682), "")</f>
        <v/>
      </c>
    </row>
    <row r="2683">
      <c r="B2683" s="21">
        <f>IF(AND(C2683&lt;&gt;"", J2683&lt;&gt;""), HYPERLINK("#'" &amp; C2683 &amp; "'!" &amp; J2683, J2683), "")</f>
        <v/>
      </c>
    </row>
    <row r="2684">
      <c r="B2684" s="21">
        <f>IF(AND(C2684&lt;&gt;"", J2684&lt;&gt;""), HYPERLINK("#'" &amp; C2684 &amp; "'!" &amp; J2684, J2684), "")</f>
        <v/>
      </c>
    </row>
    <row r="2685">
      <c r="B2685" s="21">
        <f>IF(AND(C2685&lt;&gt;"", J2685&lt;&gt;""), HYPERLINK("#'" &amp; C2685 &amp; "'!" &amp; J2685, J2685), "")</f>
        <v/>
      </c>
    </row>
    <row r="2686">
      <c r="B2686" s="21">
        <f>IF(AND(C2686&lt;&gt;"", J2686&lt;&gt;""), HYPERLINK("#'" &amp; C2686 &amp; "'!" &amp; J2686, J2686), "")</f>
        <v/>
      </c>
    </row>
    <row r="2687">
      <c r="B2687" s="21">
        <f>IF(AND(C2687&lt;&gt;"", J2687&lt;&gt;""), HYPERLINK("#'" &amp; C2687 &amp; "'!" &amp; J2687, J2687), "")</f>
        <v/>
      </c>
    </row>
    <row r="2688">
      <c r="B2688" s="21">
        <f>IF(AND(C2688&lt;&gt;"", J2688&lt;&gt;""), HYPERLINK("#'" &amp; C2688 &amp; "'!" &amp; J2688, J2688), "")</f>
        <v/>
      </c>
    </row>
    <row r="2689">
      <c r="B2689" s="21">
        <f>IF(AND(C2689&lt;&gt;"", J2689&lt;&gt;""), HYPERLINK("#'" &amp; C2689 &amp; "'!" &amp; J2689, J2689), "")</f>
        <v/>
      </c>
    </row>
    <row r="2690">
      <c r="B2690" s="21">
        <f>IF(AND(C2690&lt;&gt;"", J2690&lt;&gt;""), HYPERLINK("#'" &amp; C2690 &amp; "'!" &amp; J2690, J2690), "")</f>
        <v/>
      </c>
    </row>
    <row r="2691">
      <c r="B2691" s="21">
        <f>IF(AND(C2691&lt;&gt;"", J2691&lt;&gt;""), HYPERLINK("#'" &amp; C2691 &amp; "'!" &amp; J2691, J2691), "")</f>
        <v/>
      </c>
    </row>
    <row r="2692">
      <c r="B2692" s="21">
        <f>IF(AND(C2692&lt;&gt;"", J2692&lt;&gt;""), HYPERLINK("#'" &amp; C2692 &amp; "'!" &amp; J2692, J2692), "")</f>
        <v/>
      </c>
    </row>
    <row r="2693">
      <c r="B2693" s="21">
        <f>IF(AND(C2693&lt;&gt;"", J2693&lt;&gt;""), HYPERLINK("#'" &amp; C2693 &amp; "'!" &amp; J2693, J2693), "")</f>
        <v/>
      </c>
    </row>
    <row r="2694">
      <c r="B2694" s="21">
        <f>IF(AND(C2694&lt;&gt;"", J2694&lt;&gt;""), HYPERLINK("#'" &amp; C2694 &amp; "'!" &amp; J2694, J2694), "")</f>
        <v/>
      </c>
    </row>
    <row r="2695">
      <c r="B2695" s="21">
        <f>IF(AND(C2695&lt;&gt;"", J2695&lt;&gt;""), HYPERLINK("#'" &amp; C2695 &amp; "'!" &amp; J2695, J2695), "")</f>
        <v/>
      </c>
    </row>
    <row r="2696">
      <c r="B2696" s="21">
        <f>IF(AND(C2696&lt;&gt;"", J2696&lt;&gt;""), HYPERLINK("#'" &amp; C2696 &amp; "'!" &amp; J2696, J2696), "")</f>
        <v/>
      </c>
    </row>
    <row r="2697">
      <c r="B2697" s="21">
        <f>IF(AND(C2697&lt;&gt;"", J2697&lt;&gt;""), HYPERLINK("#'" &amp; C2697 &amp; "'!" &amp; J2697, J2697), "")</f>
        <v/>
      </c>
    </row>
    <row r="2698">
      <c r="B2698" s="21">
        <f>IF(AND(C2698&lt;&gt;"", J2698&lt;&gt;""), HYPERLINK("#'" &amp; C2698 &amp; "'!" &amp; J2698, J2698), "")</f>
        <v/>
      </c>
    </row>
    <row r="2699">
      <c r="B2699" s="21">
        <f>IF(AND(C2699&lt;&gt;"", J2699&lt;&gt;""), HYPERLINK("#'" &amp; C2699 &amp; "'!" &amp; J2699, J2699), "")</f>
        <v/>
      </c>
    </row>
    <row r="2700">
      <c r="B2700" s="21">
        <f>IF(AND(C2700&lt;&gt;"", J2700&lt;&gt;""), HYPERLINK("#'" &amp; C2700 &amp; "'!" &amp; J2700, J2700), "")</f>
        <v/>
      </c>
    </row>
    <row r="2701">
      <c r="B2701" s="21">
        <f>IF(AND(C2701&lt;&gt;"", J2701&lt;&gt;""), HYPERLINK("#'" &amp; C2701 &amp; "'!" &amp; J2701, J2701), "")</f>
        <v/>
      </c>
    </row>
    <row r="2702">
      <c r="B2702" s="21">
        <f>IF(AND(C2702&lt;&gt;"", J2702&lt;&gt;""), HYPERLINK("#'" &amp; C2702 &amp; "'!" &amp; J2702, J2702), "")</f>
        <v/>
      </c>
    </row>
    <row r="2703">
      <c r="B2703" s="21">
        <f>IF(AND(C2703&lt;&gt;"", J2703&lt;&gt;""), HYPERLINK("#'" &amp; C2703 &amp; "'!" &amp; J2703, J2703), "")</f>
        <v/>
      </c>
    </row>
    <row r="2704">
      <c r="B2704" s="21">
        <f>IF(AND(C2704&lt;&gt;"", J2704&lt;&gt;""), HYPERLINK("#'" &amp; C2704 &amp; "'!" &amp; J2704, J2704), "")</f>
        <v/>
      </c>
    </row>
    <row r="2705">
      <c r="B2705" s="21">
        <f>IF(AND(C2705&lt;&gt;"", J2705&lt;&gt;""), HYPERLINK("#'" &amp; C2705 &amp; "'!" &amp; J2705, J2705), "")</f>
        <v/>
      </c>
    </row>
    <row r="2706">
      <c r="B2706" s="21">
        <f>IF(AND(C2706&lt;&gt;"", J2706&lt;&gt;""), HYPERLINK("#'" &amp; C2706 &amp; "'!" &amp; J2706, J2706), "")</f>
        <v/>
      </c>
    </row>
    <row r="2707">
      <c r="B2707" s="21">
        <f>IF(AND(C2707&lt;&gt;"", J2707&lt;&gt;""), HYPERLINK("#'" &amp; C2707 &amp; "'!" &amp; J2707, J2707), "")</f>
        <v/>
      </c>
    </row>
    <row r="2708">
      <c r="B2708" s="21">
        <f>IF(AND(C2708&lt;&gt;"", J2708&lt;&gt;""), HYPERLINK("#'" &amp; C2708 &amp; "'!" &amp; J2708, J2708), "")</f>
        <v/>
      </c>
    </row>
    <row r="2709">
      <c r="B2709" s="21">
        <f>IF(AND(C2709&lt;&gt;"", J2709&lt;&gt;""), HYPERLINK("#'" &amp; C2709 &amp; "'!" &amp; J2709, J2709), "")</f>
        <v/>
      </c>
    </row>
    <row r="2710">
      <c r="B2710" s="21">
        <f>IF(AND(C2710&lt;&gt;"", J2710&lt;&gt;""), HYPERLINK("#'" &amp; C2710 &amp; "'!" &amp; J2710, J2710), "")</f>
        <v/>
      </c>
    </row>
    <row r="2711">
      <c r="B2711" s="21">
        <f>IF(AND(C2711&lt;&gt;"", J2711&lt;&gt;""), HYPERLINK("#'" &amp; C2711 &amp; "'!" &amp; J2711, J2711), "")</f>
        <v/>
      </c>
    </row>
    <row r="2712">
      <c r="B2712" s="21">
        <f>IF(AND(C2712&lt;&gt;"", J2712&lt;&gt;""), HYPERLINK("#'" &amp; C2712 &amp; "'!" &amp; J2712, J2712), "")</f>
        <v/>
      </c>
    </row>
    <row r="2713">
      <c r="B2713" s="21">
        <f>IF(AND(C2713&lt;&gt;"", J2713&lt;&gt;""), HYPERLINK("#'" &amp; C2713 &amp; "'!" &amp; J2713, J2713), "")</f>
        <v/>
      </c>
    </row>
    <row r="2714">
      <c r="B2714" s="21">
        <f>IF(AND(C2714&lt;&gt;"", J2714&lt;&gt;""), HYPERLINK("#'" &amp; C2714 &amp; "'!" &amp; J2714, J2714), "")</f>
        <v/>
      </c>
    </row>
    <row r="2715">
      <c r="B2715" s="21">
        <f>IF(AND(C2715&lt;&gt;"", J2715&lt;&gt;""), HYPERLINK("#'" &amp; C2715 &amp; "'!" &amp; J2715, J2715), "")</f>
        <v/>
      </c>
    </row>
    <row r="2716">
      <c r="B2716" s="21">
        <f>IF(AND(C2716&lt;&gt;"", J2716&lt;&gt;""), HYPERLINK("#'" &amp; C2716 &amp; "'!" &amp; J2716, J2716), "")</f>
        <v/>
      </c>
    </row>
    <row r="2717">
      <c r="B2717" s="21">
        <f>IF(AND(C2717&lt;&gt;"", J2717&lt;&gt;""), HYPERLINK("#'" &amp; C2717 &amp; "'!" &amp; J2717, J2717), "")</f>
        <v/>
      </c>
    </row>
    <row r="2718">
      <c r="B2718" s="21">
        <f>IF(AND(C2718&lt;&gt;"", J2718&lt;&gt;""), HYPERLINK("#'" &amp; C2718 &amp; "'!" &amp; J2718, J2718), "")</f>
        <v/>
      </c>
    </row>
    <row r="2719">
      <c r="B2719" s="21">
        <f>IF(AND(C2719&lt;&gt;"", J2719&lt;&gt;""), HYPERLINK("#'" &amp; C2719 &amp; "'!" &amp; J2719, J2719), "")</f>
        <v/>
      </c>
    </row>
    <row r="2720">
      <c r="B2720" s="21">
        <f>IF(AND(C2720&lt;&gt;"", J2720&lt;&gt;""), HYPERLINK("#'" &amp; C2720 &amp; "'!" &amp; J2720, J2720), "")</f>
        <v/>
      </c>
    </row>
    <row r="2721">
      <c r="B2721" s="21">
        <f>IF(AND(C2721&lt;&gt;"", J2721&lt;&gt;""), HYPERLINK("#'" &amp; C2721 &amp; "'!" &amp; J2721, J2721), "")</f>
        <v/>
      </c>
    </row>
    <row r="2722">
      <c r="B2722" s="21">
        <f>IF(AND(C2722&lt;&gt;"", J2722&lt;&gt;""), HYPERLINK("#'" &amp; C2722 &amp; "'!" &amp; J2722, J2722), "")</f>
        <v/>
      </c>
    </row>
    <row r="2723">
      <c r="B2723" s="21">
        <f>IF(AND(C2723&lt;&gt;"", J2723&lt;&gt;""), HYPERLINK("#'" &amp; C2723 &amp; "'!" &amp; J2723, J2723), "")</f>
        <v/>
      </c>
    </row>
    <row r="2724">
      <c r="B2724" s="21">
        <f>IF(AND(C2724&lt;&gt;"", J2724&lt;&gt;""), HYPERLINK("#'" &amp; C2724 &amp; "'!" &amp; J2724, J2724), "")</f>
        <v/>
      </c>
    </row>
    <row r="2725">
      <c r="B2725" s="21">
        <f>IF(AND(C2725&lt;&gt;"", J2725&lt;&gt;""), HYPERLINK("#'" &amp; C2725 &amp; "'!" &amp; J2725, J2725), "")</f>
        <v/>
      </c>
    </row>
    <row r="2726">
      <c r="B2726" s="21">
        <f>IF(AND(C2726&lt;&gt;"", J2726&lt;&gt;""), HYPERLINK("#'" &amp; C2726 &amp; "'!" &amp; J2726, J2726), "")</f>
        <v/>
      </c>
    </row>
    <row r="2727">
      <c r="B2727" s="21">
        <f>IF(AND(C2727&lt;&gt;"", J2727&lt;&gt;""), HYPERLINK("#'" &amp; C2727 &amp; "'!" &amp; J2727, J2727), "")</f>
        <v/>
      </c>
    </row>
    <row r="2728">
      <c r="B2728" s="21">
        <f>IF(AND(C2728&lt;&gt;"", J2728&lt;&gt;""), HYPERLINK("#'" &amp; C2728 &amp; "'!" &amp; J2728, J2728), "")</f>
        <v/>
      </c>
    </row>
    <row r="2729">
      <c r="B2729" s="21">
        <f>IF(AND(C2729&lt;&gt;"", J2729&lt;&gt;""), HYPERLINK("#'" &amp; C2729 &amp; "'!" &amp; J2729, J2729), "")</f>
        <v/>
      </c>
    </row>
    <row r="2730">
      <c r="B2730" s="21">
        <f>IF(AND(C2730&lt;&gt;"", J2730&lt;&gt;""), HYPERLINK("#'" &amp; C2730 &amp; "'!" &amp; J2730, J2730), "")</f>
        <v/>
      </c>
    </row>
    <row r="2731">
      <c r="B2731" s="21">
        <f>IF(AND(C2731&lt;&gt;"", J2731&lt;&gt;""), HYPERLINK("#'" &amp; C2731 &amp; "'!" &amp; J2731, J2731), "")</f>
        <v/>
      </c>
    </row>
    <row r="2732">
      <c r="B2732" s="21">
        <f>IF(AND(C2732&lt;&gt;"", J2732&lt;&gt;""), HYPERLINK("#'" &amp; C2732 &amp; "'!" &amp; J2732, J2732), "")</f>
        <v/>
      </c>
    </row>
    <row r="2733">
      <c r="B2733" s="21">
        <f>IF(AND(C2733&lt;&gt;"", J2733&lt;&gt;""), HYPERLINK("#'" &amp; C2733 &amp; "'!" &amp; J2733, J2733), "")</f>
        <v/>
      </c>
    </row>
    <row r="2734">
      <c r="B2734" s="21">
        <f>IF(AND(C2734&lt;&gt;"", J2734&lt;&gt;""), HYPERLINK("#'" &amp; C2734 &amp; "'!" &amp; J2734, J2734), "")</f>
        <v/>
      </c>
    </row>
    <row r="2735">
      <c r="B2735" s="21">
        <f>IF(AND(C2735&lt;&gt;"", J2735&lt;&gt;""), HYPERLINK("#'" &amp; C2735 &amp; "'!" &amp; J2735, J2735), "")</f>
        <v/>
      </c>
    </row>
    <row r="2736">
      <c r="B2736" s="21">
        <f>IF(AND(C2736&lt;&gt;"", J2736&lt;&gt;""), HYPERLINK("#'" &amp; C2736 &amp; "'!" &amp; J2736, J2736), "")</f>
        <v/>
      </c>
    </row>
    <row r="2737">
      <c r="B2737" s="21">
        <f>IF(AND(C2737&lt;&gt;"", J2737&lt;&gt;""), HYPERLINK("#'" &amp; C2737 &amp; "'!" &amp; J2737, J2737), "")</f>
        <v/>
      </c>
    </row>
    <row r="2738">
      <c r="B2738" s="21">
        <f>IF(AND(C2738&lt;&gt;"", J2738&lt;&gt;""), HYPERLINK("#'" &amp; C2738 &amp; "'!" &amp; J2738, J2738), "")</f>
        <v/>
      </c>
    </row>
    <row r="2739">
      <c r="B2739" s="21">
        <f>IF(AND(C2739&lt;&gt;"", J2739&lt;&gt;""), HYPERLINK("#'" &amp; C2739 &amp; "'!" &amp; J2739, J2739), "")</f>
        <v/>
      </c>
    </row>
    <row r="2740">
      <c r="B2740" s="21">
        <f>IF(AND(C2740&lt;&gt;"", J2740&lt;&gt;""), HYPERLINK("#'" &amp; C2740 &amp; "'!" &amp; J2740, J2740), "")</f>
        <v/>
      </c>
    </row>
    <row r="2741">
      <c r="B2741" s="21">
        <f>IF(AND(C2741&lt;&gt;"", J2741&lt;&gt;""), HYPERLINK("#'" &amp; C2741 &amp; "'!" &amp; J2741, J2741), "")</f>
        <v/>
      </c>
    </row>
    <row r="2742">
      <c r="B2742" s="21">
        <f>IF(AND(C2742&lt;&gt;"", J2742&lt;&gt;""), HYPERLINK("#'" &amp; C2742 &amp; "'!" &amp; J2742, J2742), "")</f>
        <v/>
      </c>
    </row>
    <row r="2743">
      <c r="B2743" s="21">
        <f>IF(AND(C2743&lt;&gt;"", J2743&lt;&gt;""), HYPERLINK("#'" &amp; C2743 &amp; "'!" &amp; J2743, J2743), "")</f>
        <v/>
      </c>
    </row>
    <row r="2744">
      <c r="B2744" s="21">
        <f>IF(AND(C2744&lt;&gt;"", J2744&lt;&gt;""), HYPERLINK("#'" &amp; C2744 &amp; "'!" &amp; J2744, J2744), "")</f>
        <v/>
      </c>
    </row>
    <row r="2745">
      <c r="B2745" s="21">
        <f>IF(AND(C2745&lt;&gt;"", J2745&lt;&gt;""), HYPERLINK("#'" &amp; C2745 &amp; "'!" &amp; J2745, J2745), "")</f>
        <v/>
      </c>
    </row>
    <row r="2746">
      <c r="B2746" s="21">
        <f>IF(AND(C2746&lt;&gt;"", J2746&lt;&gt;""), HYPERLINK("#'" &amp; C2746 &amp; "'!" &amp; J2746, J2746), "")</f>
        <v/>
      </c>
    </row>
    <row r="2747">
      <c r="B2747" s="21">
        <f>IF(AND(C2747&lt;&gt;"", J2747&lt;&gt;""), HYPERLINK("#'" &amp; C2747 &amp; "'!" &amp; J2747, J2747), "")</f>
        <v/>
      </c>
    </row>
    <row r="2748">
      <c r="B2748" s="21">
        <f>IF(AND(C2748&lt;&gt;"", J2748&lt;&gt;""), HYPERLINK("#'" &amp; C2748 &amp; "'!" &amp; J2748, J2748), "")</f>
        <v/>
      </c>
    </row>
    <row r="2749">
      <c r="B2749" s="21">
        <f>IF(AND(C2749&lt;&gt;"", J2749&lt;&gt;""), HYPERLINK("#'" &amp; C2749 &amp; "'!" &amp; J2749, J2749), "")</f>
        <v/>
      </c>
    </row>
    <row r="2750">
      <c r="B2750" s="21">
        <f>IF(AND(C2750&lt;&gt;"", J2750&lt;&gt;""), HYPERLINK("#'" &amp; C2750 &amp; "'!" &amp; J2750, J2750), "")</f>
        <v/>
      </c>
    </row>
    <row r="2751">
      <c r="B2751" s="21">
        <f>IF(AND(C2751&lt;&gt;"", J2751&lt;&gt;""), HYPERLINK("#'" &amp; C2751 &amp; "'!" &amp; J2751, J2751), "")</f>
        <v/>
      </c>
    </row>
    <row r="2752">
      <c r="B2752" s="21">
        <f>IF(AND(C2752&lt;&gt;"", J2752&lt;&gt;""), HYPERLINK("#'" &amp; C2752 &amp; "'!" &amp; J2752, J2752), "")</f>
        <v/>
      </c>
    </row>
    <row r="2753">
      <c r="B2753" s="21">
        <f>IF(AND(C2753&lt;&gt;"", J2753&lt;&gt;""), HYPERLINK("#'" &amp; C2753 &amp; "'!" &amp; J2753, J2753), "")</f>
        <v/>
      </c>
    </row>
    <row r="2754">
      <c r="B2754" s="21">
        <f>IF(AND(C2754&lt;&gt;"", J2754&lt;&gt;""), HYPERLINK("#'" &amp; C2754 &amp; "'!" &amp; J2754, J2754), "")</f>
        <v/>
      </c>
    </row>
    <row r="2755">
      <c r="B2755" s="21">
        <f>IF(AND(C2755&lt;&gt;"", J2755&lt;&gt;""), HYPERLINK("#'" &amp; C2755 &amp; "'!" &amp; J2755, J2755), "")</f>
        <v/>
      </c>
    </row>
    <row r="2756">
      <c r="B2756" s="21">
        <f>IF(AND(C2756&lt;&gt;"", J2756&lt;&gt;""), HYPERLINK("#'" &amp; C2756 &amp; "'!" &amp; J2756, J2756), "")</f>
        <v/>
      </c>
    </row>
    <row r="2757">
      <c r="B2757" s="21">
        <f>IF(AND(C2757&lt;&gt;"", J2757&lt;&gt;""), HYPERLINK("#'" &amp; C2757 &amp; "'!" &amp; J2757, J2757), "")</f>
        <v/>
      </c>
    </row>
    <row r="2758">
      <c r="B2758" s="21">
        <f>IF(AND(C2758&lt;&gt;"", J2758&lt;&gt;""), HYPERLINK("#'" &amp; C2758 &amp; "'!" &amp; J2758, J2758), "")</f>
        <v/>
      </c>
    </row>
    <row r="2759">
      <c r="B2759" s="21">
        <f>IF(AND(C2759&lt;&gt;"", J2759&lt;&gt;""), HYPERLINK("#'" &amp; C2759 &amp; "'!" &amp; J2759, J2759), "")</f>
        <v/>
      </c>
    </row>
    <row r="2760">
      <c r="B2760" s="21">
        <f>IF(AND(C2760&lt;&gt;"", J2760&lt;&gt;""), HYPERLINK("#'" &amp; C2760 &amp; "'!" &amp; J2760, J2760), "")</f>
        <v/>
      </c>
    </row>
    <row r="2761">
      <c r="B2761" s="21">
        <f>IF(AND(C2761&lt;&gt;"", J2761&lt;&gt;""), HYPERLINK("#'" &amp; C2761 &amp; "'!" &amp; J2761, J2761), "")</f>
        <v/>
      </c>
    </row>
    <row r="2762">
      <c r="B2762" s="21">
        <f>IF(AND(C2762&lt;&gt;"", J2762&lt;&gt;""), HYPERLINK("#'" &amp; C2762 &amp; "'!" &amp; J2762, J2762), "")</f>
        <v/>
      </c>
    </row>
    <row r="2763">
      <c r="B2763" s="21">
        <f>IF(AND(C2763&lt;&gt;"", J2763&lt;&gt;""), HYPERLINK("#'" &amp; C2763 &amp; "'!" &amp; J2763, J2763), "")</f>
        <v/>
      </c>
    </row>
    <row r="2764">
      <c r="B2764" s="21">
        <f>IF(AND(C2764&lt;&gt;"", J2764&lt;&gt;""), HYPERLINK("#'" &amp; C2764 &amp; "'!" &amp; J2764, J2764), "")</f>
        <v/>
      </c>
    </row>
    <row r="2765">
      <c r="B2765" s="21">
        <f>IF(AND(C2765&lt;&gt;"", J2765&lt;&gt;""), HYPERLINK("#'" &amp; C2765 &amp; "'!" &amp; J2765, J2765), "")</f>
        <v/>
      </c>
    </row>
    <row r="2766">
      <c r="B2766" s="21">
        <f>IF(AND(C2766&lt;&gt;"", J2766&lt;&gt;""), HYPERLINK("#'" &amp; C2766 &amp; "'!" &amp; J2766, J2766), "")</f>
        <v/>
      </c>
    </row>
    <row r="2767">
      <c r="B2767" s="21">
        <f>IF(AND(C2767&lt;&gt;"", J2767&lt;&gt;""), HYPERLINK("#'" &amp; C2767 &amp; "'!" &amp; J2767, J2767), "")</f>
        <v/>
      </c>
    </row>
    <row r="2768">
      <c r="B2768" s="21">
        <f>IF(AND(C2768&lt;&gt;"", J2768&lt;&gt;""), HYPERLINK("#'" &amp; C2768 &amp; "'!" &amp; J2768, J2768), "")</f>
        <v/>
      </c>
    </row>
    <row r="2769">
      <c r="B2769" s="21">
        <f>IF(AND(C2769&lt;&gt;"", J2769&lt;&gt;""), HYPERLINK("#'" &amp; C2769 &amp; "'!" &amp; J2769, J2769), "")</f>
        <v/>
      </c>
    </row>
    <row r="2770">
      <c r="B2770" s="21">
        <f>IF(AND(C2770&lt;&gt;"", J2770&lt;&gt;""), HYPERLINK("#'" &amp; C2770 &amp; "'!" &amp; J2770, J2770), "")</f>
        <v/>
      </c>
    </row>
    <row r="2771">
      <c r="B2771" s="21">
        <f>IF(AND(C2771&lt;&gt;"", J2771&lt;&gt;""), HYPERLINK("#'" &amp; C2771 &amp; "'!" &amp; J2771, J2771), "")</f>
        <v/>
      </c>
    </row>
    <row r="2772">
      <c r="B2772" s="21">
        <f>IF(AND(C2772&lt;&gt;"", J2772&lt;&gt;""), HYPERLINK("#'" &amp; C2772 &amp; "'!" &amp; J2772, J2772), "")</f>
        <v/>
      </c>
    </row>
    <row r="2773">
      <c r="B2773" s="21">
        <f>IF(AND(C2773&lt;&gt;"", J2773&lt;&gt;""), HYPERLINK("#'" &amp; C2773 &amp; "'!" &amp; J2773, J2773), "")</f>
        <v/>
      </c>
    </row>
    <row r="2774">
      <c r="B2774" s="21">
        <f>IF(AND(C2774&lt;&gt;"", J2774&lt;&gt;""), HYPERLINK("#'" &amp; C2774 &amp; "'!" &amp; J2774, J2774), "")</f>
        <v/>
      </c>
    </row>
    <row r="2775">
      <c r="B2775" s="21">
        <f>IF(AND(C2775&lt;&gt;"", J2775&lt;&gt;""), HYPERLINK("#'" &amp; C2775 &amp; "'!" &amp; J2775, J2775), "")</f>
        <v/>
      </c>
    </row>
    <row r="2776">
      <c r="B2776" s="21">
        <f>IF(AND(C2776&lt;&gt;"", J2776&lt;&gt;""), HYPERLINK("#'" &amp; C2776 &amp; "'!" &amp; J2776, J2776), "")</f>
        <v/>
      </c>
    </row>
    <row r="2777">
      <c r="B2777" s="21">
        <f>IF(AND(C2777&lt;&gt;"", J2777&lt;&gt;""), HYPERLINK("#'" &amp; C2777 &amp; "'!" &amp; J2777, J2777), "")</f>
        <v/>
      </c>
    </row>
    <row r="2778">
      <c r="B2778" s="21">
        <f>IF(AND(C2778&lt;&gt;"", J2778&lt;&gt;""), HYPERLINK("#'" &amp; C2778 &amp; "'!" &amp; J2778, J2778), "")</f>
        <v/>
      </c>
    </row>
    <row r="2779">
      <c r="B2779" s="21">
        <f>IF(AND(C2779&lt;&gt;"", J2779&lt;&gt;""), HYPERLINK("#'" &amp; C2779 &amp; "'!" &amp; J2779, J2779), "")</f>
        <v/>
      </c>
    </row>
    <row r="2780">
      <c r="B2780" s="21">
        <f>IF(AND(C2780&lt;&gt;"", J2780&lt;&gt;""), HYPERLINK("#'" &amp; C2780 &amp; "'!" &amp; J2780, J2780), "")</f>
        <v/>
      </c>
    </row>
    <row r="2781">
      <c r="B2781" s="21">
        <f>IF(AND(C2781&lt;&gt;"", J2781&lt;&gt;""), HYPERLINK("#'" &amp; C2781 &amp; "'!" &amp; J2781, J2781), "")</f>
        <v/>
      </c>
    </row>
    <row r="2782">
      <c r="B2782" s="21">
        <f>IF(AND(C2782&lt;&gt;"", J2782&lt;&gt;""), HYPERLINK("#'" &amp; C2782 &amp; "'!" &amp; J2782, J2782), "")</f>
        <v/>
      </c>
    </row>
    <row r="2783">
      <c r="B2783" s="21">
        <f>IF(AND(C2783&lt;&gt;"", J2783&lt;&gt;""), HYPERLINK("#'" &amp; C2783 &amp; "'!" &amp; J2783, J2783), "")</f>
        <v/>
      </c>
    </row>
    <row r="2784">
      <c r="B2784" s="21">
        <f>IF(AND(C2784&lt;&gt;"", J2784&lt;&gt;""), HYPERLINK("#'" &amp; C2784 &amp; "'!" &amp; J2784, J2784), "")</f>
        <v/>
      </c>
    </row>
    <row r="2785">
      <c r="B2785" s="21">
        <f>IF(AND(C2785&lt;&gt;"", J2785&lt;&gt;""), HYPERLINK("#'" &amp; C2785 &amp; "'!" &amp; J2785, J2785), "")</f>
        <v/>
      </c>
    </row>
    <row r="2786">
      <c r="B2786" s="21">
        <f>IF(AND(C2786&lt;&gt;"", J2786&lt;&gt;""), HYPERLINK("#'" &amp; C2786 &amp; "'!" &amp; J2786, J2786), "")</f>
        <v/>
      </c>
    </row>
    <row r="2787">
      <c r="B2787" s="21">
        <f>IF(AND(C2787&lt;&gt;"", J2787&lt;&gt;""), HYPERLINK("#'" &amp; C2787 &amp; "'!" &amp; J2787, J2787), "")</f>
        <v/>
      </c>
    </row>
    <row r="2788">
      <c r="B2788" s="21">
        <f>IF(AND(C2788&lt;&gt;"", J2788&lt;&gt;""), HYPERLINK("#'" &amp; C2788 &amp; "'!" &amp; J2788, J2788), "")</f>
        <v/>
      </c>
    </row>
    <row r="2789">
      <c r="B2789" s="21">
        <f>IF(AND(C2789&lt;&gt;"", J2789&lt;&gt;""), HYPERLINK("#'" &amp; C2789 &amp; "'!" &amp; J2789, J2789), "")</f>
        <v/>
      </c>
    </row>
    <row r="2790">
      <c r="B2790" s="21">
        <f>IF(AND(C2790&lt;&gt;"", J2790&lt;&gt;""), HYPERLINK("#'" &amp; C2790 &amp; "'!" &amp; J2790, J2790), "")</f>
        <v/>
      </c>
    </row>
    <row r="2791">
      <c r="B2791" s="21">
        <f>IF(AND(C2791&lt;&gt;"", J2791&lt;&gt;""), HYPERLINK("#'" &amp; C2791 &amp; "'!" &amp; J2791, J2791), "")</f>
        <v/>
      </c>
    </row>
    <row r="2792">
      <c r="B2792" s="21">
        <f>IF(AND(C2792&lt;&gt;"", J2792&lt;&gt;""), HYPERLINK("#'" &amp; C2792 &amp; "'!" &amp; J2792, J2792), "")</f>
        <v/>
      </c>
    </row>
    <row r="2793">
      <c r="B2793" s="21">
        <f>IF(AND(C2793&lt;&gt;"", J2793&lt;&gt;""), HYPERLINK("#'" &amp; C2793 &amp; "'!" &amp; J2793, J2793), "")</f>
        <v/>
      </c>
    </row>
    <row r="2794">
      <c r="B2794" s="21">
        <f>IF(AND(C2794&lt;&gt;"", J2794&lt;&gt;""), HYPERLINK("#'" &amp; C2794 &amp; "'!" &amp; J2794, J2794), "")</f>
        <v/>
      </c>
    </row>
    <row r="2795">
      <c r="B2795" s="21">
        <f>IF(AND(C2795&lt;&gt;"", J2795&lt;&gt;""), HYPERLINK("#'" &amp; C2795 &amp; "'!" &amp; J2795, J2795), "")</f>
        <v/>
      </c>
    </row>
    <row r="2796">
      <c r="B2796" s="21">
        <f>IF(AND(C2796&lt;&gt;"", J2796&lt;&gt;""), HYPERLINK("#'" &amp; C2796 &amp; "'!" &amp; J2796, J2796), "")</f>
        <v/>
      </c>
    </row>
    <row r="2797">
      <c r="B2797" s="21">
        <f>IF(AND(C2797&lt;&gt;"", J2797&lt;&gt;""), HYPERLINK("#'" &amp; C2797 &amp; "'!" &amp; J2797, J2797), "")</f>
        <v/>
      </c>
    </row>
    <row r="2798">
      <c r="B2798" s="21">
        <f>IF(AND(C2798&lt;&gt;"", J2798&lt;&gt;""), HYPERLINK("#'" &amp; C2798 &amp; "'!" &amp; J2798, J2798), "")</f>
        <v/>
      </c>
    </row>
    <row r="2799">
      <c r="B2799" s="21">
        <f>IF(AND(C2799&lt;&gt;"", J2799&lt;&gt;""), HYPERLINK("#'" &amp; C2799 &amp; "'!" &amp; J2799, J2799), "")</f>
        <v/>
      </c>
    </row>
    <row r="2800">
      <c r="B2800" s="21">
        <f>IF(AND(C2800&lt;&gt;"", J2800&lt;&gt;""), HYPERLINK("#'" &amp; C2800 &amp; "'!" &amp; J2800, J2800), "")</f>
        <v/>
      </c>
    </row>
    <row r="2801">
      <c r="B2801" s="21">
        <f>IF(AND(C2801&lt;&gt;"", J2801&lt;&gt;""), HYPERLINK("#'" &amp; C2801 &amp; "'!" &amp; J2801, J2801), "")</f>
        <v/>
      </c>
    </row>
    <row r="2802">
      <c r="B2802" s="21">
        <f>IF(AND(C2802&lt;&gt;"", J2802&lt;&gt;""), HYPERLINK("#'" &amp; C2802 &amp; "'!" &amp; J2802, J2802), "")</f>
        <v/>
      </c>
    </row>
    <row r="2803">
      <c r="B2803" s="21">
        <f>IF(AND(C2803&lt;&gt;"", J2803&lt;&gt;""), HYPERLINK("#'" &amp; C2803 &amp; "'!" &amp; J2803, J2803), "")</f>
        <v/>
      </c>
    </row>
    <row r="2804">
      <c r="B2804" s="21">
        <f>IF(AND(C2804&lt;&gt;"", J2804&lt;&gt;""), HYPERLINK("#'" &amp; C2804 &amp; "'!" &amp; J2804, J2804), "")</f>
        <v/>
      </c>
    </row>
    <row r="2805">
      <c r="B2805" s="21">
        <f>IF(AND(C2805&lt;&gt;"", J2805&lt;&gt;""), HYPERLINK("#'" &amp; C2805 &amp; "'!" &amp; J2805, J2805), "")</f>
        <v/>
      </c>
    </row>
    <row r="2806">
      <c r="B2806" s="21">
        <f>IF(AND(C2806&lt;&gt;"", J2806&lt;&gt;""), HYPERLINK("#'" &amp; C2806 &amp; "'!" &amp; J2806, J2806), "")</f>
        <v/>
      </c>
    </row>
    <row r="2807">
      <c r="B2807" s="21">
        <f>IF(AND(C2807&lt;&gt;"", J2807&lt;&gt;""), HYPERLINK("#'" &amp; C2807 &amp; "'!" &amp; J2807, J2807), "")</f>
        <v/>
      </c>
    </row>
    <row r="2808">
      <c r="B2808" s="21">
        <f>IF(AND(C2808&lt;&gt;"", J2808&lt;&gt;""), HYPERLINK("#'" &amp; C2808 &amp; "'!" &amp; J2808, J2808), "")</f>
        <v/>
      </c>
    </row>
    <row r="2809">
      <c r="B2809" s="21">
        <f>IF(AND(C2809&lt;&gt;"", J2809&lt;&gt;""), HYPERLINK("#'" &amp; C2809 &amp; "'!" &amp; J2809, J2809), "")</f>
        <v/>
      </c>
    </row>
    <row r="2810">
      <c r="B2810" s="21">
        <f>IF(AND(C2810&lt;&gt;"", J2810&lt;&gt;""), HYPERLINK("#'" &amp; C2810 &amp; "'!" &amp; J2810, J2810), "")</f>
        <v/>
      </c>
    </row>
    <row r="2811">
      <c r="B2811" s="21">
        <f>IF(AND(C2811&lt;&gt;"", J2811&lt;&gt;""), HYPERLINK("#'" &amp; C2811 &amp; "'!" &amp; J2811, J2811), "")</f>
        <v/>
      </c>
    </row>
    <row r="2812">
      <c r="B2812" s="21">
        <f>IF(AND(C2812&lt;&gt;"", J2812&lt;&gt;""), HYPERLINK("#'" &amp; C2812 &amp; "'!" &amp; J2812, J2812), "")</f>
        <v/>
      </c>
    </row>
    <row r="2813">
      <c r="B2813" s="21">
        <f>IF(AND(C2813&lt;&gt;"", J2813&lt;&gt;""), HYPERLINK("#'" &amp; C2813 &amp; "'!" &amp; J2813, J2813), "")</f>
        <v/>
      </c>
    </row>
    <row r="2814">
      <c r="B2814" s="21">
        <f>IF(AND(C2814&lt;&gt;"", J2814&lt;&gt;""), HYPERLINK("#'" &amp; C2814 &amp; "'!" &amp; J2814, J2814), "")</f>
        <v/>
      </c>
    </row>
    <row r="2815">
      <c r="B2815" s="21">
        <f>IF(AND(C2815&lt;&gt;"", J2815&lt;&gt;""), HYPERLINK("#'" &amp; C2815 &amp; "'!" &amp; J2815, J2815), "")</f>
        <v/>
      </c>
    </row>
    <row r="2816">
      <c r="B2816" s="21">
        <f>IF(AND(C2816&lt;&gt;"", J2816&lt;&gt;""), HYPERLINK("#'" &amp; C2816 &amp; "'!" &amp; J2816, J2816), "")</f>
        <v/>
      </c>
    </row>
    <row r="2817">
      <c r="B2817" s="21">
        <f>IF(AND(C2817&lt;&gt;"", J2817&lt;&gt;""), HYPERLINK("#'" &amp; C2817 &amp; "'!" &amp; J2817, J2817), "")</f>
        <v/>
      </c>
    </row>
    <row r="2818">
      <c r="B2818" s="21">
        <f>IF(AND(C2818&lt;&gt;"", J2818&lt;&gt;""), HYPERLINK("#'" &amp; C2818 &amp; "'!" &amp; J2818, J2818), "")</f>
        <v/>
      </c>
    </row>
    <row r="2819">
      <c r="B2819" s="21">
        <f>IF(AND(C2819&lt;&gt;"", J2819&lt;&gt;""), HYPERLINK("#'" &amp; C2819 &amp; "'!" &amp; J2819, J2819), "")</f>
        <v/>
      </c>
    </row>
    <row r="2820">
      <c r="B2820" s="21">
        <f>IF(AND(C2820&lt;&gt;"", J2820&lt;&gt;""), HYPERLINK("#'" &amp; C2820 &amp; "'!" &amp; J2820, J2820), "")</f>
        <v/>
      </c>
    </row>
    <row r="2821">
      <c r="B2821" s="21">
        <f>IF(AND(C2821&lt;&gt;"", J2821&lt;&gt;""), HYPERLINK("#'" &amp; C2821 &amp; "'!" &amp; J2821, J2821), "")</f>
        <v/>
      </c>
    </row>
    <row r="2822">
      <c r="B2822" s="21">
        <f>IF(AND(C2822&lt;&gt;"", J2822&lt;&gt;""), HYPERLINK("#'" &amp; C2822 &amp; "'!" &amp; J2822, J2822), "")</f>
        <v/>
      </c>
    </row>
    <row r="2823">
      <c r="B2823" s="21">
        <f>IF(AND(C2823&lt;&gt;"", J2823&lt;&gt;""), HYPERLINK("#'" &amp; C2823 &amp; "'!" &amp; J2823, J2823), "")</f>
        <v/>
      </c>
    </row>
    <row r="2824">
      <c r="B2824" s="21">
        <f>IF(AND(C2824&lt;&gt;"", J2824&lt;&gt;""), HYPERLINK("#'" &amp; C2824 &amp; "'!" &amp; J2824, J2824), "")</f>
        <v/>
      </c>
    </row>
    <row r="2825">
      <c r="B2825" s="21">
        <f>IF(AND(C2825&lt;&gt;"", J2825&lt;&gt;""), HYPERLINK("#'" &amp; C2825 &amp; "'!" &amp; J2825, J2825), "")</f>
        <v/>
      </c>
    </row>
    <row r="2826">
      <c r="B2826" s="21">
        <f>IF(AND(C2826&lt;&gt;"", J2826&lt;&gt;""), HYPERLINK("#'" &amp; C2826 &amp; "'!" &amp; J2826, J2826), "")</f>
        <v/>
      </c>
    </row>
    <row r="2827">
      <c r="B2827" s="21">
        <f>IF(AND(C2827&lt;&gt;"", J2827&lt;&gt;""), HYPERLINK("#'" &amp; C2827 &amp; "'!" &amp; J2827, J2827), "")</f>
        <v/>
      </c>
    </row>
    <row r="2828">
      <c r="B2828" s="21">
        <f>IF(AND(C2828&lt;&gt;"", J2828&lt;&gt;""), HYPERLINK("#'" &amp; C2828 &amp; "'!" &amp; J2828, J2828), "")</f>
        <v/>
      </c>
    </row>
    <row r="2829">
      <c r="B2829" s="21">
        <f>IF(AND(C2829&lt;&gt;"", J2829&lt;&gt;""), HYPERLINK("#'" &amp; C2829 &amp; "'!" &amp; J2829, J2829), "")</f>
        <v/>
      </c>
    </row>
    <row r="2830">
      <c r="B2830" s="21">
        <f>IF(AND(C2830&lt;&gt;"", J2830&lt;&gt;""), HYPERLINK("#'" &amp; C2830 &amp; "'!" &amp; J2830, J2830), "")</f>
        <v/>
      </c>
    </row>
    <row r="2831">
      <c r="B2831" s="21">
        <f>IF(AND(C2831&lt;&gt;"", J2831&lt;&gt;""), HYPERLINK("#'" &amp; C2831 &amp; "'!" &amp; J2831, J2831), "")</f>
        <v/>
      </c>
    </row>
    <row r="2832">
      <c r="B2832" s="21">
        <f>IF(AND(C2832&lt;&gt;"", J2832&lt;&gt;""), HYPERLINK("#'" &amp; C2832 &amp; "'!" &amp; J2832, J2832), "")</f>
        <v/>
      </c>
    </row>
    <row r="2833">
      <c r="B2833" s="21">
        <f>IF(AND(C2833&lt;&gt;"", J2833&lt;&gt;""), HYPERLINK("#'" &amp; C2833 &amp; "'!" &amp; J2833, J2833), "")</f>
        <v/>
      </c>
    </row>
    <row r="2834">
      <c r="B2834" s="21">
        <f>IF(AND(C2834&lt;&gt;"", J2834&lt;&gt;""), HYPERLINK("#'" &amp; C2834 &amp; "'!" &amp; J2834, J2834), "")</f>
        <v/>
      </c>
    </row>
    <row r="2835">
      <c r="B2835" s="21">
        <f>IF(AND(C2835&lt;&gt;"", J2835&lt;&gt;""), HYPERLINK("#'" &amp; C2835 &amp; "'!" &amp; J2835, J2835), "")</f>
        <v/>
      </c>
    </row>
    <row r="2836">
      <c r="B2836" s="21">
        <f>IF(AND(C2836&lt;&gt;"", J2836&lt;&gt;""), HYPERLINK("#'" &amp; C2836 &amp; "'!" &amp; J2836, J2836), "")</f>
        <v/>
      </c>
    </row>
    <row r="2837">
      <c r="B2837" s="21">
        <f>IF(AND(C2837&lt;&gt;"", J2837&lt;&gt;""), HYPERLINK("#'" &amp; C2837 &amp; "'!" &amp; J2837, J2837), "")</f>
        <v/>
      </c>
    </row>
    <row r="2838">
      <c r="B2838" s="21">
        <f>IF(AND(C2838&lt;&gt;"", J2838&lt;&gt;""), HYPERLINK("#'" &amp; C2838 &amp; "'!" &amp; J2838, J2838), "")</f>
        <v/>
      </c>
    </row>
    <row r="2839">
      <c r="B2839" s="21">
        <f>IF(AND(C2839&lt;&gt;"", J2839&lt;&gt;""), HYPERLINK("#'" &amp; C2839 &amp; "'!" &amp; J2839, J2839), "")</f>
        <v/>
      </c>
    </row>
    <row r="2840">
      <c r="B2840" s="21">
        <f>IF(AND(C2840&lt;&gt;"", J2840&lt;&gt;""), HYPERLINK("#'" &amp; C2840 &amp; "'!" &amp; J2840, J2840), "")</f>
        <v/>
      </c>
    </row>
    <row r="2841">
      <c r="B2841" s="21">
        <f>IF(AND(C2841&lt;&gt;"", J2841&lt;&gt;""), HYPERLINK("#'" &amp; C2841 &amp; "'!" &amp; J2841, J2841), "")</f>
        <v/>
      </c>
    </row>
    <row r="2842">
      <c r="B2842" s="21">
        <f>IF(AND(C2842&lt;&gt;"", J2842&lt;&gt;""), HYPERLINK("#'" &amp; C2842 &amp; "'!" &amp; J2842, J2842), "")</f>
        <v/>
      </c>
    </row>
    <row r="2843">
      <c r="B2843" s="21">
        <f>IF(AND(C2843&lt;&gt;"", J2843&lt;&gt;""), HYPERLINK("#'" &amp; C2843 &amp; "'!" &amp; J2843, J2843), "")</f>
        <v/>
      </c>
    </row>
    <row r="2844">
      <c r="B2844" s="21">
        <f>IF(AND(C2844&lt;&gt;"", J2844&lt;&gt;""), HYPERLINK("#'" &amp; C2844 &amp; "'!" &amp; J2844, J2844), "")</f>
        <v/>
      </c>
    </row>
    <row r="2845">
      <c r="B2845" s="21">
        <f>IF(AND(C2845&lt;&gt;"", J2845&lt;&gt;""), HYPERLINK("#'" &amp; C2845 &amp; "'!" &amp; J2845, J2845), "")</f>
        <v/>
      </c>
    </row>
    <row r="2846">
      <c r="B2846" s="21">
        <f>IF(AND(C2846&lt;&gt;"", J2846&lt;&gt;""), HYPERLINK("#'" &amp; C2846 &amp; "'!" &amp; J2846, J2846), "")</f>
        <v/>
      </c>
    </row>
    <row r="2847">
      <c r="B2847" s="21">
        <f>IF(AND(C2847&lt;&gt;"", J2847&lt;&gt;""), HYPERLINK("#'" &amp; C2847 &amp; "'!" &amp; J2847, J2847), "")</f>
        <v/>
      </c>
    </row>
    <row r="2848">
      <c r="B2848" s="21">
        <f>IF(AND(C2848&lt;&gt;"", J2848&lt;&gt;""), HYPERLINK("#'" &amp; C2848 &amp; "'!" &amp; J2848, J2848), "")</f>
        <v/>
      </c>
    </row>
    <row r="2849">
      <c r="B2849" s="21">
        <f>IF(AND(C2849&lt;&gt;"", J2849&lt;&gt;""), HYPERLINK("#'" &amp; C2849 &amp; "'!" &amp; J2849, J2849), "")</f>
        <v/>
      </c>
    </row>
    <row r="2850">
      <c r="B2850" s="21">
        <f>IF(AND(C2850&lt;&gt;"", J2850&lt;&gt;""), HYPERLINK("#'" &amp; C2850 &amp; "'!" &amp; J2850, J2850), "")</f>
        <v/>
      </c>
    </row>
    <row r="2851">
      <c r="B2851" s="21">
        <f>IF(AND(C2851&lt;&gt;"", J2851&lt;&gt;""), HYPERLINK("#'" &amp; C2851 &amp; "'!" &amp; J2851, J2851), "")</f>
        <v/>
      </c>
    </row>
    <row r="2852">
      <c r="B2852" s="21">
        <f>IF(AND(C2852&lt;&gt;"", J2852&lt;&gt;""), HYPERLINK("#'" &amp; C2852 &amp; "'!" &amp; J2852, J2852), "")</f>
        <v/>
      </c>
    </row>
    <row r="2853">
      <c r="B2853" s="21">
        <f>IF(AND(C2853&lt;&gt;"", J2853&lt;&gt;""), HYPERLINK("#'" &amp; C2853 &amp; "'!" &amp; J2853, J2853), "")</f>
        <v/>
      </c>
    </row>
    <row r="2854">
      <c r="B2854" s="21">
        <f>IF(AND(C2854&lt;&gt;"", J2854&lt;&gt;""), HYPERLINK("#'" &amp; C2854 &amp; "'!" &amp; J2854, J2854), "")</f>
        <v/>
      </c>
    </row>
    <row r="2855">
      <c r="B2855" s="21">
        <f>IF(AND(C2855&lt;&gt;"", J2855&lt;&gt;""), HYPERLINK("#'" &amp; C2855 &amp; "'!" &amp; J2855, J2855), "")</f>
        <v/>
      </c>
    </row>
    <row r="2856">
      <c r="B2856" s="21">
        <f>IF(AND(C2856&lt;&gt;"", J2856&lt;&gt;""), HYPERLINK("#'" &amp; C2856 &amp; "'!" &amp; J2856, J2856), "")</f>
        <v/>
      </c>
    </row>
    <row r="2857">
      <c r="B2857" s="21">
        <f>IF(AND(C2857&lt;&gt;"", J2857&lt;&gt;""), HYPERLINK("#'" &amp; C2857 &amp; "'!" &amp; J2857, J2857), "")</f>
        <v/>
      </c>
    </row>
    <row r="2858">
      <c r="B2858" s="21">
        <f>IF(AND(C2858&lt;&gt;"", J2858&lt;&gt;""), HYPERLINK("#'" &amp; C2858 &amp; "'!" &amp; J2858, J2858), "")</f>
        <v/>
      </c>
    </row>
    <row r="2859">
      <c r="B2859" s="21">
        <f>IF(AND(C2859&lt;&gt;"", J2859&lt;&gt;""), HYPERLINK("#'" &amp; C2859 &amp; "'!" &amp; J2859, J2859), "")</f>
        <v/>
      </c>
    </row>
    <row r="2860">
      <c r="B2860" s="21">
        <f>IF(AND(C2860&lt;&gt;"", J2860&lt;&gt;""), HYPERLINK("#'" &amp; C2860 &amp; "'!" &amp; J2860, J2860), "")</f>
        <v/>
      </c>
    </row>
    <row r="2861">
      <c r="B2861" s="21">
        <f>IF(AND(C2861&lt;&gt;"", J2861&lt;&gt;""), HYPERLINK("#'" &amp; C2861 &amp; "'!" &amp; J2861, J2861), "")</f>
        <v/>
      </c>
    </row>
    <row r="2862">
      <c r="B2862" s="21">
        <f>IF(AND(C2862&lt;&gt;"", J2862&lt;&gt;""), HYPERLINK("#'" &amp; C2862 &amp; "'!" &amp; J2862, J2862), "")</f>
        <v/>
      </c>
    </row>
    <row r="2863">
      <c r="B2863" s="21">
        <f>IF(AND(C2863&lt;&gt;"", J2863&lt;&gt;""), HYPERLINK("#'" &amp; C2863 &amp; "'!" &amp; J2863, J2863), "")</f>
        <v/>
      </c>
    </row>
    <row r="2864">
      <c r="B2864" s="21">
        <f>IF(AND(C2864&lt;&gt;"", J2864&lt;&gt;""), HYPERLINK("#'" &amp; C2864 &amp; "'!" &amp; J2864, J2864), "")</f>
        <v/>
      </c>
    </row>
    <row r="2865">
      <c r="B2865" s="21">
        <f>IF(AND(C2865&lt;&gt;"", J2865&lt;&gt;""), HYPERLINK("#'" &amp; C2865 &amp; "'!" &amp; J2865, J2865), "")</f>
        <v/>
      </c>
    </row>
    <row r="2866">
      <c r="B2866" s="21">
        <f>IF(AND(C2866&lt;&gt;"", J2866&lt;&gt;""), HYPERLINK("#'" &amp; C2866 &amp; "'!" &amp; J2866, J2866), "")</f>
        <v/>
      </c>
    </row>
    <row r="2867">
      <c r="B2867" s="21">
        <f>IF(AND(C2867&lt;&gt;"", J2867&lt;&gt;""), HYPERLINK("#'" &amp; C2867 &amp; "'!" &amp; J2867, J2867), "")</f>
        <v/>
      </c>
    </row>
    <row r="2868">
      <c r="B2868" s="21">
        <f>IF(AND(C2868&lt;&gt;"", J2868&lt;&gt;""), HYPERLINK("#'" &amp; C2868 &amp; "'!" &amp; J2868, J2868), "")</f>
        <v/>
      </c>
    </row>
    <row r="2869">
      <c r="B2869" s="21">
        <f>IF(AND(C2869&lt;&gt;"", J2869&lt;&gt;""), HYPERLINK("#'" &amp; C2869 &amp; "'!" &amp; J2869, J2869), "")</f>
        <v/>
      </c>
    </row>
    <row r="2870">
      <c r="B2870" s="21">
        <f>IF(AND(C2870&lt;&gt;"", J2870&lt;&gt;""), HYPERLINK("#'" &amp; C2870 &amp; "'!" &amp; J2870, J2870), "")</f>
        <v/>
      </c>
    </row>
    <row r="2871">
      <c r="B2871" s="21">
        <f>IF(AND(C2871&lt;&gt;"", J2871&lt;&gt;""), HYPERLINK("#'" &amp; C2871 &amp; "'!" &amp; J2871, J2871), "")</f>
        <v/>
      </c>
    </row>
    <row r="2872">
      <c r="B2872" s="21">
        <f>IF(AND(C2872&lt;&gt;"", J2872&lt;&gt;""), HYPERLINK("#'" &amp; C2872 &amp; "'!" &amp; J2872, J2872), "")</f>
        <v/>
      </c>
    </row>
    <row r="2873">
      <c r="B2873" s="21">
        <f>IF(AND(C2873&lt;&gt;"", J2873&lt;&gt;""), HYPERLINK("#'" &amp; C2873 &amp; "'!" &amp; J2873, J2873), "")</f>
        <v/>
      </c>
    </row>
    <row r="2874">
      <c r="B2874" s="21">
        <f>IF(AND(C2874&lt;&gt;"", J2874&lt;&gt;""), HYPERLINK("#'" &amp; C2874 &amp; "'!" &amp; J2874, J2874), "")</f>
        <v/>
      </c>
    </row>
    <row r="2875">
      <c r="B2875" s="21">
        <f>IF(AND(C2875&lt;&gt;"", J2875&lt;&gt;""), HYPERLINK("#'" &amp; C2875 &amp; "'!" &amp; J2875, J2875), "")</f>
        <v/>
      </c>
    </row>
    <row r="2876">
      <c r="B2876" s="21">
        <f>IF(AND(C2876&lt;&gt;"", J2876&lt;&gt;""), HYPERLINK("#'" &amp; C2876 &amp; "'!" &amp; J2876, J2876), "")</f>
        <v/>
      </c>
    </row>
    <row r="2877">
      <c r="B2877" s="21">
        <f>IF(AND(C2877&lt;&gt;"", J2877&lt;&gt;""), HYPERLINK("#'" &amp; C2877 &amp; "'!" &amp; J2877, J2877), "")</f>
        <v/>
      </c>
    </row>
    <row r="2878">
      <c r="B2878" s="21">
        <f>IF(AND(C2878&lt;&gt;"", J2878&lt;&gt;""), HYPERLINK("#'" &amp; C2878 &amp; "'!" &amp; J2878, J2878), "")</f>
        <v/>
      </c>
    </row>
    <row r="2879">
      <c r="B2879" s="21">
        <f>IF(AND(C2879&lt;&gt;"", J2879&lt;&gt;""), HYPERLINK("#'" &amp; C2879 &amp; "'!" &amp; J2879, J2879), "")</f>
        <v/>
      </c>
    </row>
    <row r="2880">
      <c r="B2880" s="21">
        <f>IF(AND(C2880&lt;&gt;"", J2880&lt;&gt;""), HYPERLINK("#'" &amp; C2880 &amp; "'!" &amp; J2880, J2880), "")</f>
        <v/>
      </c>
    </row>
    <row r="2881">
      <c r="B2881" s="21">
        <f>IF(AND(C2881&lt;&gt;"", J2881&lt;&gt;""), HYPERLINK("#'" &amp; C2881 &amp; "'!" &amp; J2881, J2881), "")</f>
        <v/>
      </c>
    </row>
    <row r="2882">
      <c r="B2882" s="21">
        <f>IF(AND(C2882&lt;&gt;"", J2882&lt;&gt;""), HYPERLINK("#'" &amp; C2882 &amp; "'!" &amp; J2882, J2882), "")</f>
        <v/>
      </c>
    </row>
    <row r="2883">
      <c r="B2883" s="21">
        <f>IF(AND(C2883&lt;&gt;"", J2883&lt;&gt;""), HYPERLINK("#'" &amp; C2883 &amp; "'!" &amp; J2883, J2883), "")</f>
        <v/>
      </c>
    </row>
    <row r="2884">
      <c r="B2884" s="21">
        <f>IF(AND(C2884&lt;&gt;"", J2884&lt;&gt;""), HYPERLINK("#'" &amp; C2884 &amp; "'!" &amp; J2884, J2884), "")</f>
        <v/>
      </c>
    </row>
    <row r="2885">
      <c r="B2885" s="21">
        <f>IF(AND(C2885&lt;&gt;"", J2885&lt;&gt;""), HYPERLINK("#'" &amp; C2885 &amp; "'!" &amp; J2885, J2885), "")</f>
        <v/>
      </c>
    </row>
    <row r="2886">
      <c r="B2886" s="21">
        <f>IF(AND(C2886&lt;&gt;"", J2886&lt;&gt;""), HYPERLINK("#'" &amp; C2886 &amp; "'!" &amp; J2886, J2886), "")</f>
        <v/>
      </c>
    </row>
    <row r="2887">
      <c r="B2887" s="21">
        <f>IF(AND(C2887&lt;&gt;"", J2887&lt;&gt;""), HYPERLINK("#'" &amp; C2887 &amp; "'!" &amp; J2887, J2887), "")</f>
        <v/>
      </c>
    </row>
    <row r="2888">
      <c r="B2888" s="21">
        <f>IF(AND(C2888&lt;&gt;"", J2888&lt;&gt;""), HYPERLINK("#'" &amp; C2888 &amp; "'!" &amp; J2888, J2888), "")</f>
        <v/>
      </c>
    </row>
    <row r="2889">
      <c r="B2889" s="21">
        <f>IF(AND(C2889&lt;&gt;"", J2889&lt;&gt;""), HYPERLINK("#'" &amp; C2889 &amp; "'!" &amp; J2889, J2889), "")</f>
        <v/>
      </c>
    </row>
    <row r="2890">
      <c r="B2890" s="21">
        <f>IF(AND(C2890&lt;&gt;"", J2890&lt;&gt;""), HYPERLINK("#'" &amp; C2890 &amp; "'!" &amp; J2890, J2890), "")</f>
        <v/>
      </c>
    </row>
    <row r="2891">
      <c r="B2891" s="21">
        <f>IF(AND(C2891&lt;&gt;"", J2891&lt;&gt;""), HYPERLINK("#'" &amp; C2891 &amp; "'!" &amp; J2891, J2891), "")</f>
        <v/>
      </c>
    </row>
    <row r="2892">
      <c r="B2892" s="21">
        <f>IF(AND(C2892&lt;&gt;"", J2892&lt;&gt;""), HYPERLINK("#'" &amp; C2892 &amp; "'!" &amp; J2892, J2892), "")</f>
        <v/>
      </c>
    </row>
    <row r="2893">
      <c r="B2893" s="21">
        <f>IF(AND(C2893&lt;&gt;"", J2893&lt;&gt;""), HYPERLINK("#'" &amp; C2893 &amp; "'!" &amp; J2893, J2893), "")</f>
        <v/>
      </c>
    </row>
    <row r="2894">
      <c r="B2894" s="21">
        <f>IF(AND(C2894&lt;&gt;"", J2894&lt;&gt;""), HYPERLINK("#'" &amp; C2894 &amp; "'!" &amp; J2894, J2894), "")</f>
        <v/>
      </c>
    </row>
    <row r="2895">
      <c r="B2895" s="21">
        <f>IF(AND(C2895&lt;&gt;"", J2895&lt;&gt;""), HYPERLINK("#'" &amp; C2895 &amp; "'!" &amp; J2895, J2895), "")</f>
        <v/>
      </c>
    </row>
    <row r="2896">
      <c r="B2896" s="21">
        <f>IF(AND(C2896&lt;&gt;"", J2896&lt;&gt;""), HYPERLINK("#'" &amp; C2896 &amp; "'!" &amp; J2896, J2896), "")</f>
        <v/>
      </c>
    </row>
    <row r="2897">
      <c r="B2897" s="21">
        <f>IF(AND(C2897&lt;&gt;"", J2897&lt;&gt;""), HYPERLINK("#'" &amp; C2897 &amp; "'!" &amp; J2897, J2897), "")</f>
        <v/>
      </c>
    </row>
    <row r="2898">
      <c r="B2898" s="21">
        <f>IF(AND(C2898&lt;&gt;"", J2898&lt;&gt;""), HYPERLINK("#'" &amp; C2898 &amp; "'!" &amp; J2898, J2898), "")</f>
        <v/>
      </c>
    </row>
    <row r="2899">
      <c r="B2899" s="21">
        <f>IF(AND(C2899&lt;&gt;"", J2899&lt;&gt;""), HYPERLINK("#'" &amp; C2899 &amp; "'!" &amp; J2899, J2899), "")</f>
        <v/>
      </c>
    </row>
    <row r="2900">
      <c r="B2900" s="21">
        <f>IF(AND(C2900&lt;&gt;"", J2900&lt;&gt;""), HYPERLINK("#'" &amp; C2900 &amp; "'!" &amp; J2900, J2900), "")</f>
        <v/>
      </c>
    </row>
    <row r="2901">
      <c r="B2901" s="21">
        <f>IF(AND(C2901&lt;&gt;"", J2901&lt;&gt;""), HYPERLINK("#'" &amp; C2901 &amp; "'!" &amp; J2901, J2901), "")</f>
        <v/>
      </c>
    </row>
    <row r="2902">
      <c r="B2902" s="21">
        <f>IF(AND(C2902&lt;&gt;"", J2902&lt;&gt;""), HYPERLINK("#'" &amp; C2902 &amp; "'!" &amp; J2902, J2902), "")</f>
        <v/>
      </c>
    </row>
    <row r="2903">
      <c r="B2903" s="21">
        <f>IF(AND(C2903&lt;&gt;"", J2903&lt;&gt;""), HYPERLINK("#'" &amp; C2903 &amp; "'!" &amp; J2903, J2903), "")</f>
        <v/>
      </c>
    </row>
    <row r="2904">
      <c r="B2904" s="21">
        <f>IF(AND(C2904&lt;&gt;"", J2904&lt;&gt;""), HYPERLINK("#'" &amp; C2904 &amp; "'!" &amp; J2904, J2904), "")</f>
        <v/>
      </c>
    </row>
    <row r="2905">
      <c r="B2905" s="21">
        <f>IF(AND(C2905&lt;&gt;"", J2905&lt;&gt;""), HYPERLINK("#'" &amp; C2905 &amp; "'!" &amp; J2905, J2905), "")</f>
        <v/>
      </c>
    </row>
    <row r="2906">
      <c r="B2906" s="21">
        <f>IF(AND(C2906&lt;&gt;"", J2906&lt;&gt;""), HYPERLINK("#'" &amp; C2906 &amp; "'!" &amp; J2906, J2906), "")</f>
        <v/>
      </c>
    </row>
    <row r="2907">
      <c r="B2907" s="21">
        <f>IF(AND(C2907&lt;&gt;"", J2907&lt;&gt;""), HYPERLINK("#'" &amp; C2907 &amp; "'!" &amp; J2907, J2907), "")</f>
        <v/>
      </c>
    </row>
    <row r="2908">
      <c r="B2908" s="21">
        <f>IF(AND(C2908&lt;&gt;"", J2908&lt;&gt;""), HYPERLINK("#'" &amp; C2908 &amp; "'!" &amp; J2908, J2908), "")</f>
        <v/>
      </c>
    </row>
    <row r="2909">
      <c r="B2909" s="21">
        <f>IF(AND(C2909&lt;&gt;"", J2909&lt;&gt;""), HYPERLINK("#'" &amp; C2909 &amp; "'!" &amp; J2909, J2909), "")</f>
        <v/>
      </c>
    </row>
    <row r="2910">
      <c r="B2910" s="21">
        <f>IF(AND(C2910&lt;&gt;"", J2910&lt;&gt;""), HYPERLINK("#'" &amp; C2910 &amp; "'!" &amp; J2910, J2910), "")</f>
        <v/>
      </c>
    </row>
    <row r="2911">
      <c r="B2911" s="21">
        <f>IF(AND(C2911&lt;&gt;"", J2911&lt;&gt;""), HYPERLINK("#'" &amp; C2911 &amp; "'!" &amp; J2911, J2911), "")</f>
        <v/>
      </c>
    </row>
    <row r="2912">
      <c r="B2912" s="21">
        <f>IF(AND(C2912&lt;&gt;"", J2912&lt;&gt;""), HYPERLINK("#'" &amp; C2912 &amp; "'!" &amp; J2912, J2912), "")</f>
        <v/>
      </c>
    </row>
    <row r="2913">
      <c r="B2913" s="21">
        <f>IF(AND(C2913&lt;&gt;"", J2913&lt;&gt;""), HYPERLINK("#'" &amp; C2913 &amp; "'!" &amp; J2913, J2913), "")</f>
        <v/>
      </c>
    </row>
    <row r="2914">
      <c r="B2914" s="21">
        <f>IF(AND(C2914&lt;&gt;"", J2914&lt;&gt;""), HYPERLINK("#'" &amp; C2914 &amp; "'!" &amp; J2914, J2914), "")</f>
        <v/>
      </c>
    </row>
    <row r="2915">
      <c r="B2915" s="21">
        <f>IF(AND(C2915&lt;&gt;"", J2915&lt;&gt;""), HYPERLINK("#'" &amp; C2915 &amp; "'!" &amp; J2915, J2915), "")</f>
        <v/>
      </c>
    </row>
    <row r="2916">
      <c r="B2916" s="21">
        <f>IF(AND(C2916&lt;&gt;"", J2916&lt;&gt;""), HYPERLINK("#'" &amp; C2916 &amp; "'!" &amp; J2916, J2916), "")</f>
        <v/>
      </c>
    </row>
    <row r="2917">
      <c r="B2917" s="21">
        <f>IF(AND(C2917&lt;&gt;"", J2917&lt;&gt;""), HYPERLINK("#'" &amp; C2917 &amp; "'!" &amp; J2917, J2917), "")</f>
        <v/>
      </c>
    </row>
    <row r="2918">
      <c r="B2918" s="21">
        <f>IF(AND(C2918&lt;&gt;"", J2918&lt;&gt;""), HYPERLINK("#'" &amp; C2918 &amp; "'!" &amp; J2918, J2918), "")</f>
        <v/>
      </c>
    </row>
    <row r="2919">
      <c r="B2919" s="21">
        <f>IF(AND(C2919&lt;&gt;"", J2919&lt;&gt;""), HYPERLINK("#'" &amp; C2919 &amp; "'!" &amp; J2919, J2919), "")</f>
        <v/>
      </c>
    </row>
    <row r="2920">
      <c r="B2920" s="21">
        <f>IF(AND(C2920&lt;&gt;"", J2920&lt;&gt;""), HYPERLINK("#'" &amp; C2920 &amp; "'!" &amp; J2920, J2920), "")</f>
        <v/>
      </c>
    </row>
    <row r="2921">
      <c r="B2921" s="21">
        <f>IF(AND(C2921&lt;&gt;"", J2921&lt;&gt;""), HYPERLINK("#'" &amp; C2921 &amp; "'!" &amp; J2921, J2921), "")</f>
        <v/>
      </c>
    </row>
    <row r="2922">
      <c r="B2922" s="21">
        <f>IF(AND(C2922&lt;&gt;"", J2922&lt;&gt;""), HYPERLINK("#'" &amp; C2922 &amp; "'!" &amp; J2922, J2922), "")</f>
        <v/>
      </c>
    </row>
    <row r="2923">
      <c r="B2923" s="21">
        <f>IF(AND(C2923&lt;&gt;"", J2923&lt;&gt;""), HYPERLINK("#'" &amp; C2923 &amp; "'!" &amp; J2923, J2923), "")</f>
        <v/>
      </c>
    </row>
    <row r="2924">
      <c r="B2924" s="21">
        <f>IF(AND(C2924&lt;&gt;"", J2924&lt;&gt;""), HYPERLINK("#'" &amp; C2924 &amp; "'!" &amp; J2924, J2924), "")</f>
        <v/>
      </c>
    </row>
    <row r="2925">
      <c r="B2925" s="21">
        <f>IF(AND(C2925&lt;&gt;"", J2925&lt;&gt;""), HYPERLINK("#'" &amp; C2925 &amp; "'!" &amp; J2925, J2925), "")</f>
        <v/>
      </c>
    </row>
    <row r="2926">
      <c r="B2926" s="21">
        <f>IF(AND(C2926&lt;&gt;"", J2926&lt;&gt;""), HYPERLINK("#'" &amp; C2926 &amp; "'!" &amp; J2926, J2926), "")</f>
        <v/>
      </c>
    </row>
    <row r="2927">
      <c r="B2927" s="21">
        <f>IF(AND(C2927&lt;&gt;"", J2927&lt;&gt;""), HYPERLINK("#'" &amp; C2927 &amp; "'!" &amp; J2927, J2927), "")</f>
        <v/>
      </c>
    </row>
    <row r="2928">
      <c r="B2928" s="21">
        <f>IF(AND(C2928&lt;&gt;"", J2928&lt;&gt;""), HYPERLINK("#'" &amp; C2928 &amp; "'!" &amp; J2928, J2928), "")</f>
        <v/>
      </c>
    </row>
    <row r="2929">
      <c r="B2929" s="21">
        <f>IF(AND(C2929&lt;&gt;"", J2929&lt;&gt;""), HYPERLINK("#'" &amp; C2929 &amp; "'!" &amp; J2929, J2929), "")</f>
        <v/>
      </c>
    </row>
    <row r="2930">
      <c r="B2930" s="21">
        <f>IF(AND(C2930&lt;&gt;"", J2930&lt;&gt;""), HYPERLINK("#'" &amp; C2930 &amp; "'!" &amp; J2930, J2930), "")</f>
        <v/>
      </c>
    </row>
    <row r="2931">
      <c r="B2931" s="21">
        <f>IF(AND(C2931&lt;&gt;"", J2931&lt;&gt;""), HYPERLINK("#'" &amp; C2931 &amp; "'!" &amp; J2931, J2931), "")</f>
        <v/>
      </c>
    </row>
    <row r="2932">
      <c r="B2932" s="21">
        <f>IF(AND(C2932&lt;&gt;"", J2932&lt;&gt;""), HYPERLINK("#'" &amp; C2932 &amp; "'!" &amp; J2932, J2932), "")</f>
        <v/>
      </c>
    </row>
    <row r="2933">
      <c r="B2933" s="21">
        <f>IF(AND(C2933&lt;&gt;"", J2933&lt;&gt;""), HYPERLINK("#'" &amp; C2933 &amp; "'!" &amp; J2933, J2933), "")</f>
        <v/>
      </c>
    </row>
    <row r="2934">
      <c r="B2934" s="21">
        <f>IF(AND(C2934&lt;&gt;"", J2934&lt;&gt;""), HYPERLINK("#'" &amp; C2934 &amp; "'!" &amp; J2934, J2934), "")</f>
        <v/>
      </c>
    </row>
    <row r="2935">
      <c r="B2935" s="21">
        <f>IF(AND(C2935&lt;&gt;"", J2935&lt;&gt;""), HYPERLINK("#'" &amp; C2935 &amp; "'!" &amp; J2935, J2935), "")</f>
        <v/>
      </c>
    </row>
    <row r="2936">
      <c r="B2936" s="21">
        <f>IF(AND(C2936&lt;&gt;"", J2936&lt;&gt;""), HYPERLINK("#'" &amp; C2936 &amp; "'!" &amp; J2936, J2936), "")</f>
        <v/>
      </c>
    </row>
    <row r="2937">
      <c r="B2937" s="21">
        <f>IF(AND(C2937&lt;&gt;"", J2937&lt;&gt;""), HYPERLINK("#'" &amp; C2937 &amp; "'!" &amp; J2937, J2937), "")</f>
        <v/>
      </c>
    </row>
    <row r="2938">
      <c r="B2938" s="21">
        <f>IF(AND(C2938&lt;&gt;"", J2938&lt;&gt;""), HYPERLINK("#'" &amp; C2938 &amp; "'!" &amp; J2938, J2938), "")</f>
        <v/>
      </c>
    </row>
    <row r="2939">
      <c r="B2939" s="21">
        <f>IF(AND(C2939&lt;&gt;"", J2939&lt;&gt;""), HYPERLINK("#'" &amp; C2939 &amp; "'!" &amp; J2939, J2939), "")</f>
        <v/>
      </c>
    </row>
    <row r="2940">
      <c r="B2940" s="21">
        <f>IF(AND(C2940&lt;&gt;"", J2940&lt;&gt;""), HYPERLINK("#'" &amp; C2940 &amp; "'!" &amp; J2940, J2940), "")</f>
        <v/>
      </c>
    </row>
    <row r="2941">
      <c r="B2941" s="21">
        <f>IF(AND(C2941&lt;&gt;"", J2941&lt;&gt;""), HYPERLINK("#'" &amp; C2941 &amp; "'!" &amp; J2941, J2941), "")</f>
        <v/>
      </c>
    </row>
    <row r="2942">
      <c r="B2942" s="21">
        <f>IF(AND(C2942&lt;&gt;"", J2942&lt;&gt;""), HYPERLINK("#'" &amp; C2942 &amp; "'!" &amp; J2942, J2942), "")</f>
        <v/>
      </c>
    </row>
    <row r="2943">
      <c r="B2943" s="21">
        <f>IF(AND(C2943&lt;&gt;"", J2943&lt;&gt;""), HYPERLINK("#'" &amp; C2943 &amp; "'!" &amp; J2943, J2943), "")</f>
        <v/>
      </c>
    </row>
    <row r="2944">
      <c r="B2944" s="21">
        <f>IF(AND(C2944&lt;&gt;"", J2944&lt;&gt;""), HYPERLINK("#'" &amp; C2944 &amp; "'!" &amp; J2944, J2944), "")</f>
        <v/>
      </c>
    </row>
    <row r="2945">
      <c r="B2945" s="21">
        <f>IF(AND(C2945&lt;&gt;"", J2945&lt;&gt;""), HYPERLINK("#'" &amp; C2945 &amp; "'!" &amp; J2945, J2945), "")</f>
        <v/>
      </c>
    </row>
    <row r="2946">
      <c r="B2946" s="21">
        <f>IF(AND(C2946&lt;&gt;"", J2946&lt;&gt;""), HYPERLINK("#'" &amp; C2946 &amp; "'!" &amp; J2946, J2946), "")</f>
        <v/>
      </c>
    </row>
    <row r="2947">
      <c r="B2947" s="21">
        <f>IF(AND(C2947&lt;&gt;"", J2947&lt;&gt;""), HYPERLINK("#'" &amp; C2947 &amp; "'!" &amp; J2947, J2947), "")</f>
        <v/>
      </c>
    </row>
    <row r="2948">
      <c r="B2948" s="21">
        <f>IF(AND(C2948&lt;&gt;"", J2948&lt;&gt;""), HYPERLINK("#'" &amp; C2948 &amp; "'!" &amp; J2948, J2948), "")</f>
        <v/>
      </c>
    </row>
    <row r="2949">
      <c r="B2949" s="21">
        <f>IF(AND(C2949&lt;&gt;"", J2949&lt;&gt;""), HYPERLINK("#'" &amp; C2949 &amp; "'!" &amp; J2949, J2949), "")</f>
        <v/>
      </c>
    </row>
    <row r="2950">
      <c r="B2950" s="21">
        <f>IF(AND(C2950&lt;&gt;"", J2950&lt;&gt;""), HYPERLINK("#'" &amp; C2950 &amp; "'!" &amp; J2950, J2950), "")</f>
        <v/>
      </c>
    </row>
    <row r="2951">
      <c r="B2951" s="21">
        <f>IF(AND(C2951&lt;&gt;"", J2951&lt;&gt;""), HYPERLINK("#'" &amp; C2951 &amp; "'!" &amp; J2951, J2951), "")</f>
        <v/>
      </c>
    </row>
    <row r="2952">
      <c r="B2952" s="21">
        <f>IF(AND(C2952&lt;&gt;"", J2952&lt;&gt;""), HYPERLINK("#'" &amp; C2952 &amp; "'!" &amp; J2952, J2952), "")</f>
        <v/>
      </c>
    </row>
    <row r="2953">
      <c r="B2953" s="21">
        <f>IF(AND(C2953&lt;&gt;"", J2953&lt;&gt;""), HYPERLINK("#'" &amp; C2953 &amp; "'!" &amp; J2953, J2953), "")</f>
        <v/>
      </c>
    </row>
    <row r="2954">
      <c r="B2954" s="21">
        <f>IF(AND(C2954&lt;&gt;"", J2954&lt;&gt;""), HYPERLINK("#'" &amp; C2954 &amp; "'!" &amp; J2954, J2954), "")</f>
        <v/>
      </c>
    </row>
    <row r="2955">
      <c r="B2955" s="21">
        <f>IF(AND(C2955&lt;&gt;"", J2955&lt;&gt;""), HYPERLINK("#'" &amp; C2955 &amp; "'!" &amp; J2955, J2955), "")</f>
        <v/>
      </c>
    </row>
    <row r="2956">
      <c r="B2956" s="21">
        <f>IF(AND(C2956&lt;&gt;"", J2956&lt;&gt;""), HYPERLINK("#'" &amp; C2956 &amp; "'!" &amp; J2956, J2956), "")</f>
        <v/>
      </c>
    </row>
    <row r="2957">
      <c r="B2957" s="21">
        <f>IF(AND(C2957&lt;&gt;"", J2957&lt;&gt;""), HYPERLINK("#'" &amp; C2957 &amp; "'!" &amp; J2957, J2957), "")</f>
        <v/>
      </c>
    </row>
    <row r="2958">
      <c r="B2958" s="21">
        <f>IF(AND(C2958&lt;&gt;"", J2958&lt;&gt;""), HYPERLINK("#'" &amp; C2958 &amp; "'!" &amp; J2958, J2958), "")</f>
        <v/>
      </c>
    </row>
    <row r="2959">
      <c r="B2959" s="21">
        <f>IF(AND(C2959&lt;&gt;"", J2959&lt;&gt;""), HYPERLINK("#'" &amp; C2959 &amp; "'!" &amp; J2959, J2959), "")</f>
        <v/>
      </c>
    </row>
    <row r="2960">
      <c r="B2960" s="21">
        <f>IF(AND(C2960&lt;&gt;"", J2960&lt;&gt;""), HYPERLINK("#'" &amp; C2960 &amp; "'!" &amp; J2960, J2960), "")</f>
        <v/>
      </c>
    </row>
    <row r="2961">
      <c r="B2961" s="21">
        <f>IF(AND(C2961&lt;&gt;"", J2961&lt;&gt;""), HYPERLINK("#'" &amp; C2961 &amp; "'!" &amp; J2961, J2961), "")</f>
        <v/>
      </c>
    </row>
    <row r="2962">
      <c r="B2962" s="21">
        <f>IF(AND(C2962&lt;&gt;"", J2962&lt;&gt;""), HYPERLINK("#'" &amp; C2962 &amp; "'!" &amp; J2962, J2962), "")</f>
        <v/>
      </c>
    </row>
    <row r="2963">
      <c r="B2963" s="21">
        <f>IF(AND(C2963&lt;&gt;"", J2963&lt;&gt;""), HYPERLINK("#'" &amp; C2963 &amp; "'!" &amp; J2963, J2963), "")</f>
        <v/>
      </c>
    </row>
    <row r="2964">
      <c r="B2964" s="21">
        <f>IF(AND(C2964&lt;&gt;"", J2964&lt;&gt;""), HYPERLINK("#'" &amp; C2964 &amp; "'!" &amp; J2964, J2964), "")</f>
        <v/>
      </c>
    </row>
    <row r="2965">
      <c r="B2965" s="21">
        <f>IF(AND(C2965&lt;&gt;"", J2965&lt;&gt;""), HYPERLINK("#'" &amp; C2965 &amp; "'!" &amp; J2965, J2965), "")</f>
        <v/>
      </c>
    </row>
    <row r="2966">
      <c r="B2966" s="21">
        <f>IF(AND(C2966&lt;&gt;"", J2966&lt;&gt;""), HYPERLINK("#'" &amp; C2966 &amp; "'!" &amp; J2966, J2966), "")</f>
        <v/>
      </c>
    </row>
    <row r="2967">
      <c r="B2967" s="21">
        <f>IF(AND(C2967&lt;&gt;"", J2967&lt;&gt;""), HYPERLINK("#'" &amp; C2967 &amp; "'!" &amp; J2967, J2967), "")</f>
        <v/>
      </c>
    </row>
    <row r="2968">
      <c r="B2968" s="21">
        <f>IF(AND(C2968&lt;&gt;"", J2968&lt;&gt;""), HYPERLINK("#'" &amp; C2968 &amp; "'!" &amp; J2968, J2968), "")</f>
        <v/>
      </c>
    </row>
    <row r="2969">
      <c r="B2969" s="21">
        <f>IF(AND(C2969&lt;&gt;"", J2969&lt;&gt;""), HYPERLINK("#'" &amp; C2969 &amp; "'!" &amp; J2969, J2969), "")</f>
        <v/>
      </c>
    </row>
    <row r="2970">
      <c r="B2970" s="21">
        <f>IF(AND(C2970&lt;&gt;"", J2970&lt;&gt;""), HYPERLINK("#'" &amp; C2970 &amp; "'!" &amp; J2970, J2970), "")</f>
        <v/>
      </c>
    </row>
    <row r="2971">
      <c r="B2971" s="21">
        <f>IF(AND(C2971&lt;&gt;"", J2971&lt;&gt;""), HYPERLINK("#'" &amp; C2971 &amp; "'!" &amp; J2971, J2971), "")</f>
        <v/>
      </c>
    </row>
    <row r="2972">
      <c r="B2972" s="21">
        <f>IF(AND(C2972&lt;&gt;"", J2972&lt;&gt;""), HYPERLINK("#'" &amp; C2972 &amp; "'!" &amp; J2972, J2972), "")</f>
        <v/>
      </c>
    </row>
    <row r="2973">
      <c r="B2973" s="21">
        <f>IF(AND(C2973&lt;&gt;"", J2973&lt;&gt;""), HYPERLINK("#'" &amp; C2973 &amp; "'!" &amp; J2973, J2973), "")</f>
        <v/>
      </c>
    </row>
    <row r="2974">
      <c r="B2974" s="21">
        <f>IF(AND(C2974&lt;&gt;"", J2974&lt;&gt;""), HYPERLINK("#'" &amp; C2974 &amp; "'!" &amp; J2974, J2974), "")</f>
        <v/>
      </c>
    </row>
    <row r="2975">
      <c r="B2975" s="21">
        <f>IF(AND(C2975&lt;&gt;"", J2975&lt;&gt;""), HYPERLINK("#'" &amp; C2975 &amp; "'!" &amp; J2975, J2975), "")</f>
        <v/>
      </c>
    </row>
    <row r="2976">
      <c r="B2976" s="21">
        <f>IF(AND(C2976&lt;&gt;"", J2976&lt;&gt;""), HYPERLINK("#'" &amp; C2976 &amp; "'!" &amp; J2976, J2976), "")</f>
        <v/>
      </c>
    </row>
    <row r="2977">
      <c r="B2977" s="21">
        <f>IF(AND(C2977&lt;&gt;"", J2977&lt;&gt;""), HYPERLINK("#'" &amp; C2977 &amp; "'!" &amp; J2977, J2977), "")</f>
        <v/>
      </c>
    </row>
    <row r="2978">
      <c r="B2978" s="21">
        <f>IF(AND(C2978&lt;&gt;"", J2978&lt;&gt;""), HYPERLINK("#'" &amp; C2978 &amp; "'!" &amp; J2978, J2978), "")</f>
        <v/>
      </c>
    </row>
    <row r="2979">
      <c r="B2979" s="21">
        <f>IF(AND(C2979&lt;&gt;"", J2979&lt;&gt;""), HYPERLINK("#'" &amp; C2979 &amp; "'!" &amp; J2979, J2979), "")</f>
        <v/>
      </c>
    </row>
    <row r="2980">
      <c r="B2980" s="21">
        <f>IF(AND(C2980&lt;&gt;"", J2980&lt;&gt;""), HYPERLINK("#'" &amp; C2980 &amp; "'!" &amp; J2980, J2980), "")</f>
        <v/>
      </c>
    </row>
    <row r="2981">
      <c r="B2981" s="21">
        <f>IF(AND(C2981&lt;&gt;"", J2981&lt;&gt;""), HYPERLINK("#'" &amp; C2981 &amp; "'!" &amp; J2981, J2981), "")</f>
        <v/>
      </c>
    </row>
    <row r="2982">
      <c r="B2982" s="21">
        <f>IF(AND(C2982&lt;&gt;"", J2982&lt;&gt;""), HYPERLINK("#'" &amp; C2982 &amp; "'!" &amp; J2982, J2982), "")</f>
        <v/>
      </c>
    </row>
    <row r="2983">
      <c r="B2983" s="21">
        <f>IF(AND(C2983&lt;&gt;"", J2983&lt;&gt;""), HYPERLINK("#'" &amp; C2983 &amp; "'!" &amp; J2983, J2983), "")</f>
        <v/>
      </c>
    </row>
    <row r="2984">
      <c r="B2984" s="21">
        <f>IF(AND(C2984&lt;&gt;"", J2984&lt;&gt;""), HYPERLINK("#'" &amp; C2984 &amp; "'!" &amp; J2984, J2984), "")</f>
        <v/>
      </c>
    </row>
    <row r="2985">
      <c r="B2985" s="21">
        <f>IF(AND(C2985&lt;&gt;"", J2985&lt;&gt;""), HYPERLINK("#'" &amp; C2985 &amp; "'!" &amp; J2985, J2985), "")</f>
        <v/>
      </c>
    </row>
    <row r="2986">
      <c r="B2986" s="21">
        <f>IF(AND(C2986&lt;&gt;"", J2986&lt;&gt;""), HYPERLINK("#'" &amp; C2986 &amp; "'!" &amp; J2986, J2986), "")</f>
        <v/>
      </c>
    </row>
    <row r="2987">
      <c r="B2987" s="21">
        <f>IF(AND(C2987&lt;&gt;"", J2987&lt;&gt;""), HYPERLINK("#'" &amp; C2987 &amp; "'!" &amp; J2987, J2987), "")</f>
        <v/>
      </c>
    </row>
    <row r="2988">
      <c r="B2988" s="21">
        <f>IF(AND(C2988&lt;&gt;"", J2988&lt;&gt;""), HYPERLINK("#'" &amp; C2988 &amp; "'!" &amp; J2988, J2988), "")</f>
        <v/>
      </c>
    </row>
    <row r="2989">
      <c r="B2989" s="21">
        <f>IF(AND(C2989&lt;&gt;"", J2989&lt;&gt;""), HYPERLINK("#'" &amp; C2989 &amp; "'!" &amp; J2989, J2989), "")</f>
        <v/>
      </c>
    </row>
    <row r="2990">
      <c r="B2990" s="21">
        <f>IF(AND(C2990&lt;&gt;"", J2990&lt;&gt;""), HYPERLINK("#'" &amp; C2990 &amp; "'!" &amp; J2990, J2990), "")</f>
        <v/>
      </c>
    </row>
    <row r="2991">
      <c r="B2991" s="21">
        <f>IF(AND(C2991&lt;&gt;"", J2991&lt;&gt;""), HYPERLINK("#'" &amp; C2991 &amp; "'!" &amp; J2991, J2991), "")</f>
        <v/>
      </c>
    </row>
    <row r="2992">
      <c r="B2992" s="21">
        <f>IF(AND(C2992&lt;&gt;"", J2992&lt;&gt;""), HYPERLINK("#'" &amp; C2992 &amp; "'!" &amp; J2992, J2992), "")</f>
        <v/>
      </c>
    </row>
    <row r="2993">
      <c r="B2993" s="21">
        <f>IF(AND(C2993&lt;&gt;"", J2993&lt;&gt;""), HYPERLINK("#'" &amp; C2993 &amp; "'!" &amp; J2993, J2993), "")</f>
        <v/>
      </c>
    </row>
    <row r="2994">
      <c r="B2994" s="21">
        <f>IF(AND(C2994&lt;&gt;"", J2994&lt;&gt;""), HYPERLINK("#'" &amp; C2994 &amp; "'!" &amp; J2994, J2994), "")</f>
        <v/>
      </c>
    </row>
    <row r="2995">
      <c r="B2995" s="21">
        <f>IF(AND(C2995&lt;&gt;"", J2995&lt;&gt;""), HYPERLINK("#'" &amp; C2995 &amp; "'!" &amp; J2995, J2995), "")</f>
        <v/>
      </c>
    </row>
    <row r="2996">
      <c r="B2996" s="21">
        <f>IF(AND(C2996&lt;&gt;"", J2996&lt;&gt;""), HYPERLINK("#'" &amp; C2996 &amp; "'!" &amp; J2996, J2996), "")</f>
        <v/>
      </c>
    </row>
    <row r="2997">
      <c r="B2997" s="21">
        <f>IF(AND(C2997&lt;&gt;"", J2997&lt;&gt;""), HYPERLINK("#'" &amp; C2997 &amp; "'!" &amp; J2997, J2997), "")</f>
        <v/>
      </c>
    </row>
    <row r="2998">
      <c r="B2998" s="21">
        <f>IF(AND(C2998&lt;&gt;"", J2998&lt;&gt;""), HYPERLINK("#'" &amp; C2998 &amp; "'!" &amp; J2998, J2998), "")</f>
        <v/>
      </c>
    </row>
    <row r="2999">
      <c r="B2999" s="21">
        <f>IF(AND(C2999&lt;&gt;"", J2999&lt;&gt;""), HYPERLINK("#'" &amp; C2999 &amp; "'!" &amp; J2999, J2999), "")</f>
        <v/>
      </c>
    </row>
    <row r="3000">
      <c r="B3000" s="21">
        <f>IF(AND(C3000&lt;&gt;"", J3000&lt;&gt;""), HYPERLINK("#'" &amp; C3000 &amp; "'!" &amp; J3000, J3000), "")</f>
        <v/>
      </c>
    </row>
    <row r="3001">
      <c r="B3001" s="21">
        <f>IF(AND(C3001&lt;&gt;"", J3001&lt;&gt;""), HYPERLINK("#'" &amp; C3001 &amp; "'!" &amp; J3001, J3001), "")</f>
        <v/>
      </c>
    </row>
    <row r="3002">
      <c r="B3002" s="21">
        <f>IF(AND(C3002&lt;&gt;"", J3002&lt;&gt;""), HYPERLINK("#'" &amp; C3002 &amp; "'!" &amp; J3002, J3002), "")</f>
        <v/>
      </c>
    </row>
    <row r="3003">
      <c r="B3003" s="21">
        <f>IF(AND(C3003&lt;&gt;"", J3003&lt;&gt;""), HYPERLINK("#'" &amp; C3003 &amp; "'!" &amp; J3003, J3003), "")</f>
        <v/>
      </c>
    </row>
    <row r="3004">
      <c r="B3004" s="21">
        <f>IF(AND(C3004&lt;&gt;"", J3004&lt;&gt;""), HYPERLINK("#'" &amp; C3004 &amp; "'!" &amp; J3004, J3004), "")</f>
        <v/>
      </c>
    </row>
    <row r="3005">
      <c r="B3005" s="21">
        <f>IF(AND(C3005&lt;&gt;"", J3005&lt;&gt;""), HYPERLINK("#'" &amp; C3005 &amp; "'!" &amp; J3005, J3005), "")</f>
        <v/>
      </c>
    </row>
    <row r="3006">
      <c r="B3006" s="21">
        <f>IF(AND(C3006&lt;&gt;"", J3006&lt;&gt;""), HYPERLINK("#'" &amp; C3006 &amp; "'!" &amp; J3006, J3006), "")</f>
        <v/>
      </c>
    </row>
    <row r="3007">
      <c r="B3007" s="21">
        <f>IF(AND(C3007&lt;&gt;"", J3007&lt;&gt;""), HYPERLINK("#'" &amp; C3007 &amp; "'!" &amp; J3007, J3007), "")</f>
        <v/>
      </c>
    </row>
    <row r="3008">
      <c r="B3008" s="21">
        <f>IF(AND(C3008&lt;&gt;"", J3008&lt;&gt;""), HYPERLINK("#'" &amp; C3008 &amp; "'!" &amp; J3008, J3008), "")</f>
        <v/>
      </c>
    </row>
    <row r="3009">
      <c r="B3009" s="21">
        <f>IF(AND(C3009&lt;&gt;"", J3009&lt;&gt;""), HYPERLINK("#'" &amp; C3009 &amp; "'!" &amp; J3009, J3009), "")</f>
        <v/>
      </c>
    </row>
    <row r="3010">
      <c r="B3010" s="21">
        <f>IF(AND(C3010&lt;&gt;"", J3010&lt;&gt;""), HYPERLINK("#'" &amp; C3010 &amp; "'!" &amp; J3010, J3010), "")</f>
        <v/>
      </c>
    </row>
    <row r="3011">
      <c r="B3011" s="21">
        <f>IF(AND(C3011&lt;&gt;"", J3011&lt;&gt;""), HYPERLINK("#'" &amp; C3011 &amp; "'!" &amp; J3011, J3011), "")</f>
        <v/>
      </c>
    </row>
    <row r="3012">
      <c r="B3012" s="21">
        <f>IF(AND(C3012&lt;&gt;"", J3012&lt;&gt;""), HYPERLINK("#'" &amp; C3012 &amp; "'!" &amp; J3012, J3012), "")</f>
        <v/>
      </c>
    </row>
    <row r="3013">
      <c r="B3013" s="21">
        <f>IF(AND(C3013&lt;&gt;"", J3013&lt;&gt;""), HYPERLINK("#'" &amp; C3013 &amp; "'!" &amp; J3013, J3013), "")</f>
        <v/>
      </c>
    </row>
    <row r="3014">
      <c r="B3014" s="21">
        <f>IF(AND(C3014&lt;&gt;"", J3014&lt;&gt;""), HYPERLINK("#'" &amp; C3014 &amp; "'!" &amp; J3014, J3014), "")</f>
        <v/>
      </c>
    </row>
    <row r="3015">
      <c r="B3015" s="21">
        <f>IF(AND(C3015&lt;&gt;"", J3015&lt;&gt;""), HYPERLINK("#'" &amp; C3015 &amp; "'!" &amp; J3015, J3015), "")</f>
        <v/>
      </c>
    </row>
    <row r="3016">
      <c r="B3016" s="21">
        <f>IF(AND(C3016&lt;&gt;"", J3016&lt;&gt;""), HYPERLINK("#'" &amp; C3016 &amp; "'!" &amp; J3016, J3016), "")</f>
        <v/>
      </c>
    </row>
    <row r="3017">
      <c r="B3017" s="21">
        <f>IF(AND(C3017&lt;&gt;"", J3017&lt;&gt;""), HYPERLINK("#'" &amp; C3017 &amp; "'!" &amp; J3017, J3017), "")</f>
        <v/>
      </c>
    </row>
    <row r="3018">
      <c r="B3018" s="21">
        <f>IF(AND(C3018&lt;&gt;"", J3018&lt;&gt;""), HYPERLINK("#'" &amp; C3018 &amp; "'!" &amp; J3018, J3018), "")</f>
        <v/>
      </c>
    </row>
    <row r="3019">
      <c r="B3019" s="21">
        <f>IF(AND(C3019&lt;&gt;"", J3019&lt;&gt;""), HYPERLINK("#'" &amp; C3019 &amp; "'!" &amp; J3019, J3019), "")</f>
        <v/>
      </c>
    </row>
    <row r="3020">
      <c r="B3020" s="21">
        <f>IF(AND(C3020&lt;&gt;"", J3020&lt;&gt;""), HYPERLINK("#'" &amp; C3020 &amp; "'!" &amp; J3020, J3020), "")</f>
        <v/>
      </c>
    </row>
    <row r="3021">
      <c r="B3021" s="21">
        <f>IF(AND(C3021&lt;&gt;"", J3021&lt;&gt;""), HYPERLINK("#'" &amp; C3021 &amp; "'!" &amp; J3021, J3021), "")</f>
        <v/>
      </c>
    </row>
    <row r="3022">
      <c r="B3022" s="21">
        <f>IF(AND(C3022&lt;&gt;"", J3022&lt;&gt;""), HYPERLINK("#'" &amp; C3022 &amp; "'!" &amp; J3022, J3022), "")</f>
        <v/>
      </c>
    </row>
    <row r="3023">
      <c r="B3023" s="21">
        <f>IF(AND(C3023&lt;&gt;"", J3023&lt;&gt;""), HYPERLINK("#'" &amp; C3023 &amp; "'!" &amp; J3023, J3023), "")</f>
        <v/>
      </c>
    </row>
    <row r="3024">
      <c r="B3024" s="21">
        <f>IF(AND(C3024&lt;&gt;"", J3024&lt;&gt;""), HYPERLINK("#'" &amp; C3024 &amp; "'!" &amp; J3024, J3024), "")</f>
        <v/>
      </c>
    </row>
    <row r="3025">
      <c r="B3025" s="21">
        <f>IF(AND(C3025&lt;&gt;"", J3025&lt;&gt;""), HYPERLINK("#'" &amp; C3025 &amp; "'!" &amp; J3025, J3025), "")</f>
        <v/>
      </c>
    </row>
    <row r="3026">
      <c r="B3026" s="21">
        <f>IF(AND(C3026&lt;&gt;"", J3026&lt;&gt;""), HYPERLINK("#'" &amp; C3026 &amp; "'!" &amp; J3026, J3026), "")</f>
        <v/>
      </c>
    </row>
    <row r="3027">
      <c r="B3027" s="21">
        <f>IF(AND(C3027&lt;&gt;"", J3027&lt;&gt;""), HYPERLINK("#'" &amp; C3027 &amp; "'!" &amp; J3027, J3027), "")</f>
        <v/>
      </c>
    </row>
    <row r="3028">
      <c r="B3028" s="21">
        <f>IF(AND(C3028&lt;&gt;"", J3028&lt;&gt;""), HYPERLINK("#'" &amp; C3028 &amp; "'!" &amp; J3028, J3028), "")</f>
        <v/>
      </c>
    </row>
    <row r="3029">
      <c r="B3029" s="21">
        <f>IF(AND(C3029&lt;&gt;"", J3029&lt;&gt;""), HYPERLINK("#'" &amp; C3029 &amp; "'!" &amp; J3029, J3029), "")</f>
        <v/>
      </c>
    </row>
    <row r="3030">
      <c r="B3030" s="21">
        <f>IF(AND(C3030&lt;&gt;"", J3030&lt;&gt;""), HYPERLINK("#'" &amp; C3030 &amp; "'!" &amp; J3030, J3030), "")</f>
        <v/>
      </c>
    </row>
    <row r="3031">
      <c r="B3031" s="21">
        <f>IF(AND(C3031&lt;&gt;"", J3031&lt;&gt;""), HYPERLINK("#'" &amp; C3031 &amp; "'!" &amp; J3031, J3031), "")</f>
        <v/>
      </c>
    </row>
    <row r="3032">
      <c r="B3032" s="21">
        <f>IF(AND(C3032&lt;&gt;"", J3032&lt;&gt;""), HYPERLINK("#'" &amp; C3032 &amp; "'!" &amp; J3032, J3032), "")</f>
        <v/>
      </c>
    </row>
    <row r="3033">
      <c r="B3033" s="21">
        <f>IF(AND(C3033&lt;&gt;"", J3033&lt;&gt;""), HYPERLINK("#'" &amp; C3033 &amp; "'!" &amp; J3033, J3033), "")</f>
        <v/>
      </c>
    </row>
    <row r="3034">
      <c r="B3034" s="21">
        <f>IF(AND(C3034&lt;&gt;"", J3034&lt;&gt;""), HYPERLINK("#'" &amp; C3034 &amp; "'!" &amp; J3034, J3034), "")</f>
        <v/>
      </c>
    </row>
    <row r="3035">
      <c r="B3035" s="21">
        <f>IF(AND(C3035&lt;&gt;"", J3035&lt;&gt;""), HYPERLINK("#'" &amp; C3035 &amp; "'!" &amp; J3035, J3035), "")</f>
        <v/>
      </c>
    </row>
    <row r="3036">
      <c r="B3036" s="21">
        <f>IF(AND(C3036&lt;&gt;"", J3036&lt;&gt;""), HYPERLINK("#'" &amp; C3036 &amp; "'!" &amp; J3036, J3036), "")</f>
        <v/>
      </c>
    </row>
    <row r="3037">
      <c r="B3037" s="21">
        <f>IF(AND(C3037&lt;&gt;"", J3037&lt;&gt;""), HYPERLINK("#'" &amp; C3037 &amp; "'!" &amp; J3037, J3037), "")</f>
        <v/>
      </c>
    </row>
    <row r="3038">
      <c r="B3038" s="21">
        <f>IF(AND(C3038&lt;&gt;"", J3038&lt;&gt;""), HYPERLINK("#'" &amp; C3038 &amp; "'!" &amp; J3038, J3038), "")</f>
        <v/>
      </c>
    </row>
    <row r="3039">
      <c r="B3039" s="21">
        <f>IF(AND(C3039&lt;&gt;"", J3039&lt;&gt;""), HYPERLINK("#'" &amp; C3039 &amp; "'!" &amp; J3039, J3039), "")</f>
        <v/>
      </c>
    </row>
    <row r="3040">
      <c r="B3040" s="21">
        <f>IF(AND(C3040&lt;&gt;"", J3040&lt;&gt;""), HYPERLINK("#'" &amp; C3040 &amp; "'!" &amp; J3040, J3040), "")</f>
        <v/>
      </c>
    </row>
    <row r="3041">
      <c r="B3041" s="21">
        <f>IF(AND(C3041&lt;&gt;"", J3041&lt;&gt;""), HYPERLINK("#'" &amp; C3041 &amp; "'!" &amp; J3041, J3041), "")</f>
        <v/>
      </c>
    </row>
    <row r="3042">
      <c r="B3042" s="21">
        <f>IF(AND(C3042&lt;&gt;"", J3042&lt;&gt;""), HYPERLINK("#'" &amp; C3042 &amp; "'!" &amp; J3042, J3042), "")</f>
        <v/>
      </c>
    </row>
    <row r="3043">
      <c r="B3043" s="21">
        <f>IF(AND(C3043&lt;&gt;"", J3043&lt;&gt;""), HYPERLINK("#'" &amp; C3043 &amp; "'!" &amp; J3043, J3043), "")</f>
        <v/>
      </c>
    </row>
    <row r="3044">
      <c r="B3044" s="21">
        <f>IF(AND(C3044&lt;&gt;"", J3044&lt;&gt;""), HYPERLINK("#'" &amp; C3044 &amp; "'!" &amp; J3044, J3044), "")</f>
        <v/>
      </c>
    </row>
    <row r="3045">
      <c r="B3045" s="21">
        <f>IF(AND(C3045&lt;&gt;"", J3045&lt;&gt;""), HYPERLINK("#'" &amp; C3045 &amp; "'!" &amp; J3045, J3045), "")</f>
        <v/>
      </c>
    </row>
    <row r="3046">
      <c r="B3046" s="21">
        <f>IF(AND(C3046&lt;&gt;"", J3046&lt;&gt;""), HYPERLINK("#'" &amp; C3046 &amp; "'!" &amp; J3046, J3046), "")</f>
        <v/>
      </c>
    </row>
    <row r="3047">
      <c r="B3047" s="21">
        <f>IF(AND(C3047&lt;&gt;"", J3047&lt;&gt;""), HYPERLINK("#'" &amp; C3047 &amp; "'!" &amp; J3047, J3047), "")</f>
        <v/>
      </c>
    </row>
    <row r="3048">
      <c r="B3048" s="21">
        <f>IF(AND(C3048&lt;&gt;"", J3048&lt;&gt;""), HYPERLINK("#'" &amp; C3048 &amp; "'!" &amp; J3048, J3048), "")</f>
        <v/>
      </c>
    </row>
    <row r="3049">
      <c r="B3049" s="21">
        <f>IF(AND(C3049&lt;&gt;"", J3049&lt;&gt;""), HYPERLINK("#'" &amp; C3049 &amp; "'!" &amp; J3049, J3049), "")</f>
        <v/>
      </c>
    </row>
    <row r="3050">
      <c r="B3050" s="21">
        <f>IF(AND(C3050&lt;&gt;"", J3050&lt;&gt;""), HYPERLINK("#'" &amp; C3050 &amp; "'!" &amp; J3050, J3050), "")</f>
        <v/>
      </c>
    </row>
    <row r="3051">
      <c r="B3051" s="21">
        <f>IF(AND(C3051&lt;&gt;"", J3051&lt;&gt;""), HYPERLINK("#'" &amp; C3051 &amp; "'!" &amp; J3051, J3051), "")</f>
        <v/>
      </c>
    </row>
    <row r="3052">
      <c r="B3052" s="21">
        <f>IF(AND(C3052&lt;&gt;"", J3052&lt;&gt;""), HYPERLINK("#'" &amp; C3052 &amp; "'!" &amp; J3052, J3052), "")</f>
        <v/>
      </c>
    </row>
    <row r="3053">
      <c r="B3053" s="21">
        <f>IF(AND(C3053&lt;&gt;"", J3053&lt;&gt;""), HYPERLINK("#'" &amp; C3053 &amp; "'!" &amp; J3053, J3053), "")</f>
        <v/>
      </c>
    </row>
    <row r="3054">
      <c r="B3054" s="21">
        <f>IF(AND(C3054&lt;&gt;"", J3054&lt;&gt;""), HYPERLINK("#'" &amp; C3054 &amp; "'!" &amp; J3054, J3054), "")</f>
        <v/>
      </c>
    </row>
    <row r="3055">
      <c r="B3055" s="21">
        <f>IF(AND(C3055&lt;&gt;"", J3055&lt;&gt;""), HYPERLINK("#'" &amp; C3055 &amp; "'!" &amp; J3055, J3055), "")</f>
        <v/>
      </c>
    </row>
    <row r="3056">
      <c r="B3056" s="21">
        <f>IF(AND(C3056&lt;&gt;"", J3056&lt;&gt;""), HYPERLINK("#'" &amp; C3056 &amp; "'!" &amp; J3056, J3056), "")</f>
        <v/>
      </c>
    </row>
    <row r="3057">
      <c r="B3057" s="21">
        <f>IF(AND(C3057&lt;&gt;"", J3057&lt;&gt;""), HYPERLINK("#'" &amp; C3057 &amp; "'!" &amp; J3057, J3057), "")</f>
        <v/>
      </c>
    </row>
    <row r="3058">
      <c r="B3058" s="21">
        <f>IF(AND(C3058&lt;&gt;"", J3058&lt;&gt;""), HYPERLINK("#'" &amp; C3058 &amp; "'!" &amp; J3058, J3058), "")</f>
        <v/>
      </c>
    </row>
    <row r="3059">
      <c r="B3059" s="21">
        <f>IF(AND(C3059&lt;&gt;"", J3059&lt;&gt;""), HYPERLINK("#'" &amp; C3059 &amp; "'!" &amp; J3059, J3059), "")</f>
        <v/>
      </c>
    </row>
    <row r="3060">
      <c r="B3060" s="21">
        <f>IF(AND(C3060&lt;&gt;"", J3060&lt;&gt;""), HYPERLINK("#'" &amp; C3060 &amp; "'!" &amp; J3060, J3060), "")</f>
        <v/>
      </c>
    </row>
    <row r="3061">
      <c r="B3061" s="21">
        <f>IF(AND(C3061&lt;&gt;"", J3061&lt;&gt;""), HYPERLINK("#'" &amp; C3061 &amp; "'!" &amp; J3061, J3061), "")</f>
        <v/>
      </c>
    </row>
    <row r="3062">
      <c r="B3062" s="21">
        <f>IF(AND(C3062&lt;&gt;"", J3062&lt;&gt;""), HYPERLINK("#'" &amp; C3062 &amp; "'!" &amp; J3062, J3062), "")</f>
        <v/>
      </c>
    </row>
    <row r="3063">
      <c r="B3063" s="21">
        <f>IF(AND(C3063&lt;&gt;"", J3063&lt;&gt;""), HYPERLINK("#'" &amp; C3063 &amp; "'!" &amp; J3063, J3063), "")</f>
        <v/>
      </c>
    </row>
    <row r="3064">
      <c r="B3064" s="21">
        <f>IF(AND(C3064&lt;&gt;"", J3064&lt;&gt;""), HYPERLINK("#'" &amp; C3064 &amp; "'!" &amp; J3064, J3064), "")</f>
        <v/>
      </c>
    </row>
    <row r="3065">
      <c r="B3065" s="21">
        <f>IF(AND(C3065&lt;&gt;"", J3065&lt;&gt;""), HYPERLINK("#'" &amp; C3065 &amp; "'!" &amp; J3065, J3065), "")</f>
        <v/>
      </c>
    </row>
    <row r="3066">
      <c r="B3066" s="21">
        <f>IF(AND(C3066&lt;&gt;"", J3066&lt;&gt;""), HYPERLINK("#'" &amp; C3066 &amp; "'!" &amp; J3066, J3066), "")</f>
        <v/>
      </c>
    </row>
    <row r="3067">
      <c r="B3067" s="21">
        <f>IF(AND(C3067&lt;&gt;"", J3067&lt;&gt;""), HYPERLINK("#'" &amp; C3067 &amp; "'!" &amp; J3067, J3067), "")</f>
        <v/>
      </c>
    </row>
    <row r="3068">
      <c r="B3068" s="21">
        <f>IF(AND(C3068&lt;&gt;"", J3068&lt;&gt;""), HYPERLINK("#'" &amp; C3068 &amp; "'!" &amp; J3068, J3068), "")</f>
        <v/>
      </c>
    </row>
    <row r="3069">
      <c r="B3069" s="21">
        <f>IF(AND(C3069&lt;&gt;"", J3069&lt;&gt;""), HYPERLINK("#'" &amp; C3069 &amp; "'!" &amp; J3069, J3069), "")</f>
        <v/>
      </c>
    </row>
    <row r="3070">
      <c r="B3070" s="21">
        <f>IF(AND(C3070&lt;&gt;"", J3070&lt;&gt;""), HYPERLINK("#'" &amp; C3070 &amp; "'!" &amp; J3070, J3070), "")</f>
        <v/>
      </c>
    </row>
    <row r="3071">
      <c r="B3071" s="21">
        <f>IF(AND(C3071&lt;&gt;"", J3071&lt;&gt;""), HYPERLINK("#'" &amp; C3071 &amp; "'!" &amp; J3071, J3071), "")</f>
        <v/>
      </c>
    </row>
    <row r="3072">
      <c r="B3072" s="21">
        <f>IF(AND(C3072&lt;&gt;"", J3072&lt;&gt;""), HYPERLINK("#'" &amp; C3072 &amp; "'!" &amp; J3072, J3072), "")</f>
        <v/>
      </c>
    </row>
    <row r="3073">
      <c r="B3073" s="21">
        <f>IF(AND(C3073&lt;&gt;"", J3073&lt;&gt;""), HYPERLINK("#'" &amp; C3073 &amp; "'!" &amp; J3073, J3073), "")</f>
        <v/>
      </c>
    </row>
    <row r="3074">
      <c r="B3074" s="21">
        <f>IF(AND(C3074&lt;&gt;"", J3074&lt;&gt;""), HYPERLINK("#'" &amp; C3074 &amp; "'!" &amp; J3074, J3074), "")</f>
        <v/>
      </c>
    </row>
    <row r="3075">
      <c r="B3075" s="21">
        <f>IF(AND(C3075&lt;&gt;"", J3075&lt;&gt;""), HYPERLINK("#'" &amp; C3075 &amp; "'!" &amp; J3075, J3075), "")</f>
        <v/>
      </c>
    </row>
    <row r="3076">
      <c r="B3076" s="21">
        <f>IF(AND(C3076&lt;&gt;"", J3076&lt;&gt;""), HYPERLINK("#'" &amp; C3076 &amp; "'!" &amp; J3076, J3076), "")</f>
        <v/>
      </c>
    </row>
    <row r="3077">
      <c r="B3077" s="21">
        <f>IF(AND(C3077&lt;&gt;"", J3077&lt;&gt;""), HYPERLINK("#'" &amp; C3077 &amp; "'!" &amp; J3077, J3077), "")</f>
        <v/>
      </c>
    </row>
    <row r="3078">
      <c r="B3078" s="21">
        <f>IF(AND(C3078&lt;&gt;"", J3078&lt;&gt;""), HYPERLINK("#'" &amp; C3078 &amp; "'!" &amp; J3078, J3078), "")</f>
        <v/>
      </c>
    </row>
    <row r="3079">
      <c r="B3079" s="21">
        <f>IF(AND(C3079&lt;&gt;"", J3079&lt;&gt;""), HYPERLINK("#'" &amp; C3079 &amp; "'!" &amp; J3079, J3079), "")</f>
        <v/>
      </c>
    </row>
    <row r="3080">
      <c r="B3080" s="21">
        <f>IF(AND(C3080&lt;&gt;"", J3080&lt;&gt;""), HYPERLINK("#'" &amp; C3080 &amp; "'!" &amp; J3080, J3080), "")</f>
        <v/>
      </c>
    </row>
    <row r="3081">
      <c r="B3081" s="21">
        <f>IF(AND(C3081&lt;&gt;"", J3081&lt;&gt;""), HYPERLINK("#'" &amp; C3081 &amp; "'!" &amp; J3081, J3081), "")</f>
        <v/>
      </c>
    </row>
    <row r="3082">
      <c r="B3082" s="21">
        <f>IF(AND(C3082&lt;&gt;"", J3082&lt;&gt;""), HYPERLINK("#'" &amp; C3082 &amp; "'!" &amp; J3082, J3082), "")</f>
        <v/>
      </c>
    </row>
    <row r="3083">
      <c r="B3083" s="21">
        <f>IF(AND(C3083&lt;&gt;"", J3083&lt;&gt;""), HYPERLINK("#'" &amp; C3083 &amp; "'!" &amp; J3083, J3083), "")</f>
        <v/>
      </c>
    </row>
    <row r="3084">
      <c r="B3084" s="21">
        <f>IF(AND(C3084&lt;&gt;"", J3084&lt;&gt;""), HYPERLINK("#'" &amp; C3084 &amp; "'!" &amp; J3084, J3084), "")</f>
        <v/>
      </c>
    </row>
    <row r="3085">
      <c r="B3085" s="21">
        <f>IF(AND(C3085&lt;&gt;"", J3085&lt;&gt;""), HYPERLINK("#'" &amp; C3085 &amp; "'!" &amp; J3085, J3085), "")</f>
        <v/>
      </c>
    </row>
    <row r="3086">
      <c r="B3086" s="21">
        <f>IF(AND(C3086&lt;&gt;"", J3086&lt;&gt;""), HYPERLINK("#'" &amp; C3086 &amp; "'!" &amp; J3086, J3086), "")</f>
        <v/>
      </c>
    </row>
    <row r="3087">
      <c r="B3087" s="21">
        <f>IF(AND(C3087&lt;&gt;"", J3087&lt;&gt;""), HYPERLINK("#'" &amp; C3087 &amp; "'!" &amp; J3087, J3087), "")</f>
        <v/>
      </c>
    </row>
    <row r="3088">
      <c r="B3088" s="21">
        <f>IF(AND(C3088&lt;&gt;"", J3088&lt;&gt;""), HYPERLINK("#'" &amp; C3088 &amp; "'!" &amp; J3088, J3088), "")</f>
        <v/>
      </c>
    </row>
    <row r="3089">
      <c r="B3089" s="21">
        <f>IF(AND(C3089&lt;&gt;"", J3089&lt;&gt;""), HYPERLINK("#'" &amp; C3089 &amp; "'!" &amp; J3089, J3089), "")</f>
        <v/>
      </c>
    </row>
    <row r="3090">
      <c r="B3090" s="21">
        <f>IF(AND(C3090&lt;&gt;"", J3090&lt;&gt;""), HYPERLINK("#'" &amp; C3090 &amp; "'!" &amp; J3090, J3090), "")</f>
        <v/>
      </c>
    </row>
    <row r="3091">
      <c r="B3091" s="21">
        <f>IF(AND(C3091&lt;&gt;"", J3091&lt;&gt;""), HYPERLINK("#'" &amp; C3091 &amp; "'!" &amp; J3091, J3091), "")</f>
        <v/>
      </c>
    </row>
    <row r="3092">
      <c r="B3092" s="21">
        <f>IF(AND(C3092&lt;&gt;"", J3092&lt;&gt;""), HYPERLINK("#'" &amp; C3092 &amp; "'!" &amp; J3092, J3092), "")</f>
        <v/>
      </c>
    </row>
    <row r="3093">
      <c r="B3093" s="21">
        <f>IF(AND(C3093&lt;&gt;"", J3093&lt;&gt;""), HYPERLINK("#'" &amp; C3093 &amp; "'!" &amp; J3093, J3093), "")</f>
        <v/>
      </c>
    </row>
    <row r="3094">
      <c r="B3094" s="21">
        <f>IF(AND(C3094&lt;&gt;"", J3094&lt;&gt;""), HYPERLINK("#'" &amp; C3094 &amp; "'!" &amp; J3094, J3094), "")</f>
        <v/>
      </c>
    </row>
    <row r="3095">
      <c r="B3095" s="21">
        <f>IF(AND(C3095&lt;&gt;"", J3095&lt;&gt;""), HYPERLINK("#'" &amp; C3095 &amp; "'!" &amp; J3095, J3095), "")</f>
        <v/>
      </c>
    </row>
    <row r="3096">
      <c r="B3096" s="21">
        <f>IF(AND(C3096&lt;&gt;"", J3096&lt;&gt;""), HYPERLINK("#'" &amp; C3096 &amp; "'!" &amp; J3096, J3096), "")</f>
        <v/>
      </c>
    </row>
    <row r="3097">
      <c r="B3097" s="21">
        <f>IF(AND(C3097&lt;&gt;"", J3097&lt;&gt;""), HYPERLINK("#'" &amp; C3097 &amp; "'!" &amp; J3097, J3097), "")</f>
        <v/>
      </c>
    </row>
    <row r="3098">
      <c r="B3098" s="21">
        <f>IF(AND(C3098&lt;&gt;"", J3098&lt;&gt;""), HYPERLINK("#'" &amp; C3098 &amp; "'!" &amp; J3098, J3098), "")</f>
        <v/>
      </c>
    </row>
    <row r="3099">
      <c r="B3099" s="21">
        <f>IF(AND(C3099&lt;&gt;"", J3099&lt;&gt;""), HYPERLINK("#'" &amp; C3099 &amp; "'!" &amp; J3099, J3099), "")</f>
        <v/>
      </c>
    </row>
    <row r="3100">
      <c r="B3100" s="21">
        <f>IF(AND(C3100&lt;&gt;"", J3100&lt;&gt;""), HYPERLINK("#'" &amp; C3100 &amp; "'!" &amp; J3100, J3100), "")</f>
        <v/>
      </c>
    </row>
    <row r="3101">
      <c r="B3101" s="21">
        <f>IF(AND(C3101&lt;&gt;"", J3101&lt;&gt;""), HYPERLINK("#'" &amp; C3101 &amp; "'!" &amp; J3101, J3101), "")</f>
        <v/>
      </c>
    </row>
    <row r="3102">
      <c r="B3102" s="21">
        <f>IF(AND(C3102&lt;&gt;"", J3102&lt;&gt;""), HYPERLINK("#'" &amp; C3102 &amp; "'!" &amp; J3102, J3102), "")</f>
        <v/>
      </c>
    </row>
    <row r="3103">
      <c r="B3103" s="21">
        <f>IF(AND(C3103&lt;&gt;"", J3103&lt;&gt;""), HYPERLINK("#'" &amp; C3103 &amp; "'!" &amp; J3103, J3103), "")</f>
        <v/>
      </c>
    </row>
    <row r="3104">
      <c r="B3104" s="21">
        <f>IF(AND(C3104&lt;&gt;"", J3104&lt;&gt;""), HYPERLINK("#'" &amp; C3104 &amp; "'!" &amp; J3104, J3104), "")</f>
        <v/>
      </c>
    </row>
    <row r="3105">
      <c r="B3105" s="21">
        <f>IF(AND(C3105&lt;&gt;"", J3105&lt;&gt;""), HYPERLINK("#'" &amp; C3105 &amp; "'!" &amp; J3105, J3105), "")</f>
        <v/>
      </c>
    </row>
    <row r="3106">
      <c r="B3106" s="21">
        <f>IF(AND(C3106&lt;&gt;"", J3106&lt;&gt;""), HYPERLINK("#'" &amp; C3106 &amp; "'!" &amp; J3106, J3106), "")</f>
        <v/>
      </c>
    </row>
    <row r="3107">
      <c r="B3107" s="21">
        <f>IF(AND(C3107&lt;&gt;"", J3107&lt;&gt;""), HYPERLINK("#'" &amp; C3107 &amp; "'!" &amp; J3107, J3107), "")</f>
        <v/>
      </c>
    </row>
    <row r="3108">
      <c r="B3108" s="21">
        <f>IF(AND(C3108&lt;&gt;"", J3108&lt;&gt;""), HYPERLINK("#'" &amp; C3108 &amp; "'!" &amp; J3108, J3108), "")</f>
        <v/>
      </c>
    </row>
    <row r="3109">
      <c r="B3109" s="21">
        <f>IF(AND(C3109&lt;&gt;"", J3109&lt;&gt;""), HYPERLINK("#'" &amp; C3109 &amp; "'!" &amp; J3109, J3109), "")</f>
        <v/>
      </c>
    </row>
    <row r="3110">
      <c r="B3110" s="21">
        <f>IF(AND(C3110&lt;&gt;"", J3110&lt;&gt;""), HYPERLINK("#'" &amp; C3110 &amp; "'!" &amp; J3110, J3110), "")</f>
        <v/>
      </c>
    </row>
    <row r="3111">
      <c r="B3111" s="21">
        <f>IF(AND(C3111&lt;&gt;"", J3111&lt;&gt;""), HYPERLINK("#'" &amp; C3111 &amp; "'!" &amp; J3111, J3111), "")</f>
        <v/>
      </c>
    </row>
    <row r="3112">
      <c r="B3112" s="21">
        <f>IF(AND(C3112&lt;&gt;"", J3112&lt;&gt;""), HYPERLINK("#'" &amp; C3112 &amp; "'!" &amp; J3112, J3112), "")</f>
        <v/>
      </c>
    </row>
    <row r="3113">
      <c r="B3113" s="21">
        <f>IF(AND(C3113&lt;&gt;"", J3113&lt;&gt;""), HYPERLINK("#'" &amp; C3113 &amp; "'!" &amp; J3113, J3113), "")</f>
        <v/>
      </c>
    </row>
    <row r="3114">
      <c r="B3114" s="21">
        <f>IF(AND(C3114&lt;&gt;"", J3114&lt;&gt;""), HYPERLINK("#'" &amp; C3114 &amp; "'!" &amp; J3114, J3114), "")</f>
        <v/>
      </c>
    </row>
    <row r="3115">
      <c r="B3115" s="21">
        <f>IF(AND(C3115&lt;&gt;"", J3115&lt;&gt;""), HYPERLINK("#'" &amp; C3115 &amp; "'!" &amp; J3115, J3115), "")</f>
        <v/>
      </c>
    </row>
    <row r="3116">
      <c r="B3116" s="21">
        <f>IF(AND(C3116&lt;&gt;"", J3116&lt;&gt;""), HYPERLINK("#'" &amp; C3116 &amp; "'!" &amp; J3116, J3116), "")</f>
        <v/>
      </c>
    </row>
    <row r="3117">
      <c r="B3117" s="21">
        <f>IF(AND(C3117&lt;&gt;"", J3117&lt;&gt;""), HYPERLINK("#'" &amp; C3117 &amp; "'!" &amp; J3117, J3117), "")</f>
        <v/>
      </c>
    </row>
    <row r="3118">
      <c r="B3118" s="21">
        <f>IF(AND(C3118&lt;&gt;"", J3118&lt;&gt;""), HYPERLINK("#'" &amp; C3118 &amp; "'!" &amp; J3118, J3118), "")</f>
        <v/>
      </c>
    </row>
    <row r="3119">
      <c r="B3119" s="21">
        <f>IF(AND(C3119&lt;&gt;"", J3119&lt;&gt;""), HYPERLINK("#'" &amp; C3119 &amp; "'!" &amp; J3119, J3119), "")</f>
        <v/>
      </c>
    </row>
    <row r="3120">
      <c r="B3120" s="21">
        <f>IF(AND(C3120&lt;&gt;"", J3120&lt;&gt;""), HYPERLINK("#'" &amp; C3120 &amp; "'!" &amp; J3120, J3120), "")</f>
        <v/>
      </c>
    </row>
    <row r="3121">
      <c r="B3121" s="21">
        <f>IF(AND(C3121&lt;&gt;"", J3121&lt;&gt;""), HYPERLINK("#'" &amp; C3121 &amp; "'!" &amp; J3121, J3121), "")</f>
        <v/>
      </c>
    </row>
    <row r="3122">
      <c r="B3122" s="21">
        <f>IF(AND(C3122&lt;&gt;"", J3122&lt;&gt;""), HYPERLINK("#'" &amp; C3122 &amp; "'!" &amp; J3122, J3122), "")</f>
        <v/>
      </c>
    </row>
    <row r="3123">
      <c r="B3123" s="21">
        <f>IF(AND(C3123&lt;&gt;"", J3123&lt;&gt;""), HYPERLINK("#'" &amp; C3123 &amp; "'!" &amp; J3123, J3123), "")</f>
        <v/>
      </c>
    </row>
    <row r="3124">
      <c r="B3124" s="21">
        <f>IF(AND(C3124&lt;&gt;"", J3124&lt;&gt;""), HYPERLINK("#'" &amp; C3124 &amp; "'!" &amp; J3124, J3124), "")</f>
        <v/>
      </c>
    </row>
    <row r="3125">
      <c r="B3125" s="21">
        <f>IF(AND(C3125&lt;&gt;"", J3125&lt;&gt;""), HYPERLINK("#'" &amp; C3125 &amp; "'!" &amp; J3125, J3125), "")</f>
        <v/>
      </c>
    </row>
    <row r="3126">
      <c r="B3126" s="21">
        <f>IF(AND(C3126&lt;&gt;"", J3126&lt;&gt;""), HYPERLINK("#'" &amp; C3126 &amp; "'!" &amp; J3126, J3126), "")</f>
        <v/>
      </c>
    </row>
    <row r="3127">
      <c r="B3127" s="21">
        <f>IF(AND(C3127&lt;&gt;"", J3127&lt;&gt;""), HYPERLINK("#'" &amp; C3127 &amp; "'!" &amp; J3127, J3127), "")</f>
        <v/>
      </c>
    </row>
    <row r="3128">
      <c r="B3128" s="21">
        <f>IF(AND(C3128&lt;&gt;"", J3128&lt;&gt;""), HYPERLINK("#'" &amp; C3128 &amp; "'!" &amp; J3128, J3128), "")</f>
        <v/>
      </c>
    </row>
    <row r="3129">
      <c r="B3129" s="21">
        <f>IF(AND(C3129&lt;&gt;"", J3129&lt;&gt;""), HYPERLINK("#'" &amp; C3129 &amp; "'!" &amp; J3129, J3129), "")</f>
        <v/>
      </c>
    </row>
    <row r="3130">
      <c r="B3130" s="21">
        <f>IF(AND(C3130&lt;&gt;"", J3130&lt;&gt;""), HYPERLINK("#'" &amp; C3130 &amp; "'!" &amp; J3130, J3130), "")</f>
        <v/>
      </c>
    </row>
    <row r="3131">
      <c r="B3131" s="21">
        <f>IF(AND(C3131&lt;&gt;"", J3131&lt;&gt;""), HYPERLINK("#'" &amp; C3131 &amp; "'!" &amp; J3131, J3131), "")</f>
        <v/>
      </c>
    </row>
    <row r="3132">
      <c r="B3132" s="21">
        <f>IF(AND(C3132&lt;&gt;"", J3132&lt;&gt;""), HYPERLINK("#'" &amp; C3132 &amp; "'!" &amp; J3132, J3132), "")</f>
        <v/>
      </c>
    </row>
    <row r="3133">
      <c r="B3133" s="21">
        <f>IF(AND(C3133&lt;&gt;"", J3133&lt;&gt;""), HYPERLINK("#'" &amp; C3133 &amp; "'!" &amp; J3133, J3133), "")</f>
        <v/>
      </c>
    </row>
    <row r="3134">
      <c r="B3134" s="21">
        <f>IF(AND(C3134&lt;&gt;"", J3134&lt;&gt;""), HYPERLINK("#'" &amp; C3134 &amp; "'!" &amp; J3134, J3134), "")</f>
        <v/>
      </c>
    </row>
    <row r="3135">
      <c r="B3135" s="21">
        <f>IF(AND(C3135&lt;&gt;"", J3135&lt;&gt;""), HYPERLINK("#'" &amp; C3135 &amp; "'!" &amp; J3135, J3135), "")</f>
        <v/>
      </c>
    </row>
    <row r="3136">
      <c r="B3136" s="21">
        <f>IF(AND(C3136&lt;&gt;"", J3136&lt;&gt;""), HYPERLINK("#'" &amp; C3136 &amp; "'!" &amp; J3136, J3136), "")</f>
        <v/>
      </c>
    </row>
    <row r="3137">
      <c r="B3137" s="21">
        <f>IF(AND(C3137&lt;&gt;"", J3137&lt;&gt;""), HYPERLINK("#'" &amp; C3137 &amp; "'!" &amp; J3137, J3137), "")</f>
        <v/>
      </c>
    </row>
    <row r="3138">
      <c r="B3138" s="21">
        <f>IF(AND(C3138&lt;&gt;"", J3138&lt;&gt;""), HYPERLINK("#'" &amp; C3138 &amp; "'!" &amp; J3138, J3138), "")</f>
        <v/>
      </c>
    </row>
    <row r="3139">
      <c r="B3139" s="21">
        <f>IF(AND(C3139&lt;&gt;"", J3139&lt;&gt;""), HYPERLINK("#'" &amp; C3139 &amp; "'!" &amp; J3139, J3139), "")</f>
        <v/>
      </c>
    </row>
    <row r="3140">
      <c r="B3140" s="21">
        <f>IF(AND(C3140&lt;&gt;"", J3140&lt;&gt;""), HYPERLINK("#'" &amp; C3140 &amp; "'!" &amp; J3140, J3140), "")</f>
        <v/>
      </c>
    </row>
    <row r="3141">
      <c r="B3141" s="21">
        <f>IF(AND(C3141&lt;&gt;"", J3141&lt;&gt;""), HYPERLINK("#'" &amp; C3141 &amp; "'!" &amp; J3141, J3141), "")</f>
        <v/>
      </c>
    </row>
    <row r="3142">
      <c r="B3142" s="21">
        <f>IF(AND(C3142&lt;&gt;"", J3142&lt;&gt;""), HYPERLINK("#'" &amp; C3142 &amp; "'!" &amp; J3142, J3142), "")</f>
        <v/>
      </c>
    </row>
    <row r="3143">
      <c r="B3143" s="21">
        <f>IF(AND(C3143&lt;&gt;"", J3143&lt;&gt;""), HYPERLINK("#'" &amp; C3143 &amp; "'!" &amp; J3143, J3143), "")</f>
        <v/>
      </c>
    </row>
    <row r="3144">
      <c r="B3144" s="21">
        <f>IF(AND(C3144&lt;&gt;"", J3144&lt;&gt;""), HYPERLINK("#'" &amp; C3144 &amp; "'!" &amp; J3144, J3144), "")</f>
        <v/>
      </c>
    </row>
    <row r="3145">
      <c r="B3145" s="21">
        <f>IF(AND(C3145&lt;&gt;"", J3145&lt;&gt;""), HYPERLINK("#'" &amp; C3145 &amp; "'!" &amp; J3145, J3145), "")</f>
        <v/>
      </c>
    </row>
    <row r="3146">
      <c r="B3146" s="21">
        <f>IF(AND(C3146&lt;&gt;"", J3146&lt;&gt;""), HYPERLINK("#'" &amp; C3146 &amp; "'!" &amp; J3146, J3146), "")</f>
        <v/>
      </c>
    </row>
    <row r="3147">
      <c r="B3147" s="21">
        <f>IF(AND(C3147&lt;&gt;"", J3147&lt;&gt;""), HYPERLINK("#'" &amp; C3147 &amp; "'!" &amp; J3147, J3147), "")</f>
        <v/>
      </c>
    </row>
    <row r="3148">
      <c r="B3148" s="21">
        <f>IF(AND(C3148&lt;&gt;"", J3148&lt;&gt;""), HYPERLINK("#'" &amp; C3148 &amp; "'!" &amp; J3148, J3148), "")</f>
        <v/>
      </c>
    </row>
    <row r="3149">
      <c r="B3149" s="21">
        <f>IF(AND(C3149&lt;&gt;"", J3149&lt;&gt;""), HYPERLINK("#'" &amp; C3149 &amp; "'!" &amp; J3149, J3149), "")</f>
        <v/>
      </c>
    </row>
    <row r="3150">
      <c r="B3150" s="21">
        <f>IF(AND(C3150&lt;&gt;"", J3150&lt;&gt;""), HYPERLINK("#'" &amp; C3150 &amp; "'!" &amp; J3150, J3150), "")</f>
        <v/>
      </c>
    </row>
    <row r="3151">
      <c r="B3151" s="21">
        <f>IF(AND(C3151&lt;&gt;"", J3151&lt;&gt;""), HYPERLINK("#'" &amp; C3151 &amp; "'!" &amp; J3151, J3151), "")</f>
        <v/>
      </c>
    </row>
    <row r="3152">
      <c r="B3152" s="21">
        <f>IF(AND(C3152&lt;&gt;"", J3152&lt;&gt;""), HYPERLINK("#'" &amp; C3152 &amp; "'!" &amp; J3152, J3152), "")</f>
        <v/>
      </c>
    </row>
    <row r="3153">
      <c r="B3153" s="21">
        <f>IF(AND(C3153&lt;&gt;"", J3153&lt;&gt;""), HYPERLINK("#'" &amp; C3153 &amp; "'!" &amp; J3153, J3153), "")</f>
        <v/>
      </c>
    </row>
    <row r="3154">
      <c r="B3154" s="21">
        <f>IF(AND(C3154&lt;&gt;"", J3154&lt;&gt;""), HYPERLINK("#'" &amp; C3154 &amp; "'!" &amp; J3154, J3154), "")</f>
        <v/>
      </c>
    </row>
    <row r="3155">
      <c r="B3155" s="21">
        <f>IF(AND(C3155&lt;&gt;"", J3155&lt;&gt;""), HYPERLINK("#'" &amp; C3155 &amp; "'!" &amp; J3155, J3155), "")</f>
        <v/>
      </c>
    </row>
    <row r="3156">
      <c r="B3156" s="21">
        <f>IF(AND(C3156&lt;&gt;"", J3156&lt;&gt;""), HYPERLINK("#'" &amp; C3156 &amp; "'!" &amp; J3156, J3156), "")</f>
        <v/>
      </c>
    </row>
    <row r="3157">
      <c r="B3157" s="21">
        <f>IF(AND(C3157&lt;&gt;"", J3157&lt;&gt;""), HYPERLINK("#'" &amp; C3157 &amp; "'!" &amp; J3157, J3157), "")</f>
        <v/>
      </c>
    </row>
    <row r="3158">
      <c r="B3158" s="21">
        <f>IF(AND(C3158&lt;&gt;"", J3158&lt;&gt;""), HYPERLINK("#'" &amp; C3158 &amp; "'!" &amp; J3158, J3158), "")</f>
        <v/>
      </c>
    </row>
    <row r="3159">
      <c r="B3159" s="21">
        <f>IF(AND(C3159&lt;&gt;"", J3159&lt;&gt;""), HYPERLINK("#'" &amp; C3159 &amp; "'!" &amp; J3159, J3159), "")</f>
        <v/>
      </c>
    </row>
    <row r="3160">
      <c r="B3160" s="21">
        <f>IF(AND(C3160&lt;&gt;"", J3160&lt;&gt;""), HYPERLINK("#'" &amp; C3160 &amp; "'!" &amp; J3160, J3160), "")</f>
        <v/>
      </c>
    </row>
    <row r="3161">
      <c r="B3161" s="21">
        <f>IF(AND(C3161&lt;&gt;"", J3161&lt;&gt;""), HYPERLINK("#'" &amp; C3161 &amp; "'!" &amp; J3161, J3161), "")</f>
        <v/>
      </c>
    </row>
    <row r="3162">
      <c r="B3162" s="21">
        <f>IF(AND(C3162&lt;&gt;"", J3162&lt;&gt;""), HYPERLINK("#'" &amp; C3162 &amp; "'!" &amp; J3162, J3162), "")</f>
        <v/>
      </c>
    </row>
    <row r="3163">
      <c r="B3163" s="21">
        <f>IF(AND(C3163&lt;&gt;"", J3163&lt;&gt;""), HYPERLINK("#'" &amp; C3163 &amp; "'!" &amp; J3163, J3163), "")</f>
        <v/>
      </c>
    </row>
    <row r="3164">
      <c r="B3164" s="21">
        <f>IF(AND(C3164&lt;&gt;"", J3164&lt;&gt;""), HYPERLINK("#'" &amp; C3164 &amp; "'!" &amp; J3164, J3164), "")</f>
        <v/>
      </c>
    </row>
    <row r="3165">
      <c r="B3165" s="21">
        <f>IF(AND(C3165&lt;&gt;"", J3165&lt;&gt;""), HYPERLINK("#'" &amp; C3165 &amp; "'!" &amp; J3165, J3165), "")</f>
        <v/>
      </c>
    </row>
    <row r="3166">
      <c r="B3166" s="21">
        <f>IF(AND(C3166&lt;&gt;"", J3166&lt;&gt;""), HYPERLINK("#'" &amp; C3166 &amp; "'!" &amp; J3166, J3166), "")</f>
        <v/>
      </c>
    </row>
    <row r="3167">
      <c r="B3167" s="21">
        <f>IF(AND(C3167&lt;&gt;"", J3167&lt;&gt;""), HYPERLINK("#'" &amp; C3167 &amp; "'!" &amp; J3167, J3167), "")</f>
        <v/>
      </c>
    </row>
    <row r="3168">
      <c r="B3168" s="21">
        <f>IF(AND(C3168&lt;&gt;"", J3168&lt;&gt;""), HYPERLINK("#'" &amp; C3168 &amp; "'!" &amp; J3168, J3168), "")</f>
        <v/>
      </c>
    </row>
    <row r="3169">
      <c r="B3169" s="21">
        <f>IF(AND(C3169&lt;&gt;"", J3169&lt;&gt;""), HYPERLINK("#'" &amp; C3169 &amp; "'!" &amp; J3169, J3169), "")</f>
        <v/>
      </c>
    </row>
    <row r="3170">
      <c r="B3170" s="21">
        <f>IF(AND(C3170&lt;&gt;"", J3170&lt;&gt;""), HYPERLINK("#'" &amp; C3170 &amp; "'!" &amp; J3170, J3170), "")</f>
        <v/>
      </c>
    </row>
    <row r="3171">
      <c r="B3171" s="21">
        <f>IF(AND(C3171&lt;&gt;"", J3171&lt;&gt;""), HYPERLINK("#'" &amp; C3171 &amp; "'!" &amp; J3171, J3171), "")</f>
        <v/>
      </c>
    </row>
    <row r="3172">
      <c r="B3172" s="21">
        <f>IF(AND(C3172&lt;&gt;"", J3172&lt;&gt;""), HYPERLINK("#'" &amp; C3172 &amp; "'!" &amp; J3172, J3172), "")</f>
        <v/>
      </c>
    </row>
    <row r="3173">
      <c r="B3173" s="21">
        <f>IF(AND(C3173&lt;&gt;"", J3173&lt;&gt;""), HYPERLINK("#'" &amp; C3173 &amp; "'!" &amp; J3173, J3173), "")</f>
        <v/>
      </c>
    </row>
    <row r="3174">
      <c r="B3174" s="21">
        <f>IF(AND(C3174&lt;&gt;"", J3174&lt;&gt;""), HYPERLINK("#'" &amp; C3174 &amp; "'!" &amp; J3174, J3174), "")</f>
        <v/>
      </c>
    </row>
    <row r="3175">
      <c r="B3175" s="21">
        <f>IF(AND(C3175&lt;&gt;"", J3175&lt;&gt;""), HYPERLINK("#'" &amp; C3175 &amp; "'!" &amp; J3175, J3175), "")</f>
        <v/>
      </c>
    </row>
    <row r="3176">
      <c r="B3176" s="21">
        <f>IF(AND(C3176&lt;&gt;"", J3176&lt;&gt;""), HYPERLINK("#'" &amp; C3176 &amp; "'!" &amp; J3176, J3176), "")</f>
        <v/>
      </c>
    </row>
    <row r="3177">
      <c r="B3177" s="21">
        <f>IF(AND(C3177&lt;&gt;"", J3177&lt;&gt;""), HYPERLINK("#'" &amp; C3177 &amp; "'!" &amp; J3177, J3177), "")</f>
        <v/>
      </c>
    </row>
    <row r="3178">
      <c r="B3178" s="21">
        <f>IF(AND(C3178&lt;&gt;"", J3178&lt;&gt;""), HYPERLINK("#'" &amp; C3178 &amp; "'!" &amp; J3178, J3178), "")</f>
        <v/>
      </c>
    </row>
    <row r="3179">
      <c r="B3179" s="21">
        <f>IF(AND(C3179&lt;&gt;"", J3179&lt;&gt;""), HYPERLINK("#'" &amp; C3179 &amp; "'!" &amp; J3179, J3179), "")</f>
        <v/>
      </c>
    </row>
    <row r="3180">
      <c r="B3180" s="21">
        <f>IF(AND(C3180&lt;&gt;"", J3180&lt;&gt;""), HYPERLINK("#'" &amp; C3180 &amp; "'!" &amp; J3180, J3180), "")</f>
        <v/>
      </c>
    </row>
    <row r="3181">
      <c r="B3181" s="21">
        <f>IF(AND(C3181&lt;&gt;"", J3181&lt;&gt;""), HYPERLINK("#'" &amp; C3181 &amp; "'!" &amp; J3181, J3181), "")</f>
        <v/>
      </c>
    </row>
    <row r="3182">
      <c r="B3182" s="21">
        <f>IF(AND(C3182&lt;&gt;"", J3182&lt;&gt;""), HYPERLINK("#'" &amp; C3182 &amp; "'!" &amp; J3182, J3182), "")</f>
        <v/>
      </c>
    </row>
    <row r="3183">
      <c r="B3183" s="21">
        <f>IF(AND(C3183&lt;&gt;"", J3183&lt;&gt;""), HYPERLINK("#'" &amp; C3183 &amp; "'!" &amp; J3183, J3183), "")</f>
        <v/>
      </c>
    </row>
    <row r="3184">
      <c r="B3184" s="21">
        <f>IF(AND(C3184&lt;&gt;"", J3184&lt;&gt;""), HYPERLINK("#'" &amp; C3184 &amp; "'!" &amp; J3184, J3184), "")</f>
        <v/>
      </c>
    </row>
    <row r="3185">
      <c r="B3185" s="21">
        <f>IF(AND(C3185&lt;&gt;"", J3185&lt;&gt;""), HYPERLINK("#'" &amp; C3185 &amp; "'!" &amp; J3185, J3185), "")</f>
        <v/>
      </c>
    </row>
    <row r="3186">
      <c r="B3186" s="21">
        <f>IF(AND(C3186&lt;&gt;"", J3186&lt;&gt;""), HYPERLINK("#'" &amp; C3186 &amp; "'!" &amp; J3186, J3186), "")</f>
        <v/>
      </c>
    </row>
    <row r="3187">
      <c r="B3187" s="21">
        <f>IF(AND(C3187&lt;&gt;"", J3187&lt;&gt;""), HYPERLINK("#'" &amp; C3187 &amp; "'!" &amp; J3187, J3187), "")</f>
        <v/>
      </c>
    </row>
    <row r="3188">
      <c r="B3188" s="21">
        <f>IF(AND(C3188&lt;&gt;"", J3188&lt;&gt;""), HYPERLINK("#'" &amp; C3188 &amp; "'!" &amp; J3188, J3188), "")</f>
        <v/>
      </c>
    </row>
    <row r="3189">
      <c r="B3189" s="21">
        <f>IF(AND(C3189&lt;&gt;"", J3189&lt;&gt;""), HYPERLINK("#'" &amp; C3189 &amp; "'!" &amp; J3189, J3189), "")</f>
        <v/>
      </c>
    </row>
    <row r="3190">
      <c r="B3190" s="21">
        <f>IF(AND(C3190&lt;&gt;"", J3190&lt;&gt;""), HYPERLINK("#'" &amp; C3190 &amp; "'!" &amp; J3190, J3190), "")</f>
        <v/>
      </c>
    </row>
    <row r="3191">
      <c r="B3191" s="21">
        <f>IF(AND(C3191&lt;&gt;"", J3191&lt;&gt;""), HYPERLINK("#'" &amp; C3191 &amp; "'!" &amp; J3191, J3191), "")</f>
        <v/>
      </c>
    </row>
    <row r="3192">
      <c r="B3192" s="21">
        <f>IF(AND(C3192&lt;&gt;"", J3192&lt;&gt;""), HYPERLINK("#'" &amp; C3192 &amp; "'!" &amp; J3192, J3192), "")</f>
        <v/>
      </c>
    </row>
    <row r="3193">
      <c r="B3193" s="21">
        <f>IF(AND(C3193&lt;&gt;"", J3193&lt;&gt;""), HYPERLINK("#'" &amp; C3193 &amp; "'!" &amp; J3193, J3193), "")</f>
        <v/>
      </c>
    </row>
    <row r="3194">
      <c r="B3194" s="21">
        <f>IF(AND(C3194&lt;&gt;"", J3194&lt;&gt;""), HYPERLINK("#'" &amp; C3194 &amp; "'!" &amp; J3194, J3194), "")</f>
        <v/>
      </c>
    </row>
    <row r="3195">
      <c r="B3195" s="21">
        <f>IF(AND(C3195&lt;&gt;"", J3195&lt;&gt;""), HYPERLINK("#'" &amp; C3195 &amp; "'!" &amp; J3195, J3195), "")</f>
        <v/>
      </c>
    </row>
    <row r="3196">
      <c r="B3196" s="21">
        <f>IF(AND(C3196&lt;&gt;"", J3196&lt;&gt;""), HYPERLINK("#'" &amp; C3196 &amp; "'!" &amp; J3196, J3196), "")</f>
        <v/>
      </c>
    </row>
    <row r="3197">
      <c r="B3197" s="21">
        <f>IF(AND(C3197&lt;&gt;"", J3197&lt;&gt;""), HYPERLINK("#'" &amp; C3197 &amp; "'!" &amp; J3197, J3197), "")</f>
        <v/>
      </c>
    </row>
    <row r="3198">
      <c r="B3198" s="21">
        <f>IF(AND(C3198&lt;&gt;"", J3198&lt;&gt;""), HYPERLINK("#'" &amp; C3198 &amp; "'!" &amp; J3198, J3198), "")</f>
        <v/>
      </c>
    </row>
    <row r="3199">
      <c r="B3199" s="21">
        <f>IF(AND(C3199&lt;&gt;"", J3199&lt;&gt;""), HYPERLINK("#'" &amp; C3199 &amp; "'!" &amp; J3199, J3199), "")</f>
        <v/>
      </c>
    </row>
    <row r="3200">
      <c r="B3200" s="21">
        <f>IF(AND(C3200&lt;&gt;"", J3200&lt;&gt;""), HYPERLINK("#'" &amp; C3200 &amp; "'!" &amp; J3200, J3200), "")</f>
        <v/>
      </c>
    </row>
    <row r="3201">
      <c r="B3201" s="21">
        <f>IF(AND(C3201&lt;&gt;"", J3201&lt;&gt;""), HYPERLINK("#'" &amp; C3201 &amp; "'!" &amp; J3201, J3201), "")</f>
        <v/>
      </c>
    </row>
    <row r="3202">
      <c r="B3202" s="21">
        <f>IF(AND(C3202&lt;&gt;"", J3202&lt;&gt;""), HYPERLINK("#'" &amp; C3202 &amp; "'!" &amp; J3202, J3202), "")</f>
        <v/>
      </c>
    </row>
    <row r="3203">
      <c r="B3203" s="21">
        <f>IF(AND(C3203&lt;&gt;"", J3203&lt;&gt;""), HYPERLINK("#'" &amp; C3203 &amp; "'!" &amp; J3203, J3203), "")</f>
        <v/>
      </c>
    </row>
    <row r="3204">
      <c r="B3204" s="21">
        <f>IF(AND(C3204&lt;&gt;"", J3204&lt;&gt;""), HYPERLINK("#'" &amp; C3204 &amp; "'!" &amp; J3204, J3204), "")</f>
        <v/>
      </c>
    </row>
    <row r="3205">
      <c r="B3205" s="21">
        <f>IF(AND(C3205&lt;&gt;"", J3205&lt;&gt;""), HYPERLINK("#'" &amp; C3205 &amp; "'!" &amp; J3205, J3205), "")</f>
        <v/>
      </c>
    </row>
    <row r="3206">
      <c r="B3206" s="21">
        <f>IF(AND(C3206&lt;&gt;"", J3206&lt;&gt;""), HYPERLINK("#'" &amp; C3206 &amp; "'!" &amp; J3206, J3206), "")</f>
        <v/>
      </c>
    </row>
    <row r="3207">
      <c r="B3207" s="21">
        <f>IF(AND(C3207&lt;&gt;"", J3207&lt;&gt;""), HYPERLINK("#'" &amp; C3207 &amp; "'!" &amp; J3207, J3207), "")</f>
        <v/>
      </c>
    </row>
    <row r="3208">
      <c r="B3208" s="21">
        <f>IF(AND(C3208&lt;&gt;"", J3208&lt;&gt;""), HYPERLINK("#'" &amp; C3208 &amp; "'!" &amp; J3208, J3208), "")</f>
        <v/>
      </c>
    </row>
    <row r="3209">
      <c r="B3209" s="21">
        <f>IF(AND(C3209&lt;&gt;"", J3209&lt;&gt;""), HYPERLINK("#'" &amp; C3209 &amp; "'!" &amp; J3209, J3209), "")</f>
        <v/>
      </c>
    </row>
    <row r="3210">
      <c r="B3210" s="21">
        <f>IF(AND(C3210&lt;&gt;"", J3210&lt;&gt;""), HYPERLINK("#'" &amp; C3210 &amp; "'!" &amp; J3210, J3210), "")</f>
        <v/>
      </c>
    </row>
    <row r="3211">
      <c r="B3211" s="21">
        <f>IF(AND(C3211&lt;&gt;"", J3211&lt;&gt;""), HYPERLINK("#'" &amp; C3211 &amp; "'!" &amp; J3211, J3211), "")</f>
        <v/>
      </c>
    </row>
    <row r="3212">
      <c r="B3212" s="21">
        <f>IF(AND(C3212&lt;&gt;"", J3212&lt;&gt;""), HYPERLINK("#'" &amp; C3212 &amp; "'!" &amp; J3212, J3212), "")</f>
        <v/>
      </c>
    </row>
    <row r="3213">
      <c r="B3213" s="21">
        <f>IF(AND(C3213&lt;&gt;"", J3213&lt;&gt;""), HYPERLINK("#'" &amp; C3213 &amp; "'!" &amp; J3213, J3213), "")</f>
        <v/>
      </c>
    </row>
    <row r="3214">
      <c r="B3214" s="21">
        <f>IF(AND(C3214&lt;&gt;"", J3214&lt;&gt;""), HYPERLINK("#'" &amp; C3214 &amp; "'!" &amp; J3214, J3214), "")</f>
        <v/>
      </c>
    </row>
    <row r="3215">
      <c r="B3215" s="21">
        <f>IF(AND(C3215&lt;&gt;"", J3215&lt;&gt;""), HYPERLINK("#'" &amp; C3215 &amp; "'!" &amp; J3215, J3215), "")</f>
        <v/>
      </c>
    </row>
    <row r="3216">
      <c r="B3216" s="21">
        <f>IF(AND(C3216&lt;&gt;"", J3216&lt;&gt;""), HYPERLINK("#'" &amp; C3216 &amp; "'!" &amp; J3216, J3216), "")</f>
        <v/>
      </c>
    </row>
    <row r="3217">
      <c r="B3217" s="21">
        <f>IF(AND(C3217&lt;&gt;"", J3217&lt;&gt;""), HYPERLINK("#'" &amp; C3217 &amp; "'!" &amp; J3217, J3217), "")</f>
        <v/>
      </c>
    </row>
    <row r="3218">
      <c r="B3218" s="21">
        <f>IF(AND(C3218&lt;&gt;"", J3218&lt;&gt;""), HYPERLINK("#'" &amp; C3218 &amp; "'!" &amp; J3218, J3218), "")</f>
        <v/>
      </c>
    </row>
    <row r="3219">
      <c r="B3219" s="21">
        <f>IF(AND(C3219&lt;&gt;"", J3219&lt;&gt;""), HYPERLINK("#'" &amp; C3219 &amp; "'!" &amp; J3219, J3219), "")</f>
        <v/>
      </c>
    </row>
    <row r="3220">
      <c r="B3220" s="21">
        <f>IF(AND(C3220&lt;&gt;"", J3220&lt;&gt;""), HYPERLINK("#'" &amp; C3220 &amp; "'!" &amp; J3220, J3220), "")</f>
        <v/>
      </c>
    </row>
    <row r="3221">
      <c r="B3221" s="21">
        <f>IF(AND(C3221&lt;&gt;"", J3221&lt;&gt;""), HYPERLINK("#'" &amp; C3221 &amp; "'!" &amp; J3221, J3221), "")</f>
        <v/>
      </c>
    </row>
    <row r="3222">
      <c r="B3222" s="21">
        <f>IF(AND(C3222&lt;&gt;"", J3222&lt;&gt;""), HYPERLINK("#'" &amp; C3222 &amp; "'!" &amp; J3222, J3222), "")</f>
        <v/>
      </c>
    </row>
    <row r="3223">
      <c r="B3223" s="21">
        <f>IF(AND(C3223&lt;&gt;"", J3223&lt;&gt;""), HYPERLINK("#'" &amp; C3223 &amp; "'!" &amp; J3223, J3223), "")</f>
        <v/>
      </c>
    </row>
    <row r="3224">
      <c r="B3224" s="21">
        <f>IF(AND(C3224&lt;&gt;"", J3224&lt;&gt;""), HYPERLINK("#'" &amp; C3224 &amp; "'!" &amp; J3224, J3224), "")</f>
        <v/>
      </c>
    </row>
    <row r="3225">
      <c r="B3225" s="21">
        <f>IF(AND(C3225&lt;&gt;"", J3225&lt;&gt;""), HYPERLINK("#'" &amp; C3225 &amp; "'!" &amp; J3225, J3225), "")</f>
        <v/>
      </c>
    </row>
    <row r="3226">
      <c r="B3226" s="21">
        <f>IF(AND(C3226&lt;&gt;"", J3226&lt;&gt;""), HYPERLINK("#'" &amp; C3226 &amp; "'!" &amp; J3226, J3226), "")</f>
        <v/>
      </c>
    </row>
    <row r="3227">
      <c r="B3227" s="21">
        <f>IF(AND(C3227&lt;&gt;"", J3227&lt;&gt;""), HYPERLINK("#'" &amp; C3227 &amp; "'!" &amp; J3227, J3227), "")</f>
        <v/>
      </c>
    </row>
    <row r="3228">
      <c r="B3228" s="21">
        <f>IF(AND(C3228&lt;&gt;"", J3228&lt;&gt;""), HYPERLINK("#'" &amp; C3228 &amp; "'!" &amp; J3228, J3228), "")</f>
        <v/>
      </c>
    </row>
    <row r="3229">
      <c r="B3229" s="21">
        <f>IF(AND(C3229&lt;&gt;"", J3229&lt;&gt;""), HYPERLINK("#'" &amp; C3229 &amp; "'!" &amp; J3229, J3229), "")</f>
        <v/>
      </c>
    </row>
    <row r="3230">
      <c r="B3230" s="21">
        <f>IF(AND(C3230&lt;&gt;"", J3230&lt;&gt;""), HYPERLINK("#'" &amp; C3230 &amp; "'!" &amp; J3230, J3230), "")</f>
        <v/>
      </c>
    </row>
    <row r="3231">
      <c r="B3231" s="21">
        <f>IF(AND(C3231&lt;&gt;"", J3231&lt;&gt;""), HYPERLINK("#'" &amp; C3231 &amp; "'!" &amp; J3231, J3231), "")</f>
        <v/>
      </c>
    </row>
    <row r="3232">
      <c r="B3232" s="21">
        <f>IF(AND(C3232&lt;&gt;"", J3232&lt;&gt;""), HYPERLINK("#'" &amp; C3232 &amp; "'!" &amp; J3232, J3232), "")</f>
        <v/>
      </c>
    </row>
    <row r="3233">
      <c r="B3233" s="21">
        <f>IF(AND(C3233&lt;&gt;"", J3233&lt;&gt;""), HYPERLINK("#'" &amp; C3233 &amp; "'!" &amp; J3233, J3233), "")</f>
        <v/>
      </c>
    </row>
    <row r="3234">
      <c r="B3234" s="21">
        <f>IF(AND(C3234&lt;&gt;"", J3234&lt;&gt;""), HYPERLINK("#'" &amp; C3234 &amp; "'!" &amp; J3234, J3234), "")</f>
        <v/>
      </c>
    </row>
    <row r="3235">
      <c r="B3235" s="21">
        <f>IF(AND(C3235&lt;&gt;"", J3235&lt;&gt;""), HYPERLINK("#'" &amp; C3235 &amp; "'!" &amp; J3235, J3235), "")</f>
        <v/>
      </c>
    </row>
    <row r="3236">
      <c r="B3236" s="21">
        <f>IF(AND(C3236&lt;&gt;"", J3236&lt;&gt;""), HYPERLINK("#'" &amp; C3236 &amp; "'!" &amp; J3236, J3236), "")</f>
        <v/>
      </c>
    </row>
    <row r="3237">
      <c r="B3237" s="21">
        <f>IF(AND(C3237&lt;&gt;"", J3237&lt;&gt;""), HYPERLINK("#'" &amp; C3237 &amp; "'!" &amp; J3237, J3237), "")</f>
        <v/>
      </c>
    </row>
    <row r="3238">
      <c r="B3238" s="21">
        <f>IF(AND(C3238&lt;&gt;"", J3238&lt;&gt;""), HYPERLINK("#'" &amp; C3238 &amp; "'!" &amp; J3238, J3238), "")</f>
        <v/>
      </c>
    </row>
    <row r="3239">
      <c r="B3239" s="21">
        <f>IF(AND(C3239&lt;&gt;"", J3239&lt;&gt;""), HYPERLINK("#'" &amp; C3239 &amp; "'!" &amp; J3239, J3239), "")</f>
        <v/>
      </c>
    </row>
    <row r="3240">
      <c r="B3240" s="21">
        <f>IF(AND(C3240&lt;&gt;"", J3240&lt;&gt;""), HYPERLINK("#'" &amp; C3240 &amp; "'!" &amp; J3240, J3240), "")</f>
        <v/>
      </c>
    </row>
    <row r="3241">
      <c r="B3241" s="21">
        <f>IF(AND(C3241&lt;&gt;"", J3241&lt;&gt;""), HYPERLINK("#'" &amp; C3241 &amp; "'!" &amp; J3241, J3241), "")</f>
        <v/>
      </c>
    </row>
    <row r="3242">
      <c r="B3242" s="21">
        <f>IF(AND(C3242&lt;&gt;"", J3242&lt;&gt;""), HYPERLINK("#'" &amp; C3242 &amp; "'!" &amp; J3242, J3242), "")</f>
        <v/>
      </c>
    </row>
    <row r="3243">
      <c r="B3243" s="21">
        <f>IF(AND(C3243&lt;&gt;"", J3243&lt;&gt;""), HYPERLINK("#'" &amp; C3243 &amp; "'!" &amp; J3243, J3243), "")</f>
        <v/>
      </c>
    </row>
    <row r="3244">
      <c r="B3244" s="21">
        <f>IF(AND(C3244&lt;&gt;"", J3244&lt;&gt;""), HYPERLINK("#'" &amp; C3244 &amp; "'!" &amp; J3244, J3244), "")</f>
        <v/>
      </c>
    </row>
    <row r="3245">
      <c r="B3245" s="21">
        <f>IF(AND(C3245&lt;&gt;"", J3245&lt;&gt;""), HYPERLINK("#'" &amp; C3245 &amp; "'!" &amp; J3245, J3245), "")</f>
        <v/>
      </c>
    </row>
    <row r="3246">
      <c r="B3246" s="21">
        <f>IF(AND(C3246&lt;&gt;"", J3246&lt;&gt;""), HYPERLINK("#'" &amp; C3246 &amp; "'!" &amp; J3246, J3246), "")</f>
        <v/>
      </c>
    </row>
    <row r="3247">
      <c r="B3247" s="21">
        <f>IF(AND(C3247&lt;&gt;"", J3247&lt;&gt;""), HYPERLINK("#'" &amp; C3247 &amp; "'!" &amp; J3247, J3247), "")</f>
        <v/>
      </c>
    </row>
    <row r="3248">
      <c r="B3248" s="21">
        <f>IF(AND(C3248&lt;&gt;"", J3248&lt;&gt;""), HYPERLINK("#'" &amp; C3248 &amp; "'!" &amp; J3248, J3248), "")</f>
        <v/>
      </c>
    </row>
    <row r="3249">
      <c r="B3249" s="21">
        <f>IF(AND(C3249&lt;&gt;"", J3249&lt;&gt;""), HYPERLINK("#'" &amp; C3249 &amp; "'!" &amp; J3249, J3249), "")</f>
        <v/>
      </c>
    </row>
    <row r="3250">
      <c r="B3250" s="21">
        <f>IF(AND(C3250&lt;&gt;"", J3250&lt;&gt;""), HYPERLINK("#'" &amp; C3250 &amp; "'!" &amp; J3250, J3250), "")</f>
        <v/>
      </c>
    </row>
    <row r="3251">
      <c r="B3251" s="21">
        <f>IF(AND(C3251&lt;&gt;"", J3251&lt;&gt;""), HYPERLINK("#'" &amp; C3251 &amp; "'!" &amp; J3251, J3251), "")</f>
        <v/>
      </c>
    </row>
    <row r="3252">
      <c r="B3252" s="21">
        <f>IF(AND(C3252&lt;&gt;"", J3252&lt;&gt;""), HYPERLINK("#'" &amp; C3252 &amp; "'!" &amp; J3252, J3252), "")</f>
        <v/>
      </c>
    </row>
    <row r="3253">
      <c r="B3253" s="21">
        <f>IF(AND(C3253&lt;&gt;"", J3253&lt;&gt;""), HYPERLINK("#'" &amp; C3253 &amp; "'!" &amp; J3253, J3253), "")</f>
        <v/>
      </c>
    </row>
    <row r="3254">
      <c r="B3254" s="21">
        <f>IF(AND(C3254&lt;&gt;"", J3254&lt;&gt;""), HYPERLINK("#'" &amp; C3254 &amp; "'!" &amp; J3254, J3254), "")</f>
        <v/>
      </c>
    </row>
    <row r="3255">
      <c r="B3255" s="21">
        <f>IF(AND(C3255&lt;&gt;"", J3255&lt;&gt;""), HYPERLINK("#'" &amp; C3255 &amp; "'!" &amp; J3255, J3255), "")</f>
        <v/>
      </c>
    </row>
    <row r="3256">
      <c r="B3256" s="21">
        <f>IF(AND(C3256&lt;&gt;"", J3256&lt;&gt;""), HYPERLINK("#'" &amp; C3256 &amp; "'!" &amp; J3256, J3256), "")</f>
        <v/>
      </c>
    </row>
    <row r="3257">
      <c r="B3257" s="21">
        <f>IF(AND(C3257&lt;&gt;"", J3257&lt;&gt;""), HYPERLINK("#'" &amp; C3257 &amp; "'!" &amp; J3257, J3257), "")</f>
        <v/>
      </c>
    </row>
    <row r="3258">
      <c r="B3258" s="21">
        <f>IF(AND(C3258&lt;&gt;"", J3258&lt;&gt;""), HYPERLINK("#'" &amp; C3258 &amp; "'!" &amp; J3258, J3258), "")</f>
        <v/>
      </c>
    </row>
    <row r="3259">
      <c r="B3259" s="21">
        <f>IF(AND(C3259&lt;&gt;"", J3259&lt;&gt;""), HYPERLINK("#'" &amp; C3259 &amp; "'!" &amp; J3259, J3259), "")</f>
        <v/>
      </c>
    </row>
    <row r="3260">
      <c r="B3260" s="21">
        <f>IF(AND(C3260&lt;&gt;"", J3260&lt;&gt;""), HYPERLINK("#'" &amp; C3260 &amp; "'!" &amp; J3260, J3260), "")</f>
        <v/>
      </c>
    </row>
    <row r="3261">
      <c r="B3261" s="21">
        <f>IF(AND(C3261&lt;&gt;"", J3261&lt;&gt;""), HYPERLINK("#'" &amp; C3261 &amp; "'!" &amp; J3261, J3261), "")</f>
        <v/>
      </c>
    </row>
    <row r="3262">
      <c r="B3262" s="21">
        <f>IF(AND(C3262&lt;&gt;"", J3262&lt;&gt;""), HYPERLINK("#'" &amp; C3262 &amp; "'!" &amp; J3262, J3262), "")</f>
        <v/>
      </c>
    </row>
    <row r="3263">
      <c r="B3263" s="21">
        <f>IF(AND(C3263&lt;&gt;"", J3263&lt;&gt;""), HYPERLINK("#'" &amp; C3263 &amp; "'!" &amp; J3263, J3263), "")</f>
        <v/>
      </c>
    </row>
    <row r="3264">
      <c r="B3264" s="21">
        <f>IF(AND(C3264&lt;&gt;"", J3264&lt;&gt;""), HYPERLINK("#'" &amp; C3264 &amp; "'!" &amp; J3264, J3264), "")</f>
        <v/>
      </c>
    </row>
    <row r="3265">
      <c r="B3265" s="21">
        <f>IF(AND(C3265&lt;&gt;"", J3265&lt;&gt;""), HYPERLINK("#'" &amp; C3265 &amp; "'!" &amp; J3265, J3265), "")</f>
        <v/>
      </c>
    </row>
    <row r="3266">
      <c r="B3266" s="21">
        <f>IF(AND(C3266&lt;&gt;"", J3266&lt;&gt;""), HYPERLINK("#'" &amp; C3266 &amp; "'!" &amp; J3266, J3266), "")</f>
        <v/>
      </c>
    </row>
    <row r="3267">
      <c r="B3267" s="21">
        <f>IF(AND(C3267&lt;&gt;"", J3267&lt;&gt;""), HYPERLINK("#'" &amp; C3267 &amp; "'!" &amp; J3267, J3267), "")</f>
        <v/>
      </c>
    </row>
    <row r="3268">
      <c r="B3268" s="21">
        <f>IF(AND(C3268&lt;&gt;"", J3268&lt;&gt;""), HYPERLINK("#'" &amp; C3268 &amp; "'!" &amp; J3268, J3268), "")</f>
        <v/>
      </c>
    </row>
    <row r="3269">
      <c r="B3269" s="21">
        <f>IF(AND(C3269&lt;&gt;"", J3269&lt;&gt;""), HYPERLINK("#'" &amp; C3269 &amp; "'!" &amp; J3269, J3269), "")</f>
        <v/>
      </c>
    </row>
    <row r="3270">
      <c r="B3270" s="21">
        <f>IF(AND(C3270&lt;&gt;"", J3270&lt;&gt;""), HYPERLINK("#'" &amp; C3270 &amp; "'!" &amp; J3270, J3270), "")</f>
        <v/>
      </c>
    </row>
    <row r="3271">
      <c r="B3271" s="21">
        <f>IF(AND(C3271&lt;&gt;"", J3271&lt;&gt;""), HYPERLINK("#'" &amp; C3271 &amp; "'!" &amp; J3271, J3271), "")</f>
        <v/>
      </c>
    </row>
    <row r="3272">
      <c r="B3272" s="21">
        <f>IF(AND(C3272&lt;&gt;"", J3272&lt;&gt;""), HYPERLINK("#'" &amp; C3272 &amp; "'!" &amp; J3272, J3272), "")</f>
        <v/>
      </c>
    </row>
    <row r="3273">
      <c r="B3273" s="21">
        <f>IF(AND(C3273&lt;&gt;"", J3273&lt;&gt;""), HYPERLINK("#'" &amp; C3273 &amp; "'!" &amp; J3273, J3273), "")</f>
        <v/>
      </c>
    </row>
    <row r="3274">
      <c r="B3274" s="21">
        <f>IF(AND(C3274&lt;&gt;"", J3274&lt;&gt;""), HYPERLINK("#'" &amp; C3274 &amp; "'!" &amp; J3274, J3274), "")</f>
        <v/>
      </c>
    </row>
    <row r="3275">
      <c r="B3275" s="21">
        <f>IF(AND(C3275&lt;&gt;"", J3275&lt;&gt;""), HYPERLINK("#'" &amp; C3275 &amp; "'!" &amp; J3275, J3275), "")</f>
        <v/>
      </c>
    </row>
    <row r="3276">
      <c r="B3276" s="21">
        <f>IF(AND(C3276&lt;&gt;"", J3276&lt;&gt;""), HYPERLINK("#'" &amp; C3276 &amp; "'!" &amp; J3276, J3276), "")</f>
        <v/>
      </c>
    </row>
    <row r="3277">
      <c r="B3277" s="21">
        <f>IF(AND(C3277&lt;&gt;"", J3277&lt;&gt;""), HYPERLINK("#'" &amp; C3277 &amp; "'!" &amp; J3277, J3277), "")</f>
        <v/>
      </c>
    </row>
    <row r="3278">
      <c r="B3278" s="21">
        <f>IF(AND(C3278&lt;&gt;"", J3278&lt;&gt;""), HYPERLINK("#'" &amp; C3278 &amp; "'!" &amp; J3278, J3278), "")</f>
        <v/>
      </c>
    </row>
    <row r="3279">
      <c r="B3279" s="21">
        <f>IF(AND(C3279&lt;&gt;"", J3279&lt;&gt;""), HYPERLINK("#'" &amp; C3279 &amp; "'!" &amp; J3279, J3279), "")</f>
        <v/>
      </c>
    </row>
    <row r="3280">
      <c r="B3280" s="21">
        <f>IF(AND(C3280&lt;&gt;"", J3280&lt;&gt;""), HYPERLINK("#'" &amp; C3280 &amp; "'!" &amp; J3280, J3280), "")</f>
        <v/>
      </c>
    </row>
    <row r="3281">
      <c r="B3281" s="21">
        <f>IF(AND(C3281&lt;&gt;"", J3281&lt;&gt;""), HYPERLINK("#'" &amp; C3281 &amp; "'!" &amp; J3281, J3281), "")</f>
        <v/>
      </c>
    </row>
    <row r="3282">
      <c r="B3282" s="21">
        <f>IF(AND(C3282&lt;&gt;"", J3282&lt;&gt;""), HYPERLINK("#'" &amp; C3282 &amp; "'!" &amp; J3282, J3282), "")</f>
        <v/>
      </c>
    </row>
    <row r="3283">
      <c r="B3283" s="21">
        <f>IF(AND(C3283&lt;&gt;"", J3283&lt;&gt;""), HYPERLINK("#'" &amp; C3283 &amp; "'!" &amp; J3283, J3283), "")</f>
        <v/>
      </c>
    </row>
    <row r="3284">
      <c r="B3284" s="21">
        <f>IF(AND(C3284&lt;&gt;"", J3284&lt;&gt;""), HYPERLINK("#'" &amp; C3284 &amp; "'!" &amp; J3284, J3284), "")</f>
        <v/>
      </c>
    </row>
    <row r="3285">
      <c r="B3285" s="21">
        <f>IF(AND(C3285&lt;&gt;"", J3285&lt;&gt;""), HYPERLINK("#'" &amp; C3285 &amp; "'!" &amp; J3285, J3285), "")</f>
        <v/>
      </c>
    </row>
    <row r="3286">
      <c r="B3286" s="21">
        <f>IF(AND(C3286&lt;&gt;"", J3286&lt;&gt;""), HYPERLINK("#'" &amp; C3286 &amp; "'!" &amp; J3286, J3286), "")</f>
        <v/>
      </c>
    </row>
    <row r="3287">
      <c r="B3287" s="21">
        <f>IF(AND(C3287&lt;&gt;"", J3287&lt;&gt;""), HYPERLINK("#'" &amp; C3287 &amp; "'!" &amp; J3287, J3287), "")</f>
        <v/>
      </c>
    </row>
    <row r="3288">
      <c r="B3288" s="21">
        <f>IF(AND(C3288&lt;&gt;"", J3288&lt;&gt;""), HYPERLINK("#'" &amp; C3288 &amp; "'!" &amp; J3288, J3288), "")</f>
        <v/>
      </c>
    </row>
    <row r="3289">
      <c r="B3289" s="21">
        <f>IF(AND(C3289&lt;&gt;"", J3289&lt;&gt;""), HYPERLINK("#'" &amp; C3289 &amp; "'!" &amp; J3289, J3289), "")</f>
        <v/>
      </c>
    </row>
    <row r="3290">
      <c r="B3290" s="21">
        <f>IF(AND(C3290&lt;&gt;"", J3290&lt;&gt;""), HYPERLINK("#'" &amp; C3290 &amp; "'!" &amp; J3290, J3290), "")</f>
        <v/>
      </c>
    </row>
    <row r="3291">
      <c r="B3291" s="21">
        <f>IF(AND(C3291&lt;&gt;"", J3291&lt;&gt;""), HYPERLINK("#'" &amp; C3291 &amp; "'!" &amp; J3291, J3291), "")</f>
        <v/>
      </c>
    </row>
    <row r="3292">
      <c r="B3292" s="21">
        <f>IF(AND(C3292&lt;&gt;"", J3292&lt;&gt;""), HYPERLINK("#'" &amp; C3292 &amp; "'!" &amp; J3292, J3292), "")</f>
        <v/>
      </c>
    </row>
    <row r="3293">
      <c r="B3293" s="21">
        <f>IF(AND(C3293&lt;&gt;"", J3293&lt;&gt;""), HYPERLINK("#'" &amp; C3293 &amp; "'!" &amp; J3293, J3293), "")</f>
        <v/>
      </c>
    </row>
    <row r="3294">
      <c r="B3294" s="21">
        <f>IF(AND(C3294&lt;&gt;"", J3294&lt;&gt;""), HYPERLINK("#'" &amp; C3294 &amp; "'!" &amp; J3294, J3294), "")</f>
        <v/>
      </c>
    </row>
    <row r="3295">
      <c r="B3295" s="21">
        <f>IF(AND(C3295&lt;&gt;"", J3295&lt;&gt;""), HYPERLINK("#'" &amp; C3295 &amp; "'!" &amp; J3295, J3295), "")</f>
        <v/>
      </c>
    </row>
    <row r="3296">
      <c r="B3296" s="21">
        <f>IF(AND(C3296&lt;&gt;"", J3296&lt;&gt;""), HYPERLINK("#'" &amp; C3296 &amp; "'!" &amp; J3296, J3296), "")</f>
        <v/>
      </c>
    </row>
    <row r="3297">
      <c r="B3297" s="21">
        <f>IF(AND(C3297&lt;&gt;"", J3297&lt;&gt;""), HYPERLINK("#'" &amp; C3297 &amp; "'!" &amp; J3297, J3297), "")</f>
        <v/>
      </c>
    </row>
    <row r="3298">
      <c r="B3298" s="21">
        <f>IF(AND(C3298&lt;&gt;"", J3298&lt;&gt;""), HYPERLINK("#'" &amp; C3298 &amp; "'!" &amp; J3298, J3298), "")</f>
        <v/>
      </c>
    </row>
    <row r="3299">
      <c r="B3299" s="21">
        <f>IF(AND(C3299&lt;&gt;"", J3299&lt;&gt;""), HYPERLINK("#'" &amp; C3299 &amp; "'!" &amp; J3299, J3299), "")</f>
        <v/>
      </c>
    </row>
    <row r="3300">
      <c r="B3300" s="21">
        <f>IF(AND(C3300&lt;&gt;"", J3300&lt;&gt;""), HYPERLINK("#'" &amp; C3300 &amp; "'!" &amp; J3300, J3300), "")</f>
        <v/>
      </c>
    </row>
    <row r="3301">
      <c r="B3301" s="21">
        <f>IF(AND(C3301&lt;&gt;"", J3301&lt;&gt;""), HYPERLINK("#'" &amp; C3301 &amp; "'!" &amp; J3301, J3301), "")</f>
        <v/>
      </c>
    </row>
    <row r="3302">
      <c r="B3302" s="21">
        <f>IF(AND(C3302&lt;&gt;"", J3302&lt;&gt;""), HYPERLINK("#'" &amp; C3302 &amp; "'!" &amp; J3302, J3302), "")</f>
        <v/>
      </c>
    </row>
    <row r="3303">
      <c r="B3303" s="21">
        <f>IF(AND(C3303&lt;&gt;"", J3303&lt;&gt;""), HYPERLINK("#'" &amp; C3303 &amp; "'!" &amp; J3303, J3303), "")</f>
        <v/>
      </c>
    </row>
    <row r="3304">
      <c r="B3304" s="21">
        <f>IF(AND(C3304&lt;&gt;"", J3304&lt;&gt;""), HYPERLINK("#'" &amp; C3304 &amp; "'!" &amp; J3304, J3304), "")</f>
        <v/>
      </c>
    </row>
    <row r="3305">
      <c r="B3305" s="21">
        <f>IF(AND(C3305&lt;&gt;"", J3305&lt;&gt;""), HYPERLINK("#'" &amp; C3305 &amp; "'!" &amp; J3305, J3305), "")</f>
        <v/>
      </c>
    </row>
    <row r="3306">
      <c r="B3306" s="21">
        <f>IF(AND(C3306&lt;&gt;"", J3306&lt;&gt;""), HYPERLINK("#'" &amp; C3306 &amp; "'!" &amp; J3306, J3306), "")</f>
        <v/>
      </c>
    </row>
    <row r="3307">
      <c r="B3307" s="21">
        <f>IF(AND(C3307&lt;&gt;"", J3307&lt;&gt;""), HYPERLINK("#'" &amp; C3307 &amp; "'!" &amp; J3307, J3307), "")</f>
        <v/>
      </c>
    </row>
    <row r="3308">
      <c r="B3308" s="21">
        <f>IF(AND(C3308&lt;&gt;"", J3308&lt;&gt;""), HYPERLINK("#'" &amp; C3308 &amp; "'!" &amp; J3308, J3308), "")</f>
        <v/>
      </c>
    </row>
    <row r="3309">
      <c r="B3309" s="21">
        <f>IF(AND(C3309&lt;&gt;"", J3309&lt;&gt;""), HYPERLINK("#'" &amp; C3309 &amp; "'!" &amp; J3309, J3309), "")</f>
        <v/>
      </c>
    </row>
    <row r="3310">
      <c r="B3310" s="21">
        <f>IF(AND(C3310&lt;&gt;"", J3310&lt;&gt;""), HYPERLINK("#'" &amp; C3310 &amp; "'!" &amp; J3310, J3310), "")</f>
        <v/>
      </c>
    </row>
    <row r="3311">
      <c r="B3311" s="21">
        <f>IF(AND(C3311&lt;&gt;"", J3311&lt;&gt;""), HYPERLINK("#'" &amp; C3311 &amp; "'!" &amp; J3311, J3311), "")</f>
        <v/>
      </c>
    </row>
    <row r="3312">
      <c r="B3312" s="21">
        <f>IF(AND(C3312&lt;&gt;"", J3312&lt;&gt;""), HYPERLINK("#'" &amp; C3312 &amp; "'!" &amp; J3312, J3312), "")</f>
        <v/>
      </c>
    </row>
    <row r="3313">
      <c r="B3313" s="21">
        <f>IF(AND(C3313&lt;&gt;"", J3313&lt;&gt;""), HYPERLINK("#'" &amp; C3313 &amp; "'!" &amp; J3313, J3313), "")</f>
        <v/>
      </c>
    </row>
    <row r="3314">
      <c r="B3314" s="21">
        <f>IF(AND(C3314&lt;&gt;"", J3314&lt;&gt;""), HYPERLINK("#'" &amp; C3314 &amp; "'!" &amp; J3314, J3314), "")</f>
        <v/>
      </c>
    </row>
    <row r="3315">
      <c r="B3315" s="21">
        <f>IF(AND(C3315&lt;&gt;"", J3315&lt;&gt;""), HYPERLINK("#'" &amp; C3315 &amp; "'!" &amp; J3315, J3315), "")</f>
        <v/>
      </c>
    </row>
    <row r="3316">
      <c r="B3316" s="21">
        <f>IF(AND(C3316&lt;&gt;"", J3316&lt;&gt;""), HYPERLINK("#'" &amp; C3316 &amp; "'!" &amp; J3316, J3316), "")</f>
        <v/>
      </c>
    </row>
    <row r="3317">
      <c r="B3317" s="21">
        <f>IF(AND(C3317&lt;&gt;"", J3317&lt;&gt;""), HYPERLINK("#'" &amp; C3317 &amp; "'!" &amp; J3317, J3317), "")</f>
        <v/>
      </c>
    </row>
    <row r="3318">
      <c r="B3318" s="21">
        <f>IF(AND(C3318&lt;&gt;"", J3318&lt;&gt;""), HYPERLINK("#'" &amp; C3318 &amp; "'!" &amp; J3318, J3318), "")</f>
        <v/>
      </c>
    </row>
    <row r="3319">
      <c r="B3319" s="21">
        <f>IF(AND(C3319&lt;&gt;"", J3319&lt;&gt;""), HYPERLINK("#'" &amp; C3319 &amp; "'!" &amp; J3319, J3319), "")</f>
        <v/>
      </c>
    </row>
    <row r="3320">
      <c r="B3320" s="21">
        <f>IF(AND(C3320&lt;&gt;"", J3320&lt;&gt;""), HYPERLINK("#'" &amp; C3320 &amp; "'!" &amp; J3320, J3320), "")</f>
        <v/>
      </c>
    </row>
    <row r="3321">
      <c r="B3321" s="21">
        <f>IF(AND(C3321&lt;&gt;"", J3321&lt;&gt;""), HYPERLINK("#'" &amp; C3321 &amp; "'!" &amp; J3321, J3321), "")</f>
        <v/>
      </c>
    </row>
    <row r="3322">
      <c r="B3322" s="21">
        <f>IF(AND(C3322&lt;&gt;"", J3322&lt;&gt;""), HYPERLINK("#'" &amp; C3322 &amp; "'!" &amp; J3322, J3322), "")</f>
        <v/>
      </c>
    </row>
    <row r="3323">
      <c r="B3323" s="21">
        <f>IF(AND(C3323&lt;&gt;"", J3323&lt;&gt;""), HYPERLINK("#'" &amp; C3323 &amp; "'!" &amp; J3323, J3323), "")</f>
        <v/>
      </c>
    </row>
    <row r="3324">
      <c r="B3324" s="21">
        <f>IF(AND(C3324&lt;&gt;"", J3324&lt;&gt;""), HYPERLINK("#'" &amp; C3324 &amp; "'!" &amp; J3324, J3324), "")</f>
        <v/>
      </c>
    </row>
    <row r="3325">
      <c r="B3325" s="21">
        <f>IF(AND(C3325&lt;&gt;"", J3325&lt;&gt;""), HYPERLINK("#'" &amp; C3325 &amp; "'!" &amp; J3325, J3325), "")</f>
        <v/>
      </c>
    </row>
    <row r="3326">
      <c r="B3326" s="21">
        <f>IF(AND(C3326&lt;&gt;"", J3326&lt;&gt;""), HYPERLINK("#'" &amp; C3326 &amp; "'!" &amp; J3326, J3326), "")</f>
        <v/>
      </c>
    </row>
    <row r="3327">
      <c r="B3327" s="21">
        <f>IF(AND(C3327&lt;&gt;"", J3327&lt;&gt;""), HYPERLINK("#'" &amp; C3327 &amp; "'!" &amp; J3327, J3327), "")</f>
        <v/>
      </c>
    </row>
    <row r="3328">
      <c r="B3328" s="21">
        <f>IF(AND(C3328&lt;&gt;"", J3328&lt;&gt;""), HYPERLINK("#'" &amp; C3328 &amp; "'!" &amp; J3328, J3328), "")</f>
        <v/>
      </c>
    </row>
    <row r="3329">
      <c r="B3329" s="21">
        <f>IF(AND(C3329&lt;&gt;"", J3329&lt;&gt;""), HYPERLINK("#'" &amp; C3329 &amp; "'!" &amp; J3329, J3329), "")</f>
        <v/>
      </c>
    </row>
    <row r="3330">
      <c r="B3330" s="21">
        <f>IF(AND(C3330&lt;&gt;"", J3330&lt;&gt;""), HYPERLINK("#'" &amp; C3330 &amp; "'!" &amp; J3330, J3330), "")</f>
        <v/>
      </c>
    </row>
    <row r="3331">
      <c r="B3331" s="21">
        <f>IF(AND(C3331&lt;&gt;"", J3331&lt;&gt;""), HYPERLINK("#'" &amp; C3331 &amp; "'!" &amp; J3331, J3331), "")</f>
        <v/>
      </c>
    </row>
    <row r="3332">
      <c r="B3332" s="21">
        <f>IF(AND(C3332&lt;&gt;"", J3332&lt;&gt;""), HYPERLINK("#'" &amp; C3332 &amp; "'!" &amp; J3332, J3332), "")</f>
        <v/>
      </c>
    </row>
    <row r="3333">
      <c r="B3333" s="21">
        <f>IF(AND(C3333&lt;&gt;"", J3333&lt;&gt;""), HYPERLINK("#'" &amp; C3333 &amp; "'!" &amp; J3333, J3333), "")</f>
        <v/>
      </c>
    </row>
    <row r="3334">
      <c r="B3334" s="21">
        <f>IF(AND(C3334&lt;&gt;"", J3334&lt;&gt;""), HYPERLINK("#'" &amp; C3334 &amp; "'!" &amp; J3334, J3334), "")</f>
        <v/>
      </c>
    </row>
    <row r="3335">
      <c r="B3335" s="21">
        <f>IF(AND(C3335&lt;&gt;"", J3335&lt;&gt;""), HYPERLINK("#'" &amp; C3335 &amp; "'!" &amp; J3335, J3335), "")</f>
        <v/>
      </c>
    </row>
    <row r="3336">
      <c r="B3336" s="21">
        <f>IF(AND(C3336&lt;&gt;"", J3336&lt;&gt;""), HYPERLINK("#'" &amp; C3336 &amp; "'!" &amp; J3336, J3336), "")</f>
        <v/>
      </c>
    </row>
    <row r="3337">
      <c r="B3337" s="21">
        <f>IF(AND(C3337&lt;&gt;"", J3337&lt;&gt;""), HYPERLINK("#'" &amp; C3337 &amp; "'!" &amp; J3337, J3337), "")</f>
        <v/>
      </c>
    </row>
    <row r="3338">
      <c r="B3338" s="21">
        <f>IF(AND(C3338&lt;&gt;"", J3338&lt;&gt;""), HYPERLINK("#'" &amp; C3338 &amp; "'!" &amp; J3338, J3338), "")</f>
        <v/>
      </c>
    </row>
    <row r="3339">
      <c r="B3339" s="21">
        <f>IF(AND(C3339&lt;&gt;"", J3339&lt;&gt;""), HYPERLINK("#'" &amp; C3339 &amp; "'!" &amp; J3339, J3339), "")</f>
        <v/>
      </c>
    </row>
    <row r="3340">
      <c r="B3340" s="21">
        <f>IF(AND(C3340&lt;&gt;"", J3340&lt;&gt;""), HYPERLINK("#'" &amp; C3340 &amp; "'!" &amp; J3340, J3340), "")</f>
        <v/>
      </c>
    </row>
    <row r="3341">
      <c r="B3341" s="21">
        <f>IF(AND(C3341&lt;&gt;"", J3341&lt;&gt;""), HYPERLINK("#'" &amp; C3341 &amp; "'!" &amp; J3341, J3341), "")</f>
        <v/>
      </c>
    </row>
    <row r="3342">
      <c r="B3342" s="21">
        <f>IF(AND(C3342&lt;&gt;"", J3342&lt;&gt;""), HYPERLINK("#'" &amp; C3342 &amp; "'!" &amp; J3342, J3342), "")</f>
        <v/>
      </c>
    </row>
    <row r="3343">
      <c r="B3343" s="21">
        <f>IF(AND(C3343&lt;&gt;"", J3343&lt;&gt;""), HYPERLINK("#'" &amp; C3343 &amp; "'!" &amp; J3343, J3343), "")</f>
        <v/>
      </c>
    </row>
    <row r="3344">
      <c r="B3344" s="21">
        <f>IF(AND(C3344&lt;&gt;"", J3344&lt;&gt;""), HYPERLINK("#'" &amp; C3344 &amp; "'!" &amp; J3344, J3344), "")</f>
        <v/>
      </c>
    </row>
    <row r="3345">
      <c r="B3345" s="21">
        <f>IF(AND(C3345&lt;&gt;"", J3345&lt;&gt;""), HYPERLINK("#'" &amp; C3345 &amp; "'!" &amp; J3345, J3345), "")</f>
        <v/>
      </c>
    </row>
    <row r="3346">
      <c r="B3346" s="21">
        <f>IF(AND(C3346&lt;&gt;"", J3346&lt;&gt;""), HYPERLINK("#'" &amp; C3346 &amp; "'!" &amp; J3346, J3346), "")</f>
        <v/>
      </c>
    </row>
    <row r="3347">
      <c r="B3347" s="21">
        <f>IF(AND(C3347&lt;&gt;"", J3347&lt;&gt;""), HYPERLINK("#'" &amp; C3347 &amp; "'!" &amp; J3347, J3347), "")</f>
        <v/>
      </c>
    </row>
    <row r="3348">
      <c r="B3348" s="21">
        <f>IF(AND(C3348&lt;&gt;"", J3348&lt;&gt;""), HYPERLINK("#'" &amp; C3348 &amp; "'!" &amp; J3348, J3348), "")</f>
        <v/>
      </c>
    </row>
    <row r="3349">
      <c r="B3349" s="21">
        <f>IF(AND(C3349&lt;&gt;"", J3349&lt;&gt;""), HYPERLINK("#'" &amp; C3349 &amp; "'!" &amp; J3349, J3349), "")</f>
        <v/>
      </c>
    </row>
    <row r="3350">
      <c r="B3350" s="21">
        <f>IF(AND(C3350&lt;&gt;"", J3350&lt;&gt;""), HYPERLINK("#'" &amp; C3350 &amp; "'!" &amp; J3350, J3350), "")</f>
        <v/>
      </c>
    </row>
    <row r="3351">
      <c r="B3351" s="21">
        <f>IF(AND(C3351&lt;&gt;"", J3351&lt;&gt;""), HYPERLINK("#'" &amp; C3351 &amp; "'!" &amp; J3351, J3351), "")</f>
        <v/>
      </c>
    </row>
    <row r="3352">
      <c r="B3352" s="21">
        <f>IF(AND(C3352&lt;&gt;"", J3352&lt;&gt;""), HYPERLINK("#'" &amp; C3352 &amp; "'!" &amp; J3352, J3352), "")</f>
        <v/>
      </c>
    </row>
    <row r="3353">
      <c r="B3353" s="21">
        <f>IF(AND(C3353&lt;&gt;"", J3353&lt;&gt;""), HYPERLINK("#'" &amp; C3353 &amp; "'!" &amp; J3353, J3353), "")</f>
        <v/>
      </c>
    </row>
    <row r="3354">
      <c r="B3354" s="21">
        <f>IF(AND(C3354&lt;&gt;"", J3354&lt;&gt;""), HYPERLINK("#'" &amp; C3354 &amp; "'!" &amp; J3354, J3354), "")</f>
        <v/>
      </c>
    </row>
    <row r="3355">
      <c r="B3355" s="21">
        <f>IF(AND(C3355&lt;&gt;"", J3355&lt;&gt;""), HYPERLINK("#'" &amp; C3355 &amp; "'!" &amp; J3355, J3355), "")</f>
        <v/>
      </c>
    </row>
    <row r="3356">
      <c r="B3356" s="21">
        <f>IF(AND(C3356&lt;&gt;"", J3356&lt;&gt;""), HYPERLINK("#'" &amp; C3356 &amp; "'!" &amp; J3356, J3356), "")</f>
        <v/>
      </c>
    </row>
    <row r="3357">
      <c r="B3357" s="21">
        <f>IF(AND(C3357&lt;&gt;"", J3357&lt;&gt;""), HYPERLINK("#'" &amp; C3357 &amp; "'!" &amp; J3357, J3357), "")</f>
        <v/>
      </c>
    </row>
    <row r="3358">
      <c r="B3358" s="21">
        <f>IF(AND(C3358&lt;&gt;"", J3358&lt;&gt;""), HYPERLINK("#'" &amp; C3358 &amp; "'!" &amp; J3358, J3358), "")</f>
        <v/>
      </c>
    </row>
    <row r="3359">
      <c r="B3359" s="21">
        <f>IF(AND(C3359&lt;&gt;"", J3359&lt;&gt;""), HYPERLINK("#'" &amp; C3359 &amp; "'!" &amp; J3359, J3359), "")</f>
        <v/>
      </c>
    </row>
    <row r="3360">
      <c r="B3360" s="21">
        <f>IF(AND(C3360&lt;&gt;"", J3360&lt;&gt;""), HYPERLINK("#'" &amp; C3360 &amp; "'!" &amp; J3360, J3360), "")</f>
        <v/>
      </c>
    </row>
    <row r="3361">
      <c r="B3361" s="21">
        <f>IF(AND(C3361&lt;&gt;"", J3361&lt;&gt;""), HYPERLINK("#'" &amp; C3361 &amp; "'!" &amp; J3361, J3361), "")</f>
        <v/>
      </c>
    </row>
    <row r="3362">
      <c r="B3362" s="21">
        <f>IF(AND(C3362&lt;&gt;"", J3362&lt;&gt;""), HYPERLINK("#'" &amp; C3362 &amp; "'!" &amp; J3362, J3362), "")</f>
        <v/>
      </c>
    </row>
    <row r="3363">
      <c r="B3363" s="21">
        <f>IF(AND(C3363&lt;&gt;"", J3363&lt;&gt;""), HYPERLINK("#'" &amp; C3363 &amp; "'!" &amp; J3363, J3363), "")</f>
        <v/>
      </c>
    </row>
    <row r="3364">
      <c r="B3364" s="21">
        <f>IF(AND(C3364&lt;&gt;"", J3364&lt;&gt;""), HYPERLINK("#'" &amp; C3364 &amp; "'!" &amp; J3364, J3364), "")</f>
        <v/>
      </c>
    </row>
    <row r="3365">
      <c r="B3365" s="21">
        <f>IF(AND(C3365&lt;&gt;"", J3365&lt;&gt;""), HYPERLINK("#'" &amp; C3365 &amp; "'!" &amp; J3365, J3365), "")</f>
        <v/>
      </c>
    </row>
    <row r="3366">
      <c r="B3366" s="21">
        <f>IF(AND(C3366&lt;&gt;"", J3366&lt;&gt;""), HYPERLINK("#'" &amp; C3366 &amp; "'!" &amp; J3366, J3366), "")</f>
        <v/>
      </c>
    </row>
    <row r="3367">
      <c r="B3367" s="21">
        <f>IF(AND(C3367&lt;&gt;"", J3367&lt;&gt;""), HYPERLINK("#'" &amp; C3367 &amp; "'!" &amp; J3367, J3367), "")</f>
        <v/>
      </c>
    </row>
    <row r="3368">
      <c r="B3368" s="21">
        <f>IF(AND(C3368&lt;&gt;"", J3368&lt;&gt;""), HYPERLINK("#'" &amp; C3368 &amp; "'!" &amp; J3368, J3368), "")</f>
        <v/>
      </c>
    </row>
    <row r="3369">
      <c r="B3369" s="21">
        <f>IF(AND(C3369&lt;&gt;"", J3369&lt;&gt;""), HYPERLINK("#'" &amp; C3369 &amp; "'!" &amp; J3369, J3369), "")</f>
        <v/>
      </c>
    </row>
    <row r="3370">
      <c r="B3370" s="21">
        <f>IF(AND(C3370&lt;&gt;"", J3370&lt;&gt;""), HYPERLINK("#'" &amp; C3370 &amp; "'!" &amp; J3370, J3370), "")</f>
        <v/>
      </c>
    </row>
    <row r="3371">
      <c r="B3371" s="21">
        <f>IF(AND(C3371&lt;&gt;"", J3371&lt;&gt;""), HYPERLINK("#'" &amp; C3371 &amp; "'!" &amp; J3371, J3371), "")</f>
        <v/>
      </c>
    </row>
    <row r="3372">
      <c r="B3372" s="21">
        <f>IF(AND(C3372&lt;&gt;"", J3372&lt;&gt;""), HYPERLINK("#'" &amp; C3372 &amp; "'!" &amp; J3372, J3372), "")</f>
        <v/>
      </c>
    </row>
    <row r="3373">
      <c r="B3373" s="21">
        <f>IF(AND(C3373&lt;&gt;"", J3373&lt;&gt;""), HYPERLINK("#'" &amp; C3373 &amp; "'!" &amp; J3373, J3373), "")</f>
        <v/>
      </c>
    </row>
    <row r="3374">
      <c r="B3374" s="21">
        <f>IF(AND(C3374&lt;&gt;"", J3374&lt;&gt;""), HYPERLINK("#'" &amp; C3374 &amp; "'!" &amp; J3374, J3374), "")</f>
        <v/>
      </c>
    </row>
    <row r="3375">
      <c r="B3375" s="21">
        <f>IF(AND(C3375&lt;&gt;"", J3375&lt;&gt;""), HYPERLINK("#'" &amp; C3375 &amp; "'!" &amp; J3375, J3375), "")</f>
        <v/>
      </c>
    </row>
    <row r="3376">
      <c r="B3376" s="21">
        <f>IF(AND(C3376&lt;&gt;"", J3376&lt;&gt;""), HYPERLINK("#'" &amp; C3376 &amp; "'!" &amp; J3376, J3376), "")</f>
        <v/>
      </c>
    </row>
    <row r="3377">
      <c r="B3377" s="21">
        <f>IF(AND(C3377&lt;&gt;"", J3377&lt;&gt;""), HYPERLINK("#'" &amp; C3377 &amp; "'!" &amp; J3377, J3377), "")</f>
        <v/>
      </c>
    </row>
    <row r="3378">
      <c r="B3378" s="21">
        <f>IF(AND(C3378&lt;&gt;"", J3378&lt;&gt;""), HYPERLINK("#'" &amp; C3378 &amp; "'!" &amp; J3378, J3378), "")</f>
        <v/>
      </c>
    </row>
    <row r="3379">
      <c r="B3379" s="21">
        <f>IF(AND(C3379&lt;&gt;"", J3379&lt;&gt;""), HYPERLINK("#'" &amp; C3379 &amp; "'!" &amp; J3379, J3379), "")</f>
        <v/>
      </c>
    </row>
    <row r="3380">
      <c r="B3380" s="21">
        <f>IF(AND(C3380&lt;&gt;"", J3380&lt;&gt;""), HYPERLINK("#'" &amp; C3380 &amp; "'!" &amp; J3380, J3380), "")</f>
        <v/>
      </c>
    </row>
    <row r="3381">
      <c r="B3381" s="21">
        <f>IF(AND(C3381&lt;&gt;"", J3381&lt;&gt;""), HYPERLINK("#'" &amp; C3381 &amp; "'!" &amp; J3381, J3381), "")</f>
        <v/>
      </c>
    </row>
    <row r="3382">
      <c r="B3382" s="21">
        <f>IF(AND(C3382&lt;&gt;"", J3382&lt;&gt;""), HYPERLINK("#'" &amp; C3382 &amp; "'!" &amp; J3382, J3382), "")</f>
        <v/>
      </c>
    </row>
    <row r="3383">
      <c r="B3383" s="21">
        <f>IF(AND(C3383&lt;&gt;"", J3383&lt;&gt;""), HYPERLINK("#'" &amp; C3383 &amp; "'!" &amp; J3383, J3383), "")</f>
        <v/>
      </c>
    </row>
    <row r="3384">
      <c r="B3384" s="21">
        <f>IF(AND(C3384&lt;&gt;"", J3384&lt;&gt;""), HYPERLINK("#'" &amp; C3384 &amp; "'!" &amp; J3384, J3384), "")</f>
        <v/>
      </c>
    </row>
    <row r="3385">
      <c r="B3385" s="21">
        <f>IF(AND(C3385&lt;&gt;"", J3385&lt;&gt;""), HYPERLINK("#'" &amp; C3385 &amp; "'!" &amp; J3385, J3385), "")</f>
        <v/>
      </c>
    </row>
    <row r="3386">
      <c r="B3386" s="21">
        <f>IF(AND(C3386&lt;&gt;"", J3386&lt;&gt;""), HYPERLINK("#'" &amp; C3386 &amp; "'!" &amp; J3386, J3386), "")</f>
        <v/>
      </c>
    </row>
    <row r="3387">
      <c r="B3387" s="21">
        <f>IF(AND(C3387&lt;&gt;"", J3387&lt;&gt;""), HYPERLINK("#'" &amp; C3387 &amp; "'!" &amp; J3387, J3387), "")</f>
        <v/>
      </c>
    </row>
    <row r="3388">
      <c r="B3388" s="21">
        <f>IF(AND(C3388&lt;&gt;"", J3388&lt;&gt;""), HYPERLINK("#'" &amp; C3388 &amp; "'!" &amp; J3388, J3388), "")</f>
        <v/>
      </c>
    </row>
    <row r="3389">
      <c r="B3389" s="21">
        <f>IF(AND(C3389&lt;&gt;"", J3389&lt;&gt;""), HYPERLINK("#'" &amp; C3389 &amp; "'!" &amp; J3389, J3389), "")</f>
        <v/>
      </c>
    </row>
    <row r="3390">
      <c r="B3390" s="21">
        <f>IF(AND(C3390&lt;&gt;"", J3390&lt;&gt;""), HYPERLINK("#'" &amp; C3390 &amp; "'!" &amp; J3390, J3390), "")</f>
        <v/>
      </c>
    </row>
    <row r="3391">
      <c r="B3391" s="21">
        <f>IF(AND(C3391&lt;&gt;"", J3391&lt;&gt;""), HYPERLINK("#'" &amp; C3391 &amp; "'!" &amp; J3391, J3391), "")</f>
        <v/>
      </c>
    </row>
    <row r="3392">
      <c r="B3392" s="21">
        <f>IF(AND(C3392&lt;&gt;"", J3392&lt;&gt;""), HYPERLINK("#'" &amp; C3392 &amp; "'!" &amp; J3392, J3392), "")</f>
        <v/>
      </c>
    </row>
    <row r="3393">
      <c r="B3393" s="21">
        <f>IF(AND(C3393&lt;&gt;"", J3393&lt;&gt;""), HYPERLINK("#'" &amp; C3393 &amp; "'!" &amp; J3393, J3393), "")</f>
        <v/>
      </c>
    </row>
    <row r="3394">
      <c r="B3394" s="21">
        <f>IF(AND(C3394&lt;&gt;"", J3394&lt;&gt;""), HYPERLINK("#'" &amp; C3394 &amp; "'!" &amp; J3394, J3394), "")</f>
        <v/>
      </c>
    </row>
    <row r="3395">
      <c r="B3395" s="21">
        <f>IF(AND(C3395&lt;&gt;"", J3395&lt;&gt;""), HYPERLINK("#'" &amp; C3395 &amp; "'!" &amp; J3395, J3395), "")</f>
        <v/>
      </c>
    </row>
    <row r="3396">
      <c r="B3396" s="21">
        <f>IF(AND(C3396&lt;&gt;"", J3396&lt;&gt;""), HYPERLINK("#'" &amp; C3396 &amp; "'!" &amp; J3396, J3396), "")</f>
        <v/>
      </c>
    </row>
    <row r="3397">
      <c r="B3397" s="21">
        <f>IF(AND(C3397&lt;&gt;"", J3397&lt;&gt;""), HYPERLINK("#'" &amp; C3397 &amp; "'!" &amp; J3397, J3397), "")</f>
        <v/>
      </c>
    </row>
    <row r="3398">
      <c r="B3398" s="21">
        <f>IF(AND(C3398&lt;&gt;"", J3398&lt;&gt;""), HYPERLINK("#'" &amp; C3398 &amp; "'!" &amp; J3398, J3398), "")</f>
        <v/>
      </c>
    </row>
    <row r="3399">
      <c r="B3399" s="21">
        <f>IF(AND(C3399&lt;&gt;"", J3399&lt;&gt;""), HYPERLINK("#'" &amp; C3399 &amp; "'!" &amp; J3399, J3399), "")</f>
        <v/>
      </c>
    </row>
    <row r="3400">
      <c r="B3400" s="21">
        <f>IF(AND(C3400&lt;&gt;"", J3400&lt;&gt;""), HYPERLINK("#'" &amp; C3400 &amp; "'!" &amp; J3400, J3400), "")</f>
        <v/>
      </c>
    </row>
    <row r="3401">
      <c r="B3401" s="21">
        <f>IF(AND(C3401&lt;&gt;"", J3401&lt;&gt;""), HYPERLINK("#'" &amp; C3401 &amp; "'!" &amp; J3401, J3401), "")</f>
        <v/>
      </c>
    </row>
    <row r="3402">
      <c r="B3402" s="21">
        <f>IF(AND(C3402&lt;&gt;"", J3402&lt;&gt;""), HYPERLINK("#'" &amp; C3402 &amp; "'!" &amp; J3402, J3402), "")</f>
        <v/>
      </c>
    </row>
    <row r="3403">
      <c r="B3403" s="21">
        <f>IF(AND(C3403&lt;&gt;"", J3403&lt;&gt;""), HYPERLINK("#'" &amp; C3403 &amp; "'!" &amp; J3403, J3403), "")</f>
        <v/>
      </c>
    </row>
    <row r="3404">
      <c r="B3404" s="21">
        <f>IF(AND(C3404&lt;&gt;"", J3404&lt;&gt;""), HYPERLINK("#'" &amp; C3404 &amp; "'!" &amp; J3404, J3404), "")</f>
        <v/>
      </c>
    </row>
    <row r="3405">
      <c r="B3405" s="21">
        <f>IF(AND(C3405&lt;&gt;"", J3405&lt;&gt;""), HYPERLINK("#'" &amp; C3405 &amp; "'!" &amp; J3405, J3405), "")</f>
        <v/>
      </c>
    </row>
    <row r="3406">
      <c r="B3406" s="21">
        <f>IF(AND(C3406&lt;&gt;"", J3406&lt;&gt;""), HYPERLINK("#'" &amp; C3406 &amp; "'!" &amp; J3406, J3406), "")</f>
        <v/>
      </c>
    </row>
    <row r="3407">
      <c r="B3407" s="21">
        <f>IF(AND(C3407&lt;&gt;"", J3407&lt;&gt;""), HYPERLINK("#'" &amp; C3407 &amp; "'!" &amp; J3407, J3407), "")</f>
        <v/>
      </c>
    </row>
    <row r="3408">
      <c r="B3408" s="21">
        <f>IF(AND(C3408&lt;&gt;"", J3408&lt;&gt;""), HYPERLINK("#'" &amp; C3408 &amp; "'!" &amp; J3408, J3408), "")</f>
        <v/>
      </c>
    </row>
    <row r="3409">
      <c r="B3409" s="21">
        <f>IF(AND(C3409&lt;&gt;"", J3409&lt;&gt;""), HYPERLINK("#'" &amp; C3409 &amp; "'!" &amp; J3409, J3409), "")</f>
        <v/>
      </c>
    </row>
    <row r="3410">
      <c r="B3410" s="21">
        <f>IF(AND(C3410&lt;&gt;"", J3410&lt;&gt;""), HYPERLINK("#'" &amp; C3410 &amp; "'!" &amp; J3410, J3410), "")</f>
        <v/>
      </c>
    </row>
    <row r="3411">
      <c r="B3411" s="21">
        <f>IF(AND(C3411&lt;&gt;"", J3411&lt;&gt;""), HYPERLINK("#'" &amp; C3411 &amp; "'!" &amp; J3411, J3411), "")</f>
        <v/>
      </c>
    </row>
    <row r="3412">
      <c r="B3412" s="21">
        <f>IF(AND(C3412&lt;&gt;"", J3412&lt;&gt;""), HYPERLINK("#'" &amp; C3412 &amp; "'!" &amp; J3412, J3412), "")</f>
        <v/>
      </c>
    </row>
    <row r="3413">
      <c r="B3413" s="21">
        <f>IF(AND(C3413&lt;&gt;"", J3413&lt;&gt;""), HYPERLINK("#'" &amp; C3413 &amp; "'!" &amp; J3413, J3413), "")</f>
        <v/>
      </c>
    </row>
    <row r="3414">
      <c r="B3414" s="21">
        <f>IF(AND(C3414&lt;&gt;"", J3414&lt;&gt;""), HYPERLINK("#'" &amp; C3414 &amp; "'!" &amp; J3414, J3414), "")</f>
        <v/>
      </c>
    </row>
    <row r="3415">
      <c r="B3415" s="21">
        <f>IF(AND(C3415&lt;&gt;"", J3415&lt;&gt;""), HYPERLINK("#'" &amp; C3415 &amp; "'!" &amp; J3415, J3415), "")</f>
        <v/>
      </c>
    </row>
    <row r="3416">
      <c r="B3416" s="21">
        <f>IF(AND(C3416&lt;&gt;"", J3416&lt;&gt;""), HYPERLINK("#'" &amp; C3416 &amp; "'!" &amp; J3416, J3416), "")</f>
        <v/>
      </c>
    </row>
    <row r="3417">
      <c r="B3417" s="21">
        <f>IF(AND(C3417&lt;&gt;"", J3417&lt;&gt;""), HYPERLINK("#'" &amp; C3417 &amp; "'!" &amp; J3417, J3417), "")</f>
        <v/>
      </c>
    </row>
    <row r="3418">
      <c r="B3418" s="21">
        <f>IF(AND(C3418&lt;&gt;"", J3418&lt;&gt;""), HYPERLINK("#'" &amp; C3418 &amp; "'!" &amp; J3418, J3418), "")</f>
        <v/>
      </c>
    </row>
    <row r="3419">
      <c r="B3419" s="21">
        <f>IF(AND(C3419&lt;&gt;"", J3419&lt;&gt;""), HYPERLINK("#'" &amp; C3419 &amp; "'!" &amp; J3419, J3419), "")</f>
        <v/>
      </c>
    </row>
    <row r="3420">
      <c r="B3420" s="21">
        <f>IF(AND(C3420&lt;&gt;"", J3420&lt;&gt;""), HYPERLINK("#'" &amp; C3420 &amp; "'!" &amp; J3420, J3420), "")</f>
        <v/>
      </c>
    </row>
    <row r="3421">
      <c r="B3421" s="21">
        <f>IF(AND(C3421&lt;&gt;"", J3421&lt;&gt;""), HYPERLINK("#'" &amp; C3421 &amp; "'!" &amp; J3421, J3421), "")</f>
        <v/>
      </c>
    </row>
    <row r="3422">
      <c r="B3422" s="21">
        <f>IF(AND(C3422&lt;&gt;"", J3422&lt;&gt;""), HYPERLINK("#'" &amp; C3422 &amp; "'!" &amp; J3422, J3422), "")</f>
        <v/>
      </c>
    </row>
    <row r="3423">
      <c r="B3423" s="21">
        <f>IF(AND(C3423&lt;&gt;"", J3423&lt;&gt;""), HYPERLINK("#'" &amp; C3423 &amp; "'!" &amp; J3423, J3423), "")</f>
        <v/>
      </c>
    </row>
    <row r="3424">
      <c r="B3424" s="21">
        <f>IF(AND(C3424&lt;&gt;"", J3424&lt;&gt;""), HYPERLINK("#'" &amp; C3424 &amp; "'!" &amp; J3424, J3424), "")</f>
        <v/>
      </c>
    </row>
    <row r="3425">
      <c r="B3425" s="21">
        <f>IF(AND(C3425&lt;&gt;"", J3425&lt;&gt;""), HYPERLINK("#'" &amp; C3425 &amp; "'!" &amp; J3425, J3425), "")</f>
        <v/>
      </c>
    </row>
    <row r="3426">
      <c r="B3426" s="21">
        <f>IF(AND(C3426&lt;&gt;"", J3426&lt;&gt;""), HYPERLINK("#'" &amp; C3426 &amp; "'!" &amp; J3426, J3426), "")</f>
        <v/>
      </c>
    </row>
    <row r="3427">
      <c r="B3427" s="21">
        <f>IF(AND(C3427&lt;&gt;"", J3427&lt;&gt;""), HYPERLINK("#'" &amp; C3427 &amp; "'!" &amp; J3427, J3427), "")</f>
        <v/>
      </c>
    </row>
    <row r="3428">
      <c r="B3428" s="21">
        <f>IF(AND(C3428&lt;&gt;"", J3428&lt;&gt;""), HYPERLINK("#'" &amp; C3428 &amp; "'!" &amp; J3428, J3428), "")</f>
        <v/>
      </c>
    </row>
    <row r="3429">
      <c r="B3429" s="21">
        <f>IF(AND(C3429&lt;&gt;"", J3429&lt;&gt;""), HYPERLINK("#'" &amp; C3429 &amp; "'!" &amp; J3429, J3429), "")</f>
        <v/>
      </c>
    </row>
    <row r="3430">
      <c r="B3430" s="21">
        <f>IF(AND(C3430&lt;&gt;"", J3430&lt;&gt;""), HYPERLINK("#'" &amp; C3430 &amp; "'!" &amp; J3430, J3430), "")</f>
        <v/>
      </c>
    </row>
    <row r="3431">
      <c r="B3431" s="21">
        <f>IF(AND(C3431&lt;&gt;"", J3431&lt;&gt;""), HYPERLINK("#'" &amp; C3431 &amp; "'!" &amp; J3431, J3431), "")</f>
        <v/>
      </c>
    </row>
    <row r="3432">
      <c r="B3432" s="21">
        <f>IF(AND(C3432&lt;&gt;"", J3432&lt;&gt;""), HYPERLINK("#'" &amp; C3432 &amp; "'!" &amp; J3432, J3432), "")</f>
        <v/>
      </c>
    </row>
    <row r="3433">
      <c r="B3433" s="21">
        <f>IF(AND(C3433&lt;&gt;"", J3433&lt;&gt;""), HYPERLINK("#'" &amp; C3433 &amp; "'!" &amp; J3433, J3433), "")</f>
        <v/>
      </c>
    </row>
    <row r="3434">
      <c r="B3434" s="21">
        <f>IF(AND(C3434&lt;&gt;"", J3434&lt;&gt;""), HYPERLINK("#'" &amp; C3434 &amp; "'!" &amp; J3434, J3434), "")</f>
        <v/>
      </c>
    </row>
    <row r="3435">
      <c r="B3435" s="21">
        <f>IF(AND(C3435&lt;&gt;"", J3435&lt;&gt;""), HYPERLINK("#'" &amp; C3435 &amp; "'!" &amp; J3435, J3435), "")</f>
        <v/>
      </c>
    </row>
    <row r="3436">
      <c r="B3436" s="21">
        <f>IF(AND(C3436&lt;&gt;"", J3436&lt;&gt;""), HYPERLINK("#'" &amp; C3436 &amp; "'!" &amp; J3436, J3436), "")</f>
        <v/>
      </c>
    </row>
    <row r="3437">
      <c r="B3437" s="21">
        <f>IF(AND(C3437&lt;&gt;"", J3437&lt;&gt;""), HYPERLINK("#'" &amp; C3437 &amp; "'!" &amp; J3437, J3437), "")</f>
        <v/>
      </c>
    </row>
    <row r="3438">
      <c r="B3438" s="21">
        <f>IF(AND(C3438&lt;&gt;"", J3438&lt;&gt;""), HYPERLINK("#'" &amp; C3438 &amp; "'!" &amp; J3438, J3438), "")</f>
        <v/>
      </c>
    </row>
    <row r="3439">
      <c r="B3439" s="21">
        <f>IF(AND(C3439&lt;&gt;"", J3439&lt;&gt;""), HYPERLINK("#'" &amp; C3439 &amp; "'!" &amp; J3439, J3439), "")</f>
        <v/>
      </c>
    </row>
    <row r="3440">
      <c r="B3440" s="21">
        <f>IF(AND(C3440&lt;&gt;"", J3440&lt;&gt;""), HYPERLINK("#'" &amp; C3440 &amp; "'!" &amp; J3440, J3440), "")</f>
        <v/>
      </c>
    </row>
    <row r="3441">
      <c r="B3441" s="21">
        <f>IF(AND(C3441&lt;&gt;"", J3441&lt;&gt;""), HYPERLINK("#'" &amp; C3441 &amp; "'!" &amp; J3441, J3441), "")</f>
        <v/>
      </c>
    </row>
    <row r="3442">
      <c r="B3442" s="21">
        <f>IF(AND(C3442&lt;&gt;"", J3442&lt;&gt;""), HYPERLINK("#'" &amp; C3442 &amp; "'!" &amp; J3442, J3442), "")</f>
        <v/>
      </c>
    </row>
    <row r="3443">
      <c r="B3443" s="21">
        <f>IF(AND(C3443&lt;&gt;"", J3443&lt;&gt;""), HYPERLINK("#'" &amp; C3443 &amp; "'!" &amp; J3443, J3443), "")</f>
        <v/>
      </c>
    </row>
    <row r="3444">
      <c r="B3444" s="21">
        <f>IF(AND(C3444&lt;&gt;"", J3444&lt;&gt;""), HYPERLINK("#'" &amp; C3444 &amp; "'!" &amp; J3444, J3444), "")</f>
        <v/>
      </c>
    </row>
    <row r="3445">
      <c r="B3445" s="21">
        <f>IF(AND(C3445&lt;&gt;"", J3445&lt;&gt;""), HYPERLINK("#'" &amp; C3445 &amp; "'!" &amp; J3445, J3445), "")</f>
        <v/>
      </c>
    </row>
    <row r="3446">
      <c r="B3446" s="21">
        <f>IF(AND(C3446&lt;&gt;"", J3446&lt;&gt;""), HYPERLINK("#'" &amp; C3446 &amp; "'!" &amp; J3446, J3446), "")</f>
        <v/>
      </c>
    </row>
    <row r="3447">
      <c r="B3447" s="21">
        <f>IF(AND(C3447&lt;&gt;"", J3447&lt;&gt;""), HYPERLINK("#'" &amp; C3447 &amp; "'!" &amp; J3447, J3447), "")</f>
        <v/>
      </c>
    </row>
    <row r="3448">
      <c r="B3448" s="21">
        <f>IF(AND(C3448&lt;&gt;"", J3448&lt;&gt;""), HYPERLINK("#'" &amp; C3448 &amp; "'!" &amp; J3448, J3448), "")</f>
        <v/>
      </c>
    </row>
    <row r="3449">
      <c r="B3449" s="21">
        <f>IF(AND(C3449&lt;&gt;"", J3449&lt;&gt;""), HYPERLINK("#'" &amp; C3449 &amp; "'!" &amp; J3449, J3449), "")</f>
        <v/>
      </c>
    </row>
    <row r="3450">
      <c r="B3450" s="21">
        <f>IF(AND(C3450&lt;&gt;"", J3450&lt;&gt;""), HYPERLINK("#'" &amp; C3450 &amp; "'!" &amp; J3450, J3450), "")</f>
        <v/>
      </c>
    </row>
    <row r="3451">
      <c r="B3451" s="21">
        <f>IF(AND(C3451&lt;&gt;"", J3451&lt;&gt;""), HYPERLINK("#'" &amp; C3451 &amp; "'!" &amp; J3451, J3451), "")</f>
        <v/>
      </c>
    </row>
    <row r="3452">
      <c r="B3452" s="21">
        <f>IF(AND(C3452&lt;&gt;"", J3452&lt;&gt;""), HYPERLINK("#'" &amp; C3452 &amp; "'!" &amp; J3452, J3452), "")</f>
        <v/>
      </c>
    </row>
    <row r="3453">
      <c r="B3453" s="21">
        <f>IF(AND(C3453&lt;&gt;"", J3453&lt;&gt;""), HYPERLINK("#'" &amp; C3453 &amp; "'!" &amp; J3453, J3453), "")</f>
        <v/>
      </c>
    </row>
    <row r="3454">
      <c r="B3454" s="21">
        <f>IF(AND(C3454&lt;&gt;"", J3454&lt;&gt;""), HYPERLINK("#'" &amp; C3454 &amp; "'!" &amp; J3454, J3454), "")</f>
        <v/>
      </c>
    </row>
    <row r="3455">
      <c r="B3455" s="21">
        <f>IF(AND(C3455&lt;&gt;"", J3455&lt;&gt;""), HYPERLINK("#'" &amp; C3455 &amp; "'!" &amp; J3455, J3455), "")</f>
        <v/>
      </c>
    </row>
    <row r="3456">
      <c r="B3456" s="21">
        <f>IF(AND(C3456&lt;&gt;"", J3456&lt;&gt;""), HYPERLINK("#'" &amp; C3456 &amp; "'!" &amp; J3456, J3456), "")</f>
        <v/>
      </c>
    </row>
    <row r="3457">
      <c r="B3457" s="21">
        <f>IF(AND(C3457&lt;&gt;"", J3457&lt;&gt;""), HYPERLINK("#'" &amp; C3457 &amp; "'!" &amp; J3457, J3457), "")</f>
        <v/>
      </c>
    </row>
    <row r="3458">
      <c r="B3458" s="21">
        <f>IF(AND(C3458&lt;&gt;"", J3458&lt;&gt;""), HYPERLINK("#'" &amp; C3458 &amp; "'!" &amp; J3458, J3458), "")</f>
        <v/>
      </c>
    </row>
    <row r="3459">
      <c r="B3459" s="21">
        <f>IF(AND(C3459&lt;&gt;"", J3459&lt;&gt;""), HYPERLINK("#'" &amp; C3459 &amp; "'!" &amp; J3459, J3459), "")</f>
        <v/>
      </c>
    </row>
    <row r="3460">
      <c r="B3460" s="21">
        <f>IF(AND(C3460&lt;&gt;"", J3460&lt;&gt;""), HYPERLINK("#'" &amp; C3460 &amp; "'!" &amp; J3460, J3460), "")</f>
        <v/>
      </c>
    </row>
    <row r="3461">
      <c r="B3461" s="21">
        <f>IF(AND(C3461&lt;&gt;"", J3461&lt;&gt;""), HYPERLINK("#'" &amp; C3461 &amp; "'!" &amp; J3461, J3461), "")</f>
        <v/>
      </c>
    </row>
    <row r="3462">
      <c r="B3462" s="21">
        <f>IF(AND(C3462&lt;&gt;"", J3462&lt;&gt;""), HYPERLINK("#'" &amp; C3462 &amp; "'!" &amp; J3462, J3462), "")</f>
        <v/>
      </c>
    </row>
    <row r="3463">
      <c r="B3463" s="21">
        <f>IF(AND(C3463&lt;&gt;"", J3463&lt;&gt;""), HYPERLINK("#'" &amp; C3463 &amp; "'!" &amp; J3463, J3463), "")</f>
        <v/>
      </c>
    </row>
    <row r="3464">
      <c r="B3464" s="21">
        <f>IF(AND(C3464&lt;&gt;"", J3464&lt;&gt;""), HYPERLINK("#'" &amp; C3464 &amp; "'!" &amp; J3464, J3464), "")</f>
        <v/>
      </c>
    </row>
    <row r="3465">
      <c r="B3465" s="21">
        <f>IF(AND(C3465&lt;&gt;"", J3465&lt;&gt;""), HYPERLINK("#'" &amp; C3465 &amp; "'!" &amp; J3465, J3465), "")</f>
        <v/>
      </c>
    </row>
    <row r="3466">
      <c r="B3466" s="21">
        <f>IF(AND(C3466&lt;&gt;"", J3466&lt;&gt;""), HYPERLINK("#'" &amp; C3466 &amp; "'!" &amp; J3466, J3466), "")</f>
        <v/>
      </c>
    </row>
    <row r="3467">
      <c r="B3467" s="21">
        <f>IF(AND(C3467&lt;&gt;"", J3467&lt;&gt;""), HYPERLINK("#'" &amp; C3467 &amp; "'!" &amp; J3467, J3467), "")</f>
        <v/>
      </c>
    </row>
    <row r="3468">
      <c r="B3468" s="21">
        <f>IF(AND(C3468&lt;&gt;"", J3468&lt;&gt;""), HYPERLINK("#'" &amp; C3468 &amp; "'!" &amp; J3468, J3468), "")</f>
        <v/>
      </c>
    </row>
    <row r="3469">
      <c r="B3469" s="21">
        <f>IF(AND(C3469&lt;&gt;"", J3469&lt;&gt;""), HYPERLINK("#'" &amp; C3469 &amp; "'!" &amp; J3469, J3469), "")</f>
        <v/>
      </c>
    </row>
    <row r="3470">
      <c r="B3470" s="21">
        <f>IF(AND(C3470&lt;&gt;"", J3470&lt;&gt;""), HYPERLINK("#'" &amp; C3470 &amp; "'!" &amp; J3470, J3470), "")</f>
        <v/>
      </c>
    </row>
    <row r="3471">
      <c r="B3471" s="21">
        <f>IF(AND(C3471&lt;&gt;"", J3471&lt;&gt;""), HYPERLINK("#'" &amp; C3471 &amp; "'!" &amp; J3471, J3471), "")</f>
        <v/>
      </c>
    </row>
    <row r="3472">
      <c r="B3472" s="21">
        <f>IF(AND(C3472&lt;&gt;"", J3472&lt;&gt;""), HYPERLINK("#'" &amp; C3472 &amp; "'!" &amp; J3472, J3472), "")</f>
        <v/>
      </c>
    </row>
    <row r="3473">
      <c r="B3473" s="21">
        <f>IF(AND(C3473&lt;&gt;"", J3473&lt;&gt;""), HYPERLINK("#'" &amp; C3473 &amp; "'!" &amp; J3473, J3473), "")</f>
        <v/>
      </c>
    </row>
    <row r="3474">
      <c r="B3474" s="21">
        <f>IF(AND(C3474&lt;&gt;"", J3474&lt;&gt;""), HYPERLINK("#'" &amp; C3474 &amp; "'!" &amp; J3474, J3474), "")</f>
        <v/>
      </c>
    </row>
    <row r="3475">
      <c r="B3475" s="21">
        <f>IF(AND(C3475&lt;&gt;"", J3475&lt;&gt;""), HYPERLINK("#'" &amp; C3475 &amp; "'!" &amp; J3475, J3475), "")</f>
        <v/>
      </c>
    </row>
    <row r="3476">
      <c r="B3476" s="21">
        <f>IF(AND(C3476&lt;&gt;"", J3476&lt;&gt;""), HYPERLINK("#'" &amp; C3476 &amp; "'!" &amp; J3476, J3476), "")</f>
        <v/>
      </c>
    </row>
    <row r="3477">
      <c r="B3477" s="21">
        <f>IF(AND(C3477&lt;&gt;"", J3477&lt;&gt;""), HYPERLINK("#'" &amp; C3477 &amp; "'!" &amp; J3477, J3477), "")</f>
        <v/>
      </c>
    </row>
    <row r="3478">
      <c r="B3478" s="21">
        <f>IF(AND(C3478&lt;&gt;"", J3478&lt;&gt;""), HYPERLINK("#'" &amp; C3478 &amp; "'!" &amp; J3478, J3478), "")</f>
        <v/>
      </c>
    </row>
    <row r="3479">
      <c r="B3479" s="21">
        <f>IF(AND(C3479&lt;&gt;"", J3479&lt;&gt;""), HYPERLINK("#'" &amp; C3479 &amp; "'!" &amp; J3479, J3479), "")</f>
        <v/>
      </c>
    </row>
    <row r="3480">
      <c r="B3480" s="21">
        <f>IF(AND(C3480&lt;&gt;"", J3480&lt;&gt;""), HYPERLINK("#'" &amp; C3480 &amp; "'!" &amp; J3480, J3480), "")</f>
        <v/>
      </c>
    </row>
    <row r="3481">
      <c r="B3481" s="21">
        <f>IF(AND(C3481&lt;&gt;"", J3481&lt;&gt;""), HYPERLINK("#'" &amp; C3481 &amp; "'!" &amp; J3481, J3481), "")</f>
        <v/>
      </c>
    </row>
    <row r="3482">
      <c r="B3482" s="21">
        <f>IF(AND(C3482&lt;&gt;"", J3482&lt;&gt;""), HYPERLINK("#'" &amp; C3482 &amp; "'!" &amp; J3482, J3482), "")</f>
        <v/>
      </c>
    </row>
    <row r="3483">
      <c r="B3483" s="21">
        <f>IF(AND(C3483&lt;&gt;"", J3483&lt;&gt;""), HYPERLINK("#'" &amp; C3483 &amp; "'!" &amp; J3483, J3483), "")</f>
        <v/>
      </c>
    </row>
    <row r="3484">
      <c r="B3484" s="21">
        <f>IF(AND(C3484&lt;&gt;"", J3484&lt;&gt;""), HYPERLINK("#'" &amp; C3484 &amp; "'!" &amp; J3484, J3484), "")</f>
        <v/>
      </c>
    </row>
    <row r="3485">
      <c r="B3485" s="21">
        <f>IF(AND(C3485&lt;&gt;"", J3485&lt;&gt;""), HYPERLINK("#'" &amp; C3485 &amp; "'!" &amp; J3485, J3485), "")</f>
        <v/>
      </c>
    </row>
    <row r="3486">
      <c r="B3486" s="21">
        <f>IF(AND(C3486&lt;&gt;"", J3486&lt;&gt;""), HYPERLINK("#'" &amp; C3486 &amp; "'!" &amp; J3486, J3486), "")</f>
        <v/>
      </c>
    </row>
    <row r="3487">
      <c r="B3487" s="21">
        <f>IF(AND(C3487&lt;&gt;"", J3487&lt;&gt;""), HYPERLINK("#'" &amp; C3487 &amp; "'!" &amp; J3487, J3487), "")</f>
        <v/>
      </c>
    </row>
    <row r="3488">
      <c r="B3488" s="21">
        <f>IF(AND(C3488&lt;&gt;"", J3488&lt;&gt;""), HYPERLINK("#'" &amp; C3488 &amp; "'!" &amp; J3488, J3488), "")</f>
        <v/>
      </c>
    </row>
    <row r="3489">
      <c r="B3489" s="21">
        <f>IF(AND(C3489&lt;&gt;"", J3489&lt;&gt;""), HYPERLINK("#'" &amp; C3489 &amp; "'!" &amp; J3489, J3489), "")</f>
        <v/>
      </c>
    </row>
    <row r="3490">
      <c r="B3490" s="21">
        <f>IF(AND(C3490&lt;&gt;"", J3490&lt;&gt;""), HYPERLINK("#'" &amp; C3490 &amp; "'!" &amp; J3490, J3490), "")</f>
        <v/>
      </c>
    </row>
    <row r="3491">
      <c r="B3491" s="21">
        <f>IF(AND(C3491&lt;&gt;"", J3491&lt;&gt;""), HYPERLINK("#'" &amp; C3491 &amp; "'!" &amp; J3491, J3491), "")</f>
        <v/>
      </c>
    </row>
    <row r="3492">
      <c r="B3492" s="21">
        <f>IF(AND(C3492&lt;&gt;"", J3492&lt;&gt;""), HYPERLINK("#'" &amp; C3492 &amp; "'!" &amp; J3492, J3492), "")</f>
        <v/>
      </c>
    </row>
    <row r="3493">
      <c r="B3493" s="21">
        <f>IF(AND(C3493&lt;&gt;"", J3493&lt;&gt;""), HYPERLINK("#'" &amp; C3493 &amp; "'!" &amp; J3493, J3493), "")</f>
        <v/>
      </c>
    </row>
    <row r="3494">
      <c r="B3494" s="21">
        <f>IF(AND(C3494&lt;&gt;"", J3494&lt;&gt;""), HYPERLINK("#'" &amp; C3494 &amp; "'!" &amp; J3494, J3494), "")</f>
        <v/>
      </c>
    </row>
    <row r="3495">
      <c r="B3495" s="21">
        <f>IF(AND(C3495&lt;&gt;"", J3495&lt;&gt;""), HYPERLINK("#'" &amp; C3495 &amp; "'!" &amp; J3495, J3495), "")</f>
        <v/>
      </c>
    </row>
    <row r="3496">
      <c r="B3496" s="21">
        <f>IF(AND(C3496&lt;&gt;"", J3496&lt;&gt;""), HYPERLINK("#'" &amp; C3496 &amp; "'!" &amp; J3496, J3496), "")</f>
        <v/>
      </c>
    </row>
    <row r="3497">
      <c r="B3497" s="21">
        <f>IF(AND(C3497&lt;&gt;"", J3497&lt;&gt;""), HYPERLINK("#'" &amp; C3497 &amp; "'!" &amp; J3497, J3497), "")</f>
        <v/>
      </c>
    </row>
    <row r="3498">
      <c r="B3498" s="21">
        <f>IF(AND(C3498&lt;&gt;"", J3498&lt;&gt;""), HYPERLINK("#'" &amp; C3498 &amp; "'!" &amp; J3498, J3498), "")</f>
        <v/>
      </c>
    </row>
    <row r="3499">
      <c r="B3499" s="21">
        <f>IF(AND(C3499&lt;&gt;"", J3499&lt;&gt;""), HYPERLINK("#'" &amp; C3499 &amp; "'!" &amp; J3499, J3499), "")</f>
        <v/>
      </c>
    </row>
    <row r="3500">
      <c r="B3500" s="21">
        <f>IF(AND(C3500&lt;&gt;"", J3500&lt;&gt;""), HYPERLINK("#'" &amp; C3500 &amp; "'!" &amp; J3500, J3500), "")</f>
        <v/>
      </c>
    </row>
    <row r="3501">
      <c r="B3501" s="21">
        <f>IF(AND(C3501&lt;&gt;"", J3501&lt;&gt;""), HYPERLINK("#'" &amp; C3501 &amp; "'!" &amp; J3501, J3501), "")</f>
        <v/>
      </c>
    </row>
    <row r="3502">
      <c r="B3502" s="21">
        <f>IF(AND(C3502&lt;&gt;"", J3502&lt;&gt;""), HYPERLINK("#'" &amp; C3502 &amp; "'!" &amp; J3502, J3502), "")</f>
        <v/>
      </c>
    </row>
    <row r="3503">
      <c r="B3503" s="21">
        <f>IF(AND(C3503&lt;&gt;"", J3503&lt;&gt;""), HYPERLINK("#'" &amp; C3503 &amp; "'!" &amp; J3503, J3503), "")</f>
        <v/>
      </c>
    </row>
    <row r="3504">
      <c r="B3504" s="21">
        <f>IF(AND(C3504&lt;&gt;"", J3504&lt;&gt;""), HYPERLINK("#'" &amp; C3504 &amp; "'!" &amp; J3504, J3504), "")</f>
        <v/>
      </c>
    </row>
    <row r="3505">
      <c r="B3505" s="21">
        <f>IF(AND(C3505&lt;&gt;"", J3505&lt;&gt;""), HYPERLINK("#'" &amp; C3505 &amp; "'!" &amp; J3505, J3505), "")</f>
        <v/>
      </c>
    </row>
    <row r="3506">
      <c r="B3506" s="21">
        <f>IF(AND(C3506&lt;&gt;"", J3506&lt;&gt;""), HYPERLINK("#'" &amp; C3506 &amp; "'!" &amp; J3506, J3506), "")</f>
        <v/>
      </c>
    </row>
    <row r="3507">
      <c r="B3507" s="21">
        <f>IF(AND(C3507&lt;&gt;"", J3507&lt;&gt;""), HYPERLINK("#'" &amp; C3507 &amp; "'!" &amp; J3507, J3507), "")</f>
        <v/>
      </c>
    </row>
    <row r="3508">
      <c r="B3508" s="21">
        <f>IF(AND(C3508&lt;&gt;"", J3508&lt;&gt;""), HYPERLINK("#'" &amp; C3508 &amp; "'!" &amp; J3508, J3508), "")</f>
        <v/>
      </c>
    </row>
    <row r="3509">
      <c r="B3509" s="21">
        <f>IF(AND(C3509&lt;&gt;"", J3509&lt;&gt;""), HYPERLINK("#'" &amp; C3509 &amp; "'!" &amp; J3509, J3509), "")</f>
        <v/>
      </c>
    </row>
    <row r="3510">
      <c r="B3510" s="21">
        <f>IF(AND(C3510&lt;&gt;"", J3510&lt;&gt;""), HYPERLINK("#'" &amp; C3510 &amp; "'!" &amp; J3510, J3510), "")</f>
        <v/>
      </c>
    </row>
    <row r="3511">
      <c r="B3511" s="21">
        <f>IF(AND(C3511&lt;&gt;"", J3511&lt;&gt;""), HYPERLINK("#'" &amp; C3511 &amp; "'!" &amp; J3511, J3511), "")</f>
        <v/>
      </c>
    </row>
    <row r="3512">
      <c r="B3512" s="21">
        <f>IF(AND(C3512&lt;&gt;"", J3512&lt;&gt;""), HYPERLINK("#'" &amp; C3512 &amp; "'!" &amp; J3512, J3512), "")</f>
        <v/>
      </c>
    </row>
    <row r="3513">
      <c r="B3513" s="21">
        <f>IF(AND(C3513&lt;&gt;"", J3513&lt;&gt;""), HYPERLINK("#'" &amp; C3513 &amp; "'!" &amp; J3513, J3513), "")</f>
        <v/>
      </c>
    </row>
    <row r="3514">
      <c r="B3514" s="21">
        <f>IF(AND(C3514&lt;&gt;"", J3514&lt;&gt;""), HYPERLINK("#'" &amp; C3514 &amp; "'!" &amp; J3514, J3514), "")</f>
        <v/>
      </c>
    </row>
    <row r="3515">
      <c r="B3515" s="21">
        <f>IF(AND(C3515&lt;&gt;"", J3515&lt;&gt;""), HYPERLINK("#'" &amp; C3515 &amp; "'!" &amp; J3515, J3515), "")</f>
        <v/>
      </c>
    </row>
    <row r="3516">
      <c r="B3516" s="21">
        <f>IF(AND(C3516&lt;&gt;"", J3516&lt;&gt;""), HYPERLINK("#'" &amp; C3516 &amp; "'!" &amp; J3516, J3516), "")</f>
        <v/>
      </c>
    </row>
    <row r="3517">
      <c r="B3517" s="21">
        <f>IF(AND(C3517&lt;&gt;"", J3517&lt;&gt;""), HYPERLINK("#'" &amp; C3517 &amp; "'!" &amp; J3517, J3517), "")</f>
        <v/>
      </c>
    </row>
    <row r="3518">
      <c r="B3518" s="21">
        <f>IF(AND(C3518&lt;&gt;"", J3518&lt;&gt;""), HYPERLINK("#'" &amp; C3518 &amp; "'!" &amp; J3518, J3518), "")</f>
        <v/>
      </c>
    </row>
    <row r="3519">
      <c r="B3519" s="21">
        <f>IF(AND(C3519&lt;&gt;"", J3519&lt;&gt;""), HYPERLINK("#'" &amp; C3519 &amp; "'!" &amp; J3519, J3519), "")</f>
        <v/>
      </c>
    </row>
    <row r="3520">
      <c r="B3520" s="21">
        <f>IF(AND(C3520&lt;&gt;"", J3520&lt;&gt;""), HYPERLINK("#'" &amp; C3520 &amp; "'!" &amp; J3520, J3520), "")</f>
        <v/>
      </c>
    </row>
    <row r="3521">
      <c r="B3521" s="21">
        <f>IF(AND(C3521&lt;&gt;"", J3521&lt;&gt;""), HYPERLINK("#'" &amp; C3521 &amp; "'!" &amp; J3521, J3521), "")</f>
        <v/>
      </c>
    </row>
    <row r="3522">
      <c r="B3522" s="21">
        <f>IF(AND(C3522&lt;&gt;"", J3522&lt;&gt;""), HYPERLINK("#'" &amp; C3522 &amp; "'!" &amp; J3522, J3522), "")</f>
        <v/>
      </c>
    </row>
    <row r="3523">
      <c r="B3523" s="21">
        <f>IF(AND(C3523&lt;&gt;"", J3523&lt;&gt;""), HYPERLINK("#'" &amp; C3523 &amp; "'!" &amp; J3523, J3523), "")</f>
        <v/>
      </c>
    </row>
    <row r="3524">
      <c r="B3524" s="21">
        <f>IF(AND(C3524&lt;&gt;"", J3524&lt;&gt;""), HYPERLINK("#'" &amp; C3524 &amp; "'!" &amp; J3524, J3524), "")</f>
        <v/>
      </c>
    </row>
    <row r="3525">
      <c r="B3525" s="21">
        <f>IF(AND(C3525&lt;&gt;"", J3525&lt;&gt;""), HYPERLINK("#'" &amp; C3525 &amp; "'!" &amp; J3525, J3525), "")</f>
        <v/>
      </c>
    </row>
    <row r="3526">
      <c r="B3526" s="21">
        <f>IF(AND(C3526&lt;&gt;"", J3526&lt;&gt;""), HYPERLINK("#'" &amp; C3526 &amp; "'!" &amp; J3526, J3526), "")</f>
        <v/>
      </c>
    </row>
    <row r="3527">
      <c r="B3527" s="21">
        <f>IF(AND(C3527&lt;&gt;"", J3527&lt;&gt;""), HYPERLINK("#'" &amp; C3527 &amp; "'!" &amp; J3527, J3527), "")</f>
        <v/>
      </c>
    </row>
    <row r="3528">
      <c r="B3528" s="21">
        <f>IF(AND(C3528&lt;&gt;"", J3528&lt;&gt;""), HYPERLINK("#'" &amp; C3528 &amp; "'!" &amp; J3528, J3528), "")</f>
        <v/>
      </c>
    </row>
    <row r="3529">
      <c r="B3529" s="21">
        <f>IF(AND(C3529&lt;&gt;"", J3529&lt;&gt;""), HYPERLINK("#'" &amp; C3529 &amp; "'!" &amp; J3529, J3529), "")</f>
        <v/>
      </c>
    </row>
    <row r="3530">
      <c r="B3530" s="21">
        <f>IF(AND(C3530&lt;&gt;"", J3530&lt;&gt;""), HYPERLINK("#'" &amp; C3530 &amp; "'!" &amp; J3530, J3530), "")</f>
        <v/>
      </c>
    </row>
    <row r="3531">
      <c r="B3531" s="21">
        <f>IF(AND(C3531&lt;&gt;"", J3531&lt;&gt;""), HYPERLINK("#'" &amp; C3531 &amp; "'!" &amp; J3531, J3531), "")</f>
        <v/>
      </c>
    </row>
    <row r="3532">
      <c r="B3532" s="21">
        <f>IF(AND(C3532&lt;&gt;"", J3532&lt;&gt;""), HYPERLINK("#'" &amp; C3532 &amp; "'!" &amp; J3532, J3532), "")</f>
        <v/>
      </c>
    </row>
    <row r="3533">
      <c r="B3533" s="21">
        <f>IF(AND(C3533&lt;&gt;"", J3533&lt;&gt;""), HYPERLINK("#'" &amp; C3533 &amp; "'!" &amp; J3533, J3533), "")</f>
        <v/>
      </c>
    </row>
    <row r="3534">
      <c r="B3534" s="21">
        <f>IF(AND(C3534&lt;&gt;"", J3534&lt;&gt;""), HYPERLINK("#'" &amp; C3534 &amp; "'!" &amp; J3534, J3534), "")</f>
        <v/>
      </c>
    </row>
    <row r="3535">
      <c r="B3535" s="21">
        <f>IF(AND(C3535&lt;&gt;"", J3535&lt;&gt;""), HYPERLINK("#'" &amp; C3535 &amp; "'!" &amp; J3535, J3535), "")</f>
        <v/>
      </c>
    </row>
    <row r="3536">
      <c r="B3536" s="21">
        <f>IF(AND(C3536&lt;&gt;"", J3536&lt;&gt;""), HYPERLINK("#'" &amp; C3536 &amp; "'!" &amp; J3536, J3536), "")</f>
        <v/>
      </c>
    </row>
    <row r="3537">
      <c r="B3537" s="21">
        <f>IF(AND(C3537&lt;&gt;"", J3537&lt;&gt;""), HYPERLINK("#'" &amp; C3537 &amp; "'!" &amp; J3537, J3537), "")</f>
        <v/>
      </c>
    </row>
    <row r="3538">
      <c r="B3538" s="21">
        <f>IF(AND(C3538&lt;&gt;"", J3538&lt;&gt;""), HYPERLINK("#'" &amp; C3538 &amp; "'!" &amp; J3538, J3538), "")</f>
        <v/>
      </c>
    </row>
    <row r="3539">
      <c r="B3539" s="21">
        <f>IF(AND(C3539&lt;&gt;"", J3539&lt;&gt;""), HYPERLINK("#'" &amp; C3539 &amp; "'!" &amp; J3539, J3539), "")</f>
        <v/>
      </c>
    </row>
    <row r="3540">
      <c r="B3540" s="21">
        <f>IF(AND(C3540&lt;&gt;"", J3540&lt;&gt;""), HYPERLINK("#'" &amp; C3540 &amp; "'!" &amp; J3540, J3540), "")</f>
        <v/>
      </c>
    </row>
    <row r="3541">
      <c r="B3541" s="21">
        <f>IF(AND(C3541&lt;&gt;"", J3541&lt;&gt;""), HYPERLINK("#'" &amp; C3541 &amp; "'!" &amp; J3541, J3541), "")</f>
        <v/>
      </c>
    </row>
    <row r="3542">
      <c r="B3542" s="21">
        <f>IF(AND(C3542&lt;&gt;"", J3542&lt;&gt;""), HYPERLINK("#'" &amp; C3542 &amp; "'!" &amp; J3542, J3542), "")</f>
        <v/>
      </c>
    </row>
    <row r="3543">
      <c r="B3543" s="21">
        <f>IF(AND(C3543&lt;&gt;"", J3543&lt;&gt;""), HYPERLINK("#'" &amp; C3543 &amp; "'!" &amp; J3543, J3543), "")</f>
        <v/>
      </c>
    </row>
    <row r="3544">
      <c r="B3544" s="21">
        <f>IF(AND(C3544&lt;&gt;"", J3544&lt;&gt;""), HYPERLINK("#'" &amp; C3544 &amp; "'!" &amp; J3544, J3544), "")</f>
        <v/>
      </c>
    </row>
    <row r="3545">
      <c r="B3545" s="21">
        <f>IF(AND(C3545&lt;&gt;"", J3545&lt;&gt;""), HYPERLINK("#'" &amp; C3545 &amp; "'!" &amp; J3545, J3545), "")</f>
        <v/>
      </c>
    </row>
    <row r="3546">
      <c r="B3546" s="21">
        <f>IF(AND(C3546&lt;&gt;"", J3546&lt;&gt;""), HYPERLINK("#'" &amp; C3546 &amp; "'!" &amp; J3546, J3546), "")</f>
        <v/>
      </c>
    </row>
    <row r="3547">
      <c r="B3547" s="21">
        <f>IF(AND(C3547&lt;&gt;"", J3547&lt;&gt;""), HYPERLINK("#'" &amp; C3547 &amp; "'!" &amp; J3547, J3547), "")</f>
        <v/>
      </c>
    </row>
    <row r="3548">
      <c r="B3548" s="21">
        <f>IF(AND(C3548&lt;&gt;"", J3548&lt;&gt;""), HYPERLINK("#'" &amp; C3548 &amp; "'!" &amp; J3548, J3548), "")</f>
        <v/>
      </c>
    </row>
    <row r="3549">
      <c r="B3549" s="21">
        <f>IF(AND(C3549&lt;&gt;"", J3549&lt;&gt;""), HYPERLINK("#'" &amp; C3549 &amp; "'!" &amp; J3549, J3549), "")</f>
        <v/>
      </c>
    </row>
    <row r="3550">
      <c r="B3550" s="21">
        <f>IF(AND(C3550&lt;&gt;"", J3550&lt;&gt;""), HYPERLINK("#'" &amp; C3550 &amp; "'!" &amp; J3550, J3550), "")</f>
        <v/>
      </c>
    </row>
    <row r="3551">
      <c r="B3551" s="21">
        <f>IF(AND(C3551&lt;&gt;"", J3551&lt;&gt;""), HYPERLINK("#'" &amp; C3551 &amp; "'!" &amp; J3551, J3551), "")</f>
        <v/>
      </c>
    </row>
    <row r="3552">
      <c r="B3552" s="21">
        <f>IF(AND(C3552&lt;&gt;"", J3552&lt;&gt;""), HYPERLINK("#'" &amp; C3552 &amp; "'!" &amp; J3552, J3552), "")</f>
        <v/>
      </c>
    </row>
    <row r="3553">
      <c r="B3553" s="21">
        <f>IF(AND(C3553&lt;&gt;"", J3553&lt;&gt;""), HYPERLINK("#'" &amp; C3553 &amp; "'!" &amp; J3553, J3553), "")</f>
        <v/>
      </c>
    </row>
    <row r="3554">
      <c r="B3554" s="21">
        <f>IF(AND(C3554&lt;&gt;"", J3554&lt;&gt;""), HYPERLINK("#'" &amp; C3554 &amp; "'!" &amp; J3554, J3554), "")</f>
        <v/>
      </c>
    </row>
    <row r="3555">
      <c r="B3555" s="21">
        <f>IF(AND(C3555&lt;&gt;"", J3555&lt;&gt;""), HYPERLINK("#'" &amp; C3555 &amp; "'!" &amp; J3555, J3555), "")</f>
        <v/>
      </c>
    </row>
    <row r="3556">
      <c r="B3556" s="21">
        <f>IF(AND(C3556&lt;&gt;"", J3556&lt;&gt;""), HYPERLINK("#'" &amp; C3556 &amp; "'!" &amp; J3556, J3556), "")</f>
        <v/>
      </c>
    </row>
    <row r="3557">
      <c r="B3557" s="21">
        <f>IF(AND(C3557&lt;&gt;"", J3557&lt;&gt;""), HYPERLINK("#'" &amp; C3557 &amp; "'!" &amp; J3557, J3557), "")</f>
        <v/>
      </c>
    </row>
    <row r="3558">
      <c r="B3558" s="21">
        <f>IF(AND(C3558&lt;&gt;"", J3558&lt;&gt;""), HYPERLINK("#'" &amp; C3558 &amp; "'!" &amp; J3558, J3558), "")</f>
        <v/>
      </c>
    </row>
    <row r="3559">
      <c r="B3559" s="21">
        <f>IF(AND(C3559&lt;&gt;"", J3559&lt;&gt;""), HYPERLINK("#'" &amp; C3559 &amp; "'!" &amp; J3559, J3559), "")</f>
        <v/>
      </c>
    </row>
    <row r="3560">
      <c r="B3560" s="21">
        <f>IF(AND(C3560&lt;&gt;"", J3560&lt;&gt;""), HYPERLINK("#'" &amp; C3560 &amp; "'!" &amp; J3560, J3560), "")</f>
        <v/>
      </c>
    </row>
    <row r="3561">
      <c r="B3561" s="21">
        <f>IF(AND(C3561&lt;&gt;"", J3561&lt;&gt;""), HYPERLINK("#'" &amp; C3561 &amp; "'!" &amp; J3561, J3561), "")</f>
        <v/>
      </c>
    </row>
    <row r="3562">
      <c r="B3562" s="21">
        <f>IF(AND(C3562&lt;&gt;"", J3562&lt;&gt;""), HYPERLINK("#'" &amp; C3562 &amp; "'!" &amp; J3562, J3562), "")</f>
        <v/>
      </c>
    </row>
    <row r="3563">
      <c r="B3563" s="21">
        <f>IF(AND(C3563&lt;&gt;"", J3563&lt;&gt;""), HYPERLINK("#'" &amp; C3563 &amp; "'!" &amp; J3563, J3563), "")</f>
        <v/>
      </c>
    </row>
    <row r="3564">
      <c r="B3564" s="21">
        <f>IF(AND(C3564&lt;&gt;"", J3564&lt;&gt;""), HYPERLINK("#'" &amp; C3564 &amp; "'!" &amp; J3564, J3564), "")</f>
        <v/>
      </c>
    </row>
    <row r="3565">
      <c r="B3565" s="21">
        <f>IF(AND(C3565&lt;&gt;"", J3565&lt;&gt;""), HYPERLINK("#'" &amp; C3565 &amp; "'!" &amp; J3565, J3565), "")</f>
        <v/>
      </c>
    </row>
    <row r="3566">
      <c r="B3566" s="21">
        <f>IF(AND(C3566&lt;&gt;"", J3566&lt;&gt;""), HYPERLINK("#'" &amp; C3566 &amp; "'!" &amp; J3566, J3566), "")</f>
        <v/>
      </c>
    </row>
    <row r="3567">
      <c r="B3567" s="21">
        <f>IF(AND(C3567&lt;&gt;"", J3567&lt;&gt;""), HYPERLINK("#'" &amp; C3567 &amp; "'!" &amp; J3567, J3567), "")</f>
        <v/>
      </c>
    </row>
    <row r="3568">
      <c r="B3568" s="21">
        <f>IF(AND(C3568&lt;&gt;"", J3568&lt;&gt;""), HYPERLINK("#'" &amp; C3568 &amp; "'!" &amp; J3568, J3568), "")</f>
        <v/>
      </c>
    </row>
    <row r="3569">
      <c r="B3569" s="21">
        <f>IF(AND(C3569&lt;&gt;"", J3569&lt;&gt;""), HYPERLINK("#'" &amp; C3569 &amp; "'!" &amp; J3569, J3569), "")</f>
        <v/>
      </c>
    </row>
    <row r="3570">
      <c r="B3570" s="21">
        <f>IF(AND(C3570&lt;&gt;"", J3570&lt;&gt;""), HYPERLINK("#'" &amp; C3570 &amp; "'!" &amp; J3570, J3570), "")</f>
        <v/>
      </c>
    </row>
    <row r="3571">
      <c r="B3571" s="21">
        <f>IF(AND(C3571&lt;&gt;"", J3571&lt;&gt;""), HYPERLINK("#'" &amp; C3571 &amp; "'!" &amp; J3571, J3571), "")</f>
        <v/>
      </c>
    </row>
    <row r="3572">
      <c r="B3572" s="21">
        <f>IF(AND(C3572&lt;&gt;"", J3572&lt;&gt;""), HYPERLINK("#'" &amp; C3572 &amp; "'!" &amp; J3572, J3572), "")</f>
        <v/>
      </c>
    </row>
    <row r="3573">
      <c r="B3573" s="21">
        <f>IF(AND(C3573&lt;&gt;"", J3573&lt;&gt;""), HYPERLINK("#'" &amp; C3573 &amp; "'!" &amp; J3573, J3573), "")</f>
        <v/>
      </c>
    </row>
    <row r="3574">
      <c r="B3574" s="21">
        <f>IF(AND(C3574&lt;&gt;"", J3574&lt;&gt;""), HYPERLINK("#'" &amp; C3574 &amp; "'!" &amp; J3574, J3574), "")</f>
        <v/>
      </c>
    </row>
    <row r="3575">
      <c r="B3575" s="21">
        <f>IF(AND(C3575&lt;&gt;"", J3575&lt;&gt;""), HYPERLINK("#'" &amp; C3575 &amp; "'!" &amp; J3575, J3575), "")</f>
        <v/>
      </c>
    </row>
    <row r="3576">
      <c r="B3576" s="21">
        <f>IF(AND(C3576&lt;&gt;"", J3576&lt;&gt;""), HYPERLINK("#'" &amp; C3576 &amp; "'!" &amp; J3576, J3576), "")</f>
        <v/>
      </c>
    </row>
    <row r="3577">
      <c r="B3577" s="21">
        <f>IF(AND(C3577&lt;&gt;"", J3577&lt;&gt;""), HYPERLINK("#'" &amp; C3577 &amp; "'!" &amp; J3577, J3577), "")</f>
        <v/>
      </c>
    </row>
    <row r="3578">
      <c r="B3578" s="21">
        <f>IF(AND(C3578&lt;&gt;"", J3578&lt;&gt;""), HYPERLINK("#'" &amp; C3578 &amp; "'!" &amp; J3578, J3578), "")</f>
        <v/>
      </c>
    </row>
    <row r="3579">
      <c r="B3579" s="21">
        <f>IF(AND(C3579&lt;&gt;"", J3579&lt;&gt;""), HYPERLINK("#'" &amp; C3579 &amp; "'!" &amp; J3579, J3579), "")</f>
        <v/>
      </c>
    </row>
    <row r="3580">
      <c r="B3580" s="21">
        <f>IF(AND(C3580&lt;&gt;"", J3580&lt;&gt;""), HYPERLINK("#'" &amp; C3580 &amp; "'!" &amp; J3580, J3580), "")</f>
        <v/>
      </c>
    </row>
    <row r="3581">
      <c r="B3581" s="21">
        <f>IF(AND(C3581&lt;&gt;"", J3581&lt;&gt;""), HYPERLINK("#'" &amp; C3581 &amp; "'!" &amp; J3581, J3581), "")</f>
        <v/>
      </c>
    </row>
    <row r="3582">
      <c r="B3582" s="21">
        <f>IF(AND(C3582&lt;&gt;"", J3582&lt;&gt;""), HYPERLINK("#'" &amp; C3582 &amp; "'!" &amp; J3582, J3582), "")</f>
        <v/>
      </c>
    </row>
    <row r="3583">
      <c r="B3583" s="21">
        <f>IF(AND(C3583&lt;&gt;"", J3583&lt;&gt;""), HYPERLINK("#'" &amp; C3583 &amp; "'!" &amp; J3583, J3583), "")</f>
        <v/>
      </c>
    </row>
    <row r="3584">
      <c r="B3584" s="21">
        <f>IF(AND(C3584&lt;&gt;"", J3584&lt;&gt;""), HYPERLINK("#'" &amp; C3584 &amp; "'!" &amp; J3584, J3584), "")</f>
        <v/>
      </c>
    </row>
    <row r="3585">
      <c r="B3585" s="21">
        <f>IF(AND(C3585&lt;&gt;"", J3585&lt;&gt;""), HYPERLINK("#'" &amp; C3585 &amp; "'!" &amp; J3585, J3585), "")</f>
        <v/>
      </c>
    </row>
    <row r="3586">
      <c r="B3586" s="21">
        <f>IF(AND(C3586&lt;&gt;"", J3586&lt;&gt;""), HYPERLINK("#'" &amp; C3586 &amp; "'!" &amp; J3586, J3586), "")</f>
        <v/>
      </c>
    </row>
    <row r="3587">
      <c r="B3587" s="21">
        <f>IF(AND(C3587&lt;&gt;"", J3587&lt;&gt;""), HYPERLINK("#'" &amp; C3587 &amp; "'!" &amp; J3587, J3587), "")</f>
        <v/>
      </c>
    </row>
    <row r="3588">
      <c r="B3588" s="21">
        <f>IF(AND(C3588&lt;&gt;"", J3588&lt;&gt;""), HYPERLINK("#'" &amp; C3588 &amp; "'!" &amp; J3588, J3588), "")</f>
        <v/>
      </c>
    </row>
    <row r="3589">
      <c r="B3589" s="21">
        <f>IF(AND(C3589&lt;&gt;"", J3589&lt;&gt;""), HYPERLINK("#'" &amp; C3589 &amp; "'!" &amp; J3589, J3589), "")</f>
        <v/>
      </c>
    </row>
    <row r="3590">
      <c r="B3590" s="21">
        <f>IF(AND(C3590&lt;&gt;"", J3590&lt;&gt;""), HYPERLINK("#'" &amp; C3590 &amp; "'!" &amp; J3590, J3590), "")</f>
        <v/>
      </c>
    </row>
    <row r="3591">
      <c r="B3591" s="21">
        <f>IF(AND(C3591&lt;&gt;"", J3591&lt;&gt;""), HYPERLINK("#'" &amp; C3591 &amp; "'!" &amp; J3591, J3591), "")</f>
        <v/>
      </c>
    </row>
    <row r="3592">
      <c r="B3592" s="21">
        <f>IF(AND(C3592&lt;&gt;"", J3592&lt;&gt;""), HYPERLINK("#'" &amp; C3592 &amp; "'!" &amp; J3592, J3592), "")</f>
        <v/>
      </c>
    </row>
    <row r="3593">
      <c r="B3593" s="21">
        <f>IF(AND(C3593&lt;&gt;"", J3593&lt;&gt;""), HYPERLINK("#'" &amp; C3593 &amp; "'!" &amp; J3593, J3593), "")</f>
        <v/>
      </c>
    </row>
    <row r="3594">
      <c r="B3594" s="21">
        <f>IF(AND(C3594&lt;&gt;"", J3594&lt;&gt;""), HYPERLINK("#'" &amp; C3594 &amp; "'!" &amp; J3594, J3594), "")</f>
        <v/>
      </c>
    </row>
    <row r="3595">
      <c r="B3595" s="21">
        <f>IF(AND(C3595&lt;&gt;"", J3595&lt;&gt;""), HYPERLINK("#'" &amp; C3595 &amp; "'!" &amp; J3595, J3595), "")</f>
        <v/>
      </c>
    </row>
    <row r="3596">
      <c r="B3596" s="21">
        <f>IF(AND(C3596&lt;&gt;"", J3596&lt;&gt;""), HYPERLINK("#'" &amp; C3596 &amp; "'!" &amp; J3596, J3596), "")</f>
        <v/>
      </c>
    </row>
    <row r="3597">
      <c r="B3597" s="21">
        <f>IF(AND(C3597&lt;&gt;"", J3597&lt;&gt;""), HYPERLINK("#'" &amp; C3597 &amp; "'!" &amp; J3597, J3597), "")</f>
        <v/>
      </c>
    </row>
    <row r="3598">
      <c r="B3598" s="21">
        <f>IF(AND(C3598&lt;&gt;"", J3598&lt;&gt;""), HYPERLINK("#'" &amp; C3598 &amp; "'!" &amp; J3598, J3598), "")</f>
        <v/>
      </c>
    </row>
    <row r="3599">
      <c r="B3599" s="21">
        <f>IF(AND(C3599&lt;&gt;"", J3599&lt;&gt;""), HYPERLINK("#'" &amp; C3599 &amp; "'!" &amp; J3599, J3599), "")</f>
        <v/>
      </c>
    </row>
    <row r="3600">
      <c r="B3600" s="21">
        <f>IF(AND(C3600&lt;&gt;"", J3600&lt;&gt;""), HYPERLINK("#'" &amp; C3600 &amp; "'!" &amp; J3600, J3600), "")</f>
        <v/>
      </c>
    </row>
    <row r="3601">
      <c r="B3601" s="21">
        <f>IF(AND(C3601&lt;&gt;"", J3601&lt;&gt;""), HYPERLINK("#'" &amp; C3601 &amp; "'!" &amp; J3601, J3601), "")</f>
        <v/>
      </c>
    </row>
    <row r="3602">
      <c r="B3602" s="21">
        <f>IF(AND(C3602&lt;&gt;"", J3602&lt;&gt;""), HYPERLINK("#'" &amp; C3602 &amp; "'!" &amp; J3602, J3602), "")</f>
        <v/>
      </c>
    </row>
    <row r="3603">
      <c r="B3603" s="21">
        <f>IF(AND(C3603&lt;&gt;"", J3603&lt;&gt;""), HYPERLINK("#'" &amp; C3603 &amp; "'!" &amp; J3603, J3603), "")</f>
        <v/>
      </c>
    </row>
    <row r="3604">
      <c r="B3604" s="21">
        <f>IF(AND(C3604&lt;&gt;"", J3604&lt;&gt;""), HYPERLINK("#'" &amp; C3604 &amp; "'!" &amp; J3604, J3604), "")</f>
        <v/>
      </c>
    </row>
    <row r="3605">
      <c r="B3605" s="21">
        <f>IF(AND(C3605&lt;&gt;"", J3605&lt;&gt;""), HYPERLINK("#'" &amp; C3605 &amp; "'!" &amp; J3605, J3605), "")</f>
        <v/>
      </c>
    </row>
    <row r="3606">
      <c r="B3606" s="21">
        <f>IF(AND(C3606&lt;&gt;"", J3606&lt;&gt;""), HYPERLINK("#'" &amp; C3606 &amp; "'!" &amp; J3606, J3606), "")</f>
        <v/>
      </c>
    </row>
    <row r="3607">
      <c r="B3607" s="21">
        <f>IF(AND(C3607&lt;&gt;"", J3607&lt;&gt;""), HYPERLINK("#'" &amp; C3607 &amp; "'!" &amp; J3607, J3607), "")</f>
        <v/>
      </c>
    </row>
    <row r="3608">
      <c r="B3608" s="21">
        <f>IF(AND(C3608&lt;&gt;"", J3608&lt;&gt;""), HYPERLINK("#'" &amp; C3608 &amp; "'!" &amp; J3608, J3608), "")</f>
        <v/>
      </c>
    </row>
    <row r="3609">
      <c r="B3609" s="21">
        <f>IF(AND(C3609&lt;&gt;"", J3609&lt;&gt;""), HYPERLINK("#'" &amp; C3609 &amp; "'!" &amp; J3609, J3609), "")</f>
        <v/>
      </c>
    </row>
    <row r="3610">
      <c r="B3610" s="21">
        <f>IF(AND(C3610&lt;&gt;"", J3610&lt;&gt;""), HYPERLINK("#'" &amp; C3610 &amp; "'!" &amp; J3610, J3610), "")</f>
        <v/>
      </c>
    </row>
    <row r="3611">
      <c r="B3611" s="21">
        <f>IF(AND(C3611&lt;&gt;"", J3611&lt;&gt;""), HYPERLINK("#'" &amp; C3611 &amp; "'!" &amp; J3611, J3611), "")</f>
        <v/>
      </c>
    </row>
    <row r="3612">
      <c r="B3612" s="21">
        <f>IF(AND(C3612&lt;&gt;"", J3612&lt;&gt;""), HYPERLINK("#'" &amp; C3612 &amp; "'!" &amp; J3612, J3612), "")</f>
        <v/>
      </c>
    </row>
    <row r="3613">
      <c r="B3613" s="21">
        <f>IF(AND(C3613&lt;&gt;"", J3613&lt;&gt;""), HYPERLINK("#'" &amp; C3613 &amp; "'!" &amp; J3613, J3613), "")</f>
        <v/>
      </c>
    </row>
    <row r="3614">
      <c r="B3614" s="21">
        <f>IF(AND(C3614&lt;&gt;"", J3614&lt;&gt;""), HYPERLINK("#'" &amp; C3614 &amp; "'!" &amp; J3614, J3614), "")</f>
        <v/>
      </c>
    </row>
    <row r="3615">
      <c r="B3615" s="21">
        <f>IF(AND(C3615&lt;&gt;"", J3615&lt;&gt;""), HYPERLINK("#'" &amp; C3615 &amp; "'!" &amp; J3615, J3615), "")</f>
        <v/>
      </c>
    </row>
    <row r="3616">
      <c r="B3616" s="21">
        <f>IF(AND(C3616&lt;&gt;"", J3616&lt;&gt;""), HYPERLINK("#'" &amp; C3616 &amp; "'!" &amp; J3616, J3616), "")</f>
        <v/>
      </c>
    </row>
    <row r="3617">
      <c r="B3617" s="21">
        <f>IF(AND(C3617&lt;&gt;"", J3617&lt;&gt;""), HYPERLINK("#'" &amp; C3617 &amp; "'!" &amp; J3617, J3617), "")</f>
        <v/>
      </c>
    </row>
    <row r="3618">
      <c r="B3618" s="21">
        <f>IF(AND(C3618&lt;&gt;"", J3618&lt;&gt;""), HYPERLINK("#'" &amp; C3618 &amp; "'!" &amp; J3618, J3618), "")</f>
        <v/>
      </c>
    </row>
    <row r="3619">
      <c r="B3619" s="21">
        <f>IF(AND(C3619&lt;&gt;"", J3619&lt;&gt;""), HYPERLINK("#'" &amp; C3619 &amp; "'!" &amp; J3619, J3619), "")</f>
        <v/>
      </c>
    </row>
    <row r="3620">
      <c r="B3620" s="21">
        <f>IF(AND(C3620&lt;&gt;"", J3620&lt;&gt;""), HYPERLINK("#'" &amp; C3620 &amp; "'!" &amp; J3620, J3620), "")</f>
        <v/>
      </c>
    </row>
    <row r="3621">
      <c r="B3621" s="21">
        <f>IF(AND(C3621&lt;&gt;"", J3621&lt;&gt;""), HYPERLINK("#'" &amp; C3621 &amp; "'!" &amp; J3621, J3621), "")</f>
        <v/>
      </c>
    </row>
    <row r="3622">
      <c r="B3622" s="21">
        <f>IF(AND(C3622&lt;&gt;"", J3622&lt;&gt;""), HYPERLINK("#'" &amp; C3622 &amp; "'!" &amp; J3622, J3622), "")</f>
        <v/>
      </c>
    </row>
    <row r="3623">
      <c r="B3623" s="21">
        <f>IF(AND(C3623&lt;&gt;"", J3623&lt;&gt;""), HYPERLINK("#'" &amp; C3623 &amp; "'!" &amp; J3623, J3623), "")</f>
        <v/>
      </c>
    </row>
    <row r="3624">
      <c r="B3624" s="21">
        <f>IF(AND(C3624&lt;&gt;"", J3624&lt;&gt;""), HYPERLINK("#'" &amp; C3624 &amp; "'!" &amp; J3624, J3624), "")</f>
        <v/>
      </c>
    </row>
    <row r="3625">
      <c r="B3625" s="21">
        <f>IF(AND(C3625&lt;&gt;"", J3625&lt;&gt;""), HYPERLINK("#'" &amp; C3625 &amp; "'!" &amp; J3625, J3625), "")</f>
        <v/>
      </c>
    </row>
    <row r="3626">
      <c r="B3626" s="21">
        <f>IF(AND(C3626&lt;&gt;"", J3626&lt;&gt;""), HYPERLINK("#'" &amp; C3626 &amp; "'!" &amp; J3626, J3626), "")</f>
        <v/>
      </c>
    </row>
    <row r="3627">
      <c r="B3627" s="21">
        <f>IF(AND(C3627&lt;&gt;"", J3627&lt;&gt;""), HYPERLINK("#'" &amp; C3627 &amp; "'!" &amp; J3627, J3627), "")</f>
        <v/>
      </c>
    </row>
    <row r="3628">
      <c r="B3628" s="21">
        <f>IF(AND(C3628&lt;&gt;"", J3628&lt;&gt;""), HYPERLINK("#'" &amp; C3628 &amp; "'!" &amp; J3628, J3628), "")</f>
        <v/>
      </c>
    </row>
    <row r="3629">
      <c r="B3629" s="21">
        <f>IF(AND(C3629&lt;&gt;"", J3629&lt;&gt;""), HYPERLINK("#'" &amp; C3629 &amp; "'!" &amp; J3629, J3629), "")</f>
        <v/>
      </c>
    </row>
    <row r="3630">
      <c r="B3630" s="21">
        <f>IF(AND(C3630&lt;&gt;"", J3630&lt;&gt;""), HYPERLINK("#'" &amp; C3630 &amp; "'!" &amp; J3630, J3630), "")</f>
        <v/>
      </c>
    </row>
    <row r="3631">
      <c r="B3631" s="21">
        <f>IF(AND(C3631&lt;&gt;"", J3631&lt;&gt;""), HYPERLINK("#'" &amp; C3631 &amp; "'!" &amp; J3631, J3631), "")</f>
        <v/>
      </c>
    </row>
    <row r="3632">
      <c r="B3632" s="21">
        <f>IF(AND(C3632&lt;&gt;"", J3632&lt;&gt;""), HYPERLINK("#'" &amp; C3632 &amp; "'!" &amp; J3632, J3632), "")</f>
        <v/>
      </c>
    </row>
    <row r="3633">
      <c r="B3633" s="21">
        <f>IF(AND(C3633&lt;&gt;"", J3633&lt;&gt;""), HYPERLINK("#'" &amp; C3633 &amp; "'!" &amp; J3633, J3633), "")</f>
        <v/>
      </c>
    </row>
    <row r="3634">
      <c r="B3634" s="21">
        <f>IF(AND(C3634&lt;&gt;"", J3634&lt;&gt;""), HYPERLINK("#'" &amp; C3634 &amp; "'!" &amp; J3634, J3634), "")</f>
        <v/>
      </c>
    </row>
    <row r="3635">
      <c r="B3635" s="21">
        <f>IF(AND(C3635&lt;&gt;"", J3635&lt;&gt;""), HYPERLINK("#'" &amp; C3635 &amp; "'!" &amp; J3635, J3635), "")</f>
        <v/>
      </c>
    </row>
    <row r="3636">
      <c r="B3636" s="21">
        <f>IF(AND(C3636&lt;&gt;"", J3636&lt;&gt;""), HYPERLINK("#'" &amp; C3636 &amp; "'!" &amp; J3636, J3636), "")</f>
        <v/>
      </c>
    </row>
    <row r="3637">
      <c r="B3637" s="21">
        <f>IF(AND(C3637&lt;&gt;"", J3637&lt;&gt;""), HYPERLINK("#'" &amp; C3637 &amp; "'!" &amp; J3637, J3637), "")</f>
        <v/>
      </c>
    </row>
    <row r="3638">
      <c r="B3638" s="21">
        <f>IF(AND(C3638&lt;&gt;"", J3638&lt;&gt;""), HYPERLINK("#'" &amp; C3638 &amp; "'!" &amp; J3638, J3638), "")</f>
        <v/>
      </c>
    </row>
    <row r="3639">
      <c r="B3639" s="21">
        <f>IF(AND(C3639&lt;&gt;"", J3639&lt;&gt;""), HYPERLINK("#'" &amp; C3639 &amp; "'!" &amp; J3639, J3639), "")</f>
        <v/>
      </c>
    </row>
    <row r="3640">
      <c r="B3640" s="21">
        <f>IF(AND(C3640&lt;&gt;"", J3640&lt;&gt;""), HYPERLINK("#'" &amp; C3640 &amp; "'!" &amp; J3640, J3640), "")</f>
        <v/>
      </c>
    </row>
    <row r="3641">
      <c r="B3641" s="21">
        <f>IF(AND(C3641&lt;&gt;"", J3641&lt;&gt;""), HYPERLINK("#'" &amp; C3641 &amp; "'!" &amp; J3641, J3641), "")</f>
        <v/>
      </c>
    </row>
    <row r="3642">
      <c r="B3642" s="21">
        <f>IF(AND(C3642&lt;&gt;"", J3642&lt;&gt;""), HYPERLINK("#'" &amp; C3642 &amp; "'!" &amp; J3642, J3642), "")</f>
        <v/>
      </c>
    </row>
    <row r="3643">
      <c r="B3643" s="21">
        <f>IF(AND(C3643&lt;&gt;"", J3643&lt;&gt;""), HYPERLINK("#'" &amp; C3643 &amp; "'!" &amp; J3643, J3643), "")</f>
        <v/>
      </c>
    </row>
    <row r="3644">
      <c r="B3644" s="21">
        <f>IF(AND(C3644&lt;&gt;"", J3644&lt;&gt;""), HYPERLINK("#'" &amp; C3644 &amp; "'!" &amp; J3644, J3644), "")</f>
        <v/>
      </c>
    </row>
    <row r="3645">
      <c r="B3645" s="21">
        <f>IF(AND(C3645&lt;&gt;"", J3645&lt;&gt;""), HYPERLINK("#'" &amp; C3645 &amp; "'!" &amp; J3645, J3645), "")</f>
        <v/>
      </c>
    </row>
    <row r="3646">
      <c r="B3646" s="21">
        <f>IF(AND(C3646&lt;&gt;"", J3646&lt;&gt;""), HYPERLINK("#'" &amp; C3646 &amp; "'!" &amp; J3646, J3646), "")</f>
        <v/>
      </c>
    </row>
    <row r="3647">
      <c r="B3647" s="21">
        <f>IF(AND(C3647&lt;&gt;"", J3647&lt;&gt;""), HYPERLINK("#'" &amp; C3647 &amp; "'!" &amp; J3647, J3647), "")</f>
        <v/>
      </c>
    </row>
    <row r="3648">
      <c r="B3648" s="21">
        <f>IF(AND(C3648&lt;&gt;"", J3648&lt;&gt;""), HYPERLINK("#'" &amp; C3648 &amp; "'!" &amp; J3648, J3648), "")</f>
        <v/>
      </c>
    </row>
    <row r="3649">
      <c r="B3649" s="21">
        <f>IF(AND(C3649&lt;&gt;"", J3649&lt;&gt;""), HYPERLINK("#'" &amp; C3649 &amp; "'!" &amp; J3649, J3649), "")</f>
        <v/>
      </c>
    </row>
    <row r="3650">
      <c r="B3650" s="21">
        <f>IF(AND(C3650&lt;&gt;"", J3650&lt;&gt;""), HYPERLINK("#'" &amp; C3650 &amp; "'!" &amp; J3650, J3650), "")</f>
        <v/>
      </c>
    </row>
    <row r="3651">
      <c r="B3651" s="21">
        <f>IF(AND(C3651&lt;&gt;"", J3651&lt;&gt;""), HYPERLINK("#'" &amp; C3651 &amp; "'!" &amp; J3651, J3651), "")</f>
        <v/>
      </c>
    </row>
    <row r="3652">
      <c r="B3652" s="21">
        <f>IF(AND(C3652&lt;&gt;"", J3652&lt;&gt;""), HYPERLINK("#'" &amp; C3652 &amp; "'!" &amp; J3652, J3652), "")</f>
        <v/>
      </c>
    </row>
    <row r="3653">
      <c r="B3653" s="21">
        <f>IF(AND(C3653&lt;&gt;"", J3653&lt;&gt;""), HYPERLINK("#'" &amp; C3653 &amp; "'!" &amp; J3653, J3653), "")</f>
        <v/>
      </c>
    </row>
    <row r="3654">
      <c r="B3654" s="21">
        <f>IF(AND(C3654&lt;&gt;"", J3654&lt;&gt;""), HYPERLINK("#'" &amp; C3654 &amp; "'!" &amp; J3654, J3654), "")</f>
        <v/>
      </c>
    </row>
    <row r="3655">
      <c r="B3655" s="21">
        <f>IF(AND(C3655&lt;&gt;"", J3655&lt;&gt;""), HYPERLINK("#'" &amp; C3655 &amp; "'!" &amp; J3655, J3655), "")</f>
        <v/>
      </c>
    </row>
    <row r="3656">
      <c r="B3656" s="21">
        <f>IF(AND(C3656&lt;&gt;"", J3656&lt;&gt;""), HYPERLINK("#'" &amp; C3656 &amp; "'!" &amp; J3656, J3656), "")</f>
        <v/>
      </c>
    </row>
    <row r="3657">
      <c r="B3657" s="21">
        <f>IF(AND(C3657&lt;&gt;"", J3657&lt;&gt;""), HYPERLINK("#'" &amp; C3657 &amp; "'!" &amp; J3657, J3657), "")</f>
        <v/>
      </c>
    </row>
    <row r="3658">
      <c r="B3658" s="21">
        <f>IF(AND(C3658&lt;&gt;"", J3658&lt;&gt;""), HYPERLINK("#'" &amp; C3658 &amp; "'!" &amp; J3658, J3658), "")</f>
        <v/>
      </c>
    </row>
    <row r="3659">
      <c r="B3659" s="21">
        <f>IF(AND(C3659&lt;&gt;"", J3659&lt;&gt;""), HYPERLINK("#'" &amp; C3659 &amp; "'!" &amp; J3659, J3659), "")</f>
        <v/>
      </c>
    </row>
    <row r="3660">
      <c r="B3660" s="21">
        <f>IF(AND(C3660&lt;&gt;"", J3660&lt;&gt;""), HYPERLINK("#'" &amp; C3660 &amp; "'!" &amp; J3660, J3660), "")</f>
        <v/>
      </c>
    </row>
    <row r="3661">
      <c r="B3661" s="21">
        <f>IF(AND(C3661&lt;&gt;"", J3661&lt;&gt;""), HYPERLINK("#'" &amp; C3661 &amp; "'!" &amp; J3661, J3661), "")</f>
        <v/>
      </c>
    </row>
    <row r="3662">
      <c r="B3662" s="21">
        <f>IF(AND(C3662&lt;&gt;"", J3662&lt;&gt;""), HYPERLINK("#'" &amp; C3662 &amp; "'!" &amp; J3662, J3662), "")</f>
        <v/>
      </c>
    </row>
    <row r="3663">
      <c r="B3663" s="21">
        <f>IF(AND(C3663&lt;&gt;"", J3663&lt;&gt;""), HYPERLINK("#'" &amp; C3663 &amp; "'!" &amp; J3663, J3663), "")</f>
        <v/>
      </c>
    </row>
    <row r="3664">
      <c r="B3664" s="21">
        <f>IF(AND(C3664&lt;&gt;"", J3664&lt;&gt;""), HYPERLINK("#'" &amp; C3664 &amp; "'!" &amp; J3664, J3664), "")</f>
        <v/>
      </c>
    </row>
    <row r="3665">
      <c r="B3665" s="21">
        <f>IF(AND(C3665&lt;&gt;"", J3665&lt;&gt;""), HYPERLINK("#'" &amp; C3665 &amp; "'!" &amp; J3665, J3665), "")</f>
        <v/>
      </c>
    </row>
    <row r="3666">
      <c r="B3666" s="21">
        <f>IF(AND(C3666&lt;&gt;"", J3666&lt;&gt;""), HYPERLINK("#'" &amp; C3666 &amp; "'!" &amp; J3666, J3666), "")</f>
        <v/>
      </c>
    </row>
    <row r="3667">
      <c r="B3667" s="21">
        <f>IF(AND(C3667&lt;&gt;"", J3667&lt;&gt;""), HYPERLINK("#'" &amp; C3667 &amp; "'!" &amp; J3667, J3667), "")</f>
        <v/>
      </c>
    </row>
    <row r="3668">
      <c r="B3668" s="21">
        <f>IF(AND(C3668&lt;&gt;"", J3668&lt;&gt;""), HYPERLINK("#'" &amp; C3668 &amp; "'!" &amp; J3668, J3668), "")</f>
        <v/>
      </c>
    </row>
    <row r="3669">
      <c r="B3669" s="21">
        <f>IF(AND(C3669&lt;&gt;"", J3669&lt;&gt;""), HYPERLINK("#'" &amp; C3669 &amp; "'!" &amp; J3669, J3669), "")</f>
        <v/>
      </c>
    </row>
    <row r="3670">
      <c r="B3670" s="21">
        <f>IF(AND(C3670&lt;&gt;"", J3670&lt;&gt;""), HYPERLINK("#'" &amp; C3670 &amp; "'!" &amp; J3670, J3670), "")</f>
        <v/>
      </c>
    </row>
    <row r="3671">
      <c r="B3671" s="21">
        <f>IF(AND(C3671&lt;&gt;"", J3671&lt;&gt;""), HYPERLINK("#'" &amp; C3671 &amp; "'!" &amp; J3671, J3671), "")</f>
        <v/>
      </c>
    </row>
    <row r="3672">
      <c r="B3672" s="21">
        <f>IF(AND(C3672&lt;&gt;"", J3672&lt;&gt;""), HYPERLINK("#'" &amp; C3672 &amp; "'!" &amp; J3672, J3672), "")</f>
        <v/>
      </c>
    </row>
    <row r="3673">
      <c r="B3673" s="21">
        <f>IF(AND(C3673&lt;&gt;"", J3673&lt;&gt;""), HYPERLINK("#'" &amp; C3673 &amp; "'!" &amp; J3673, J3673), "")</f>
        <v/>
      </c>
    </row>
    <row r="3674">
      <c r="B3674" s="21">
        <f>IF(AND(C3674&lt;&gt;"", J3674&lt;&gt;""), HYPERLINK("#'" &amp; C3674 &amp; "'!" &amp; J3674, J3674), "")</f>
        <v/>
      </c>
    </row>
    <row r="3675">
      <c r="B3675" s="21">
        <f>IF(AND(C3675&lt;&gt;"", J3675&lt;&gt;""), HYPERLINK("#'" &amp; C3675 &amp; "'!" &amp; J3675, J3675), "")</f>
        <v/>
      </c>
    </row>
    <row r="3676">
      <c r="B3676" s="21">
        <f>IF(AND(C3676&lt;&gt;"", J3676&lt;&gt;""), HYPERLINK("#'" &amp; C3676 &amp; "'!" &amp; J3676, J3676), "")</f>
        <v/>
      </c>
    </row>
    <row r="3677">
      <c r="B3677" s="21">
        <f>IF(AND(C3677&lt;&gt;"", J3677&lt;&gt;""), HYPERLINK("#'" &amp; C3677 &amp; "'!" &amp; J3677, J3677), "")</f>
        <v/>
      </c>
    </row>
    <row r="3678">
      <c r="B3678" s="21">
        <f>IF(AND(C3678&lt;&gt;"", J3678&lt;&gt;""), HYPERLINK("#'" &amp; C3678 &amp; "'!" &amp; J3678, J3678), "")</f>
        <v/>
      </c>
    </row>
    <row r="3679">
      <c r="B3679" s="21">
        <f>IF(AND(C3679&lt;&gt;"", J3679&lt;&gt;""), HYPERLINK("#'" &amp; C3679 &amp; "'!" &amp; J3679, J3679), "")</f>
        <v/>
      </c>
    </row>
    <row r="3680">
      <c r="B3680" s="21">
        <f>IF(AND(C3680&lt;&gt;"", J3680&lt;&gt;""), HYPERLINK("#'" &amp; C3680 &amp; "'!" &amp; J3680, J3680), "")</f>
        <v/>
      </c>
    </row>
    <row r="3681">
      <c r="B3681" s="21">
        <f>IF(AND(C3681&lt;&gt;"", J3681&lt;&gt;""), HYPERLINK("#'" &amp; C3681 &amp; "'!" &amp; J3681, J3681), "")</f>
        <v/>
      </c>
    </row>
    <row r="3682">
      <c r="B3682" s="21">
        <f>IF(AND(C3682&lt;&gt;"", J3682&lt;&gt;""), HYPERLINK("#'" &amp; C3682 &amp; "'!" &amp; J3682, J3682), "")</f>
        <v/>
      </c>
    </row>
    <row r="3683">
      <c r="B3683" s="21">
        <f>IF(AND(C3683&lt;&gt;"", J3683&lt;&gt;""), HYPERLINK("#'" &amp; C3683 &amp; "'!" &amp; J3683, J3683), "")</f>
        <v/>
      </c>
    </row>
    <row r="3684">
      <c r="B3684" s="21">
        <f>IF(AND(C3684&lt;&gt;"", J3684&lt;&gt;""), HYPERLINK("#'" &amp; C3684 &amp; "'!" &amp; J3684, J3684), "")</f>
        <v/>
      </c>
    </row>
    <row r="3685">
      <c r="B3685" s="21">
        <f>IF(AND(C3685&lt;&gt;"", J3685&lt;&gt;""), HYPERLINK("#'" &amp; C3685 &amp; "'!" &amp; J3685, J3685), "")</f>
        <v/>
      </c>
    </row>
    <row r="3686">
      <c r="B3686" s="21">
        <f>IF(AND(C3686&lt;&gt;"", J3686&lt;&gt;""), HYPERLINK("#'" &amp; C3686 &amp; "'!" &amp; J3686, J3686), "")</f>
        <v/>
      </c>
    </row>
    <row r="3687">
      <c r="B3687" s="21">
        <f>IF(AND(C3687&lt;&gt;"", J3687&lt;&gt;""), HYPERLINK("#'" &amp; C3687 &amp; "'!" &amp; J3687, J3687), "")</f>
        <v/>
      </c>
    </row>
    <row r="3688">
      <c r="B3688" s="21">
        <f>IF(AND(C3688&lt;&gt;"", J3688&lt;&gt;""), HYPERLINK("#'" &amp; C3688 &amp; "'!" &amp; J3688, J3688), "")</f>
        <v/>
      </c>
    </row>
    <row r="3689">
      <c r="B3689" s="21">
        <f>IF(AND(C3689&lt;&gt;"", J3689&lt;&gt;""), HYPERLINK("#'" &amp; C3689 &amp; "'!" &amp; J3689, J3689), "")</f>
        <v/>
      </c>
    </row>
    <row r="3690">
      <c r="B3690" s="21">
        <f>IF(AND(C3690&lt;&gt;"", J3690&lt;&gt;""), HYPERLINK("#'" &amp; C3690 &amp; "'!" &amp; J3690, J3690), "")</f>
        <v/>
      </c>
    </row>
    <row r="3691">
      <c r="B3691" s="21">
        <f>IF(AND(C3691&lt;&gt;"", J3691&lt;&gt;""), HYPERLINK("#'" &amp; C3691 &amp; "'!" &amp; J3691, J3691), "")</f>
        <v/>
      </c>
    </row>
    <row r="3692">
      <c r="B3692" s="21">
        <f>IF(AND(C3692&lt;&gt;"", J3692&lt;&gt;""), HYPERLINK("#'" &amp; C3692 &amp; "'!" &amp; J3692, J3692), "")</f>
        <v/>
      </c>
    </row>
    <row r="3693">
      <c r="B3693" s="21">
        <f>IF(AND(C3693&lt;&gt;"", J3693&lt;&gt;""), HYPERLINK("#'" &amp; C3693 &amp; "'!" &amp; J3693, J3693), "")</f>
        <v/>
      </c>
    </row>
    <row r="3694">
      <c r="B3694" s="21">
        <f>IF(AND(C3694&lt;&gt;"", J3694&lt;&gt;""), HYPERLINK("#'" &amp; C3694 &amp; "'!" &amp; J3694, J3694), "")</f>
        <v/>
      </c>
    </row>
    <row r="3695">
      <c r="B3695" s="21">
        <f>IF(AND(C3695&lt;&gt;"", J3695&lt;&gt;""), HYPERLINK("#'" &amp; C3695 &amp; "'!" &amp; J3695, J3695), "")</f>
        <v/>
      </c>
    </row>
    <row r="3696">
      <c r="B3696" s="21">
        <f>IF(AND(C3696&lt;&gt;"", J3696&lt;&gt;""), HYPERLINK("#'" &amp; C3696 &amp; "'!" &amp; J3696, J3696), "")</f>
        <v/>
      </c>
    </row>
    <row r="3697">
      <c r="B3697" s="21">
        <f>IF(AND(C3697&lt;&gt;"", J3697&lt;&gt;""), HYPERLINK("#'" &amp; C3697 &amp; "'!" &amp; J3697, J3697), "")</f>
        <v/>
      </c>
    </row>
    <row r="3698">
      <c r="B3698" s="21">
        <f>IF(AND(C3698&lt;&gt;"", J3698&lt;&gt;""), HYPERLINK("#'" &amp; C3698 &amp; "'!" &amp; J3698, J3698), "")</f>
        <v/>
      </c>
    </row>
    <row r="3699">
      <c r="B3699" s="21">
        <f>IF(AND(C3699&lt;&gt;"", J3699&lt;&gt;""), HYPERLINK("#'" &amp; C3699 &amp; "'!" &amp; J3699, J3699), "")</f>
        <v/>
      </c>
    </row>
    <row r="3700">
      <c r="B3700" s="21">
        <f>IF(AND(C3700&lt;&gt;"", J3700&lt;&gt;""), HYPERLINK("#'" &amp; C3700 &amp; "'!" &amp; J3700, J3700), "")</f>
        <v/>
      </c>
    </row>
    <row r="3701">
      <c r="B3701" s="21">
        <f>IF(AND(C3701&lt;&gt;"", J3701&lt;&gt;""), HYPERLINK("#'" &amp; C3701 &amp; "'!" &amp; J3701, J3701), "")</f>
        <v/>
      </c>
    </row>
    <row r="3702">
      <c r="B3702" s="21">
        <f>IF(AND(C3702&lt;&gt;"", J3702&lt;&gt;""), HYPERLINK("#'" &amp; C3702 &amp; "'!" &amp; J3702, J3702), "")</f>
        <v/>
      </c>
    </row>
    <row r="3703">
      <c r="B3703" s="21">
        <f>IF(AND(C3703&lt;&gt;"", J3703&lt;&gt;""), HYPERLINK("#'" &amp; C3703 &amp; "'!" &amp; J3703, J3703), "")</f>
        <v/>
      </c>
    </row>
    <row r="3704">
      <c r="B3704" s="21">
        <f>IF(AND(C3704&lt;&gt;"", J3704&lt;&gt;""), HYPERLINK("#'" &amp; C3704 &amp; "'!" &amp; J3704, J3704), "")</f>
        <v/>
      </c>
    </row>
    <row r="3705">
      <c r="B3705" s="21">
        <f>IF(AND(C3705&lt;&gt;"", J3705&lt;&gt;""), HYPERLINK("#'" &amp; C3705 &amp; "'!" &amp; J3705, J3705), "")</f>
        <v/>
      </c>
    </row>
    <row r="3706">
      <c r="B3706" s="21">
        <f>IF(AND(C3706&lt;&gt;"", J3706&lt;&gt;""), HYPERLINK("#'" &amp; C3706 &amp; "'!" &amp; J3706, J3706), "")</f>
        <v/>
      </c>
    </row>
    <row r="3707">
      <c r="B3707" s="21">
        <f>IF(AND(C3707&lt;&gt;"", J3707&lt;&gt;""), HYPERLINK("#'" &amp; C3707 &amp; "'!" &amp; J3707, J3707), "")</f>
        <v/>
      </c>
    </row>
    <row r="3708">
      <c r="B3708" s="21">
        <f>IF(AND(C3708&lt;&gt;"", J3708&lt;&gt;""), HYPERLINK("#'" &amp; C3708 &amp; "'!" &amp; J3708, J3708), "")</f>
        <v/>
      </c>
    </row>
    <row r="3709">
      <c r="B3709" s="21">
        <f>IF(AND(C3709&lt;&gt;"", J3709&lt;&gt;""), HYPERLINK("#'" &amp; C3709 &amp; "'!" &amp; J3709, J3709), "")</f>
        <v/>
      </c>
    </row>
    <row r="3710">
      <c r="B3710" s="21">
        <f>IF(AND(C3710&lt;&gt;"", J3710&lt;&gt;""), HYPERLINK("#'" &amp; C3710 &amp; "'!" &amp; J3710, J3710), "")</f>
        <v/>
      </c>
    </row>
    <row r="3711">
      <c r="B3711" s="21">
        <f>IF(AND(C3711&lt;&gt;"", J3711&lt;&gt;""), HYPERLINK("#'" &amp; C3711 &amp; "'!" &amp; J3711, J3711), "")</f>
        <v/>
      </c>
    </row>
    <row r="3712">
      <c r="B3712" s="21">
        <f>IF(AND(C3712&lt;&gt;"", J3712&lt;&gt;""), HYPERLINK("#'" &amp; C3712 &amp; "'!" &amp; J3712, J3712), "")</f>
        <v/>
      </c>
    </row>
    <row r="3713">
      <c r="B3713" s="21">
        <f>IF(AND(C3713&lt;&gt;"", J3713&lt;&gt;""), HYPERLINK("#'" &amp; C3713 &amp; "'!" &amp; J3713, J3713), "")</f>
        <v/>
      </c>
    </row>
    <row r="3714">
      <c r="B3714" s="21">
        <f>IF(AND(C3714&lt;&gt;"", J3714&lt;&gt;""), HYPERLINK("#'" &amp; C3714 &amp; "'!" &amp; J3714, J3714), "")</f>
        <v/>
      </c>
    </row>
    <row r="3715">
      <c r="B3715" s="21">
        <f>IF(AND(C3715&lt;&gt;"", J3715&lt;&gt;""), HYPERLINK("#'" &amp; C3715 &amp; "'!" &amp; J3715, J3715), "")</f>
        <v/>
      </c>
    </row>
    <row r="3716">
      <c r="B3716" s="21">
        <f>IF(AND(C3716&lt;&gt;"", J3716&lt;&gt;""), HYPERLINK("#'" &amp; C3716 &amp; "'!" &amp; J3716, J3716), "")</f>
        <v/>
      </c>
    </row>
    <row r="3717">
      <c r="B3717" s="21">
        <f>IF(AND(C3717&lt;&gt;"", J3717&lt;&gt;""), HYPERLINK("#'" &amp; C3717 &amp; "'!" &amp; J3717, J3717), "")</f>
        <v/>
      </c>
    </row>
    <row r="3718">
      <c r="B3718" s="21">
        <f>IF(AND(C3718&lt;&gt;"", J3718&lt;&gt;""), HYPERLINK("#'" &amp; C3718 &amp; "'!" &amp; J3718, J3718), "")</f>
        <v/>
      </c>
    </row>
    <row r="3719">
      <c r="B3719" s="21">
        <f>IF(AND(C3719&lt;&gt;"", J3719&lt;&gt;""), HYPERLINK("#'" &amp; C3719 &amp; "'!" &amp; J3719, J3719), "")</f>
        <v/>
      </c>
    </row>
    <row r="3720">
      <c r="B3720" s="21">
        <f>IF(AND(C3720&lt;&gt;"", J3720&lt;&gt;""), HYPERLINK("#'" &amp; C3720 &amp; "'!" &amp; J3720, J3720), "")</f>
        <v/>
      </c>
    </row>
    <row r="3721">
      <c r="B3721" s="21">
        <f>IF(AND(C3721&lt;&gt;"", J3721&lt;&gt;""), HYPERLINK("#'" &amp; C3721 &amp; "'!" &amp; J3721, J3721), "")</f>
        <v/>
      </c>
    </row>
    <row r="3722">
      <c r="B3722" s="21">
        <f>IF(AND(C3722&lt;&gt;"", J3722&lt;&gt;""), HYPERLINK("#'" &amp; C3722 &amp; "'!" &amp; J3722, J3722), "")</f>
        <v/>
      </c>
    </row>
    <row r="3723">
      <c r="B3723" s="21">
        <f>IF(AND(C3723&lt;&gt;"", J3723&lt;&gt;""), HYPERLINK("#'" &amp; C3723 &amp; "'!" &amp; J3723, J3723), "")</f>
        <v/>
      </c>
    </row>
    <row r="3724">
      <c r="B3724" s="21">
        <f>IF(AND(C3724&lt;&gt;"", J3724&lt;&gt;""), HYPERLINK("#'" &amp; C3724 &amp; "'!" &amp; J3724, J3724), "")</f>
        <v/>
      </c>
    </row>
    <row r="3725">
      <c r="B3725" s="21">
        <f>IF(AND(C3725&lt;&gt;"", J3725&lt;&gt;""), HYPERLINK("#'" &amp; C3725 &amp; "'!" &amp; J3725, J3725), "")</f>
        <v/>
      </c>
    </row>
    <row r="3726">
      <c r="B3726" s="21">
        <f>IF(AND(C3726&lt;&gt;"", J3726&lt;&gt;""), HYPERLINK("#'" &amp; C3726 &amp; "'!" &amp; J3726, J3726), "")</f>
        <v/>
      </c>
    </row>
    <row r="3727">
      <c r="B3727" s="21">
        <f>IF(AND(C3727&lt;&gt;"", J3727&lt;&gt;""), HYPERLINK("#'" &amp; C3727 &amp; "'!" &amp; J3727, J3727), "")</f>
        <v/>
      </c>
    </row>
    <row r="3728">
      <c r="B3728" s="21">
        <f>IF(AND(C3728&lt;&gt;"", J3728&lt;&gt;""), HYPERLINK("#'" &amp; C3728 &amp; "'!" &amp; J3728, J3728), "")</f>
        <v/>
      </c>
    </row>
    <row r="3729">
      <c r="B3729" s="21">
        <f>IF(AND(C3729&lt;&gt;"", J3729&lt;&gt;""), HYPERLINK("#'" &amp; C3729 &amp; "'!" &amp; J3729, J3729), "")</f>
        <v/>
      </c>
    </row>
    <row r="3730">
      <c r="B3730" s="21">
        <f>IF(AND(C3730&lt;&gt;"", J3730&lt;&gt;""), HYPERLINK("#'" &amp; C3730 &amp; "'!" &amp; J3730, J3730), "")</f>
        <v/>
      </c>
    </row>
    <row r="3731">
      <c r="B3731" s="21">
        <f>IF(AND(C3731&lt;&gt;"", J3731&lt;&gt;""), HYPERLINK("#'" &amp; C3731 &amp; "'!" &amp; J3731, J3731), "")</f>
        <v/>
      </c>
    </row>
    <row r="3732">
      <c r="B3732" s="21">
        <f>IF(AND(C3732&lt;&gt;"", J3732&lt;&gt;""), HYPERLINK("#'" &amp; C3732 &amp; "'!" &amp; J3732, J3732), "")</f>
        <v/>
      </c>
    </row>
    <row r="3733">
      <c r="B3733" s="21">
        <f>IF(AND(C3733&lt;&gt;"", J3733&lt;&gt;""), HYPERLINK("#'" &amp; C3733 &amp; "'!" &amp; J3733, J3733), "")</f>
        <v/>
      </c>
    </row>
    <row r="3734">
      <c r="B3734" s="21">
        <f>IF(AND(C3734&lt;&gt;"", J3734&lt;&gt;""), HYPERLINK("#'" &amp; C3734 &amp; "'!" &amp; J3734, J3734), "")</f>
        <v/>
      </c>
    </row>
    <row r="3735">
      <c r="B3735" s="21">
        <f>IF(AND(C3735&lt;&gt;"", J3735&lt;&gt;""), HYPERLINK("#'" &amp; C3735 &amp; "'!" &amp; J3735, J3735), "")</f>
        <v/>
      </c>
    </row>
    <row r="3736">
      <c r="B3736" s="21">
        <f>IF(AND(C3736&lt;&gt;"", J3736&lt;&gt;""), HYPERLINK("#'" &amp; C3736 &amp; "'!" &amp; J3736, J3736), "")</f>
        <v/>
      </c>
    </row>
    <row r="3737">
      <c r="B3737" s="21">
        <f>IF(AND(C3737&lt;&gt;"", J3737&lt;&gt;""), HYPERLINK("#'" &amp; C3737 &amp; "'!" &amp; J3737, J3737), "")</f>
        <v/>
      </c>
    </row>
    <row r="3738">
      <c r="B3738" s="21">
        <f>IF(AND(C3738&lt;&gt;"", J3738&lt;&gt;""), HYPERLINK("#'" &amp; C3738 &amp; "'!" &amp; J3738, J3738), "")</f>
        <v/>
      </c>
    </row>
    <row r="3739">
      <c r="B3739" s="21">
        <f>IF(AND(C3739&lt;&gt;"", J3739&lt;&gt;""), HYPERLINK("#'" &amp; C3739 &amp; "'!" &amp; J3739, J3739), "")</f>
        <v/>
      </c>
    </row>
    <row r="3740">
      <c r="B3740" s="21">
        <f>IF(AND(C3740&lt;&gt;"", J3740&lt;&gt;""), HYPERLINK("#'" &amp; C3740 &amp; "'!" &amp; J3740, J3740), "")</f>
        <v/>
      </c>
    </row>
    <row r="3741">
      <c r="B3741" s="21">
        <f>IF(AND(C3741&lt;&gt;"", J3741&lt;&gt;""), HYPERLINK("#'" &amp; C3741 &amp; "'!" &amp; J3741, J3741), "")</f>
        <v/>
      </c>
    </row>
    <row r="3742">
      <c r="B3742" s="21">
        <f>IF(AND(C3742&lt;&gt;"", J3742&lt;&gt;""), HYPERLINK("#'" &amp; C3742 &amp; "'!" &amp; J3742, J3742), "")</f>
        <v/>
      </c>
    </row>
    <row r="3743">
      <c r="B3743" s="21">
        <f>IF(AND(C3743&lt;&gt;"", J3743&lt;&gt;""), HYPERLINK("#'" &amp; C3743 &amp; "'!" &amp; J3743, J3743), "")</f>
        <v/>
      </c>
    </row>
    <row r="3744">
      <c r="B3744" s="21">
        <f>IF(AND(C3744&lt;&gt;"", J3744&lt;&gt;""), HYPERLINK("#'" &amp; C3744 &amp; "'!" &amp; J3744, J3744), "")</f>
        <v/>
      </c>
    </row>
    <row r="3745">
      <c r="B3745" s="21">
        <f>IF(AND(C3745&lt;&gt;"", J3745&lt;&gt;""), HYPERLINK("#'" &amp; C3745 &amp; "'!" &amp; J3745, J3745), "")</f>
        <v/>
      </c>
    </row>
    <row r="3746">
      <c r="B3746" s="21">
        <f>IF(AND(C3746&lt;&gt;"", J3746&lt;&gt;""), HYPERLINK("#'" &amp; C3746 &amp; "'!" &amp; J3746, J3746), "")</f>
        <v/>
      </c>
    </row>
    <row r="3747">
      <c r="B3747" s="21">
        <f>IF(AND(C3747&lt;&gt;"", J3747&lt;&gt;""), HYPERLINK("#'" &amp; C3747 &amp; "'!" &amp; J3747, J3747), "")</f>
        <v/>
      </c>
    </row>
    <row r="3748">
      <c r="B3748" s="21">
        <f>IF(AND(C3748&lt;&gt;"", J3748&lt;&gt;""), HYPERLINK("#'" &amp; C3748 &amp; "'!" &amp; J3748, J3748), "")</f>
        <v/>
      </c>
    </row>
    <row r="3749">
      <c r="B3749" s="21">
        <f>IF(AND(C3749&lt;&gt;"", J3749&lt;&gt;""), HYPERLINK("#'" &amp; C3749 &amp; "'!" &amp; J3749, J3749), "")</f>
        <v/>
      </c>
    </row>
    <row r="3750">
      <c r="B3750" s="21">
        <f>IF(AND(C3750&lt;&gt;"", J3750&lt;&gt;""), HYPERLINK("#'" &amp; C3750 &amp; "'!" &amp; J3750, J3750), "")</f>
        <v/>
      </c>
    </row>
    <row r="3751">
      <c r="B3751" s="21">
        <f>IF(AND(C3751&lt;&gt;"", J3751&lt;&gt;""), HYPERLINK("#'" &amp; C3751 &amp; "'!" &amp; J3751, J3751), "")</f>
        <v/>
      </c>
    </row>
    <row r="3752">
      <c r="B3752" s="21">
        <f>IF(AND(C3752&lt;&gt;"", J3752&lt;&gt;""), HYPERLINK("#'" &amp; C3752 &amp; "'!" &amp; J3752, J3752), "")</f>
        <v/>
      </c>
    </row>
    <row r="3753">
      <c r="B3753" s="21">
        <f>IF(AND(C3753&lt;&gt;"", J3753&lt;&gt;""), HYPERLINK("#'" &amp; C3753 &amp; "'!" &amp; J3753, J3753), "")</f>
        <v/>
      </c>
    </row>
    <row r="3754">
      <c r="B3754" s="21">
        <f>IF(AND(C3754&lt;&gt;"", J3754&lt;&gt;""), HYPERLINK("#'" &amp; C3754 &amp; "'!" &amp; J3754, J3754), "")</f>
        <v/>
      </c>
    </row>
    <row r="3755">
      <c r="B3755" s="21">
        <f>IF(AND(C3755&lt;&gt;"", J3755&lt;&gt;""), HYPERLINK("#'" &amp; C3755 &amp; "'!" &amp; J3755, J3755), "")</f>
        <v/>
      </c>
    </row>
    <row r="3756">
      <c r="B3756" s="21">
        <f>IF(AND(C3756&lt;&gt;"", J3756&lt;&gt;""), HYPERLINK("#'" &amp; C3756 &amp; "'!" &amp; J3756, J3756), "")</f>
        <v/>
      </c>
    </row>
    <row r="3757">
      <c r="B3757" s="21">
        <f>IF(AND(C3757&lt;&gt;"", J3757&lt;&gt;""), HYPERLINK("#'" &amp; C3757 &amp; "'!" &amp; J3757, J3757), "")</f>
        <v/>
      </c>
    </row>
    <row r="3758">
      <c r="B3758" s="21">
        <f>IF(AND(C3758&lt;&gt;"", J3758&lt;&gt;""), HYPERLINK("#'" &amp; C3758 &amp; "'!" &amp; J3758, J3758), "")</f>
        <v/>
      </c>
    </row>
    <row r="3759">
      <c r="B3759" s="21">
        <f>IF(AND(C3759&lt;&gt;"", J3759&lt;&gt;""), HYPERLINK("#'" &amp; C3759 &amp; "'!" &amp; J3759, J3759), "")</f>
        <v/>
      </c>
    </row>
    <row r="3760">
      <c r="B3760" s="21">
        <f>IF(AND(C3760&lt;&gt;"", J3760&lt;&gt;""), HYPERLINK("#'" &amp; C3760 &amp; "'!" &amp; J3760, J3760), "")</f>
        <v/>
      </c>
    </row>
    <row r="3761">
      <c r="B3761" s="21">
        <f>IF(AND(C3761&lt;&gt;"", J3761&lt;&gt;""), HYPERLINK("#'" &amp; C3761 &amp; "'!" &amp; J3761, J3761), "")</f>
        <v/>
      </c>
    </row>
    <row r="3762">
      <c r="B3762" s="21">
        <f>IF(AND(C3762&lt;&gt;"", J3762&lt;&gt;""), HYPERLINK("#'" &amp; C3762 &amp; "'!" &amp; J3762, J3762), "")</f>
        <v/>
      </c>
    </row>
    <row r="3763">
      <c r="B3763" s="21">
        <f>IF(AND(C3763&lt;&gt;"", J3763&lt;&gt;""), HYPERLINK("#'" &amp; C3763 &amp; "'!" &amp; J3763, J3763), "")</f>
        <v/>
      </c>
    </row>
    <row r="3764">
      <c r="B3764" s="21">
        <f>IF(AND(C3764&lt;&gt;"", J3764&lt;&gt;""), HYPERLINK("#'" &amp; C3764 &amp; "'!" &amp; J3764, J3764), "")</f>
        <v/>
      </c>
    </row>
    <row r="3765">
      <c r="B3765" s="21">
        <f>IF(AND(C3765&lt;&gt;"", J3765&lt;&gt;""), HYPERLINK("#'" &amp; C3765 &amp; "'!" &amp; J3765, J3765), "")</f>
        <v/>
      </c>
    </row>
    <row r="3766">
      <c r="B3766" s="21">
        <f>IF(AND(C3766&lt;&gt;"", J3766&lt;&gt;""), HYPERLINK("#'" &amp; C3766 &amp; "'!" &amp; J3766, J3766), "")</f>
        <v/>
      </c>
    </row>
    <row r="3767">
      <c r="B3767" s="21">
        <f>IF(AND(C3767&lt;&gt;"", J3767&lt;&gt;""), HYPERLINK("#'" &amp; C3767 &amp; "'!" &amp; J3767, J3767), "")</f>
        <v/>
      </c>
    </row>
    <row r="3768">
      <c r="B3768" s="21">
        <f>IF(AND(C3768&lt;&gt;"", J3768&lt;&gt;""), HYPERLINK("#'" &amp; C3768 &amp; "'!" &amp; J3768, J3768), "")</f>
        <v/>
      </c>
    </row>
    <row r="3769">
      <c r="B3769" s="21">
        <f>IF(AND(C3769&lt;&gt;"", J3769&lt;&gt;""), HYPERLINK("#'" &amp; C3769 &amp; "'!" &amp; J3769, J3769), "")</f>
        <v/>
      </c>
    </row>
    <row r="3770">
      <c r="B3770" s="21">
        <f>IF(AND(C3770&lt;&gt;"", J3770&lt;&gt;""), HYPERLINK("#'" &amp; C3770 &amp; "'!" &amp; J3770, J3770), "")</f>
        <v/>
      </c>
    </row>
    <row r="3771">
      <c r="B3771" s="21">
        <f>IF(AND(C3771&lt;&gt;"", J3771&lt;&gt;""), HYPERLINK("#'" &amp; C3771 &amp; "'!" &amp; J3771, J3771), "")</f>
        <v/>
      </c>
    </row>
    <row r="3772">
      <c r="B3772" s="21">
        <f>IF(AND(C3772&lt;&gt;"", J3772&lt;&gt;""), HYPERLINK("#'" &amp; C3772 &amp; "'!" &amp; J3772, J3772), "")</f>
        <v/>
      </c>
    </row>
    <row r="3773">
      <c r="B3773" s="21">
        <f>IF(AND(C3773&lt;&gt;"", J3773&lt;&gt;""), HYPERLINK("#'" &amp; C3773 &amp; "'!" &amp; J3773, J3773), "")</f>
        <v/>
      </c>
    </row>
    <row r="3774">
      <c r="B3774" s="21">
        <f>IF(AND(C3774&lt;&gt;"", J3774&lt;&gt;""), HYPERLINK("#'" &amp; C3774 &amp; "'!" &amp; J3774, J3774), "")</f>
        <v/>
      </c>
    </row>
    <row r="3775">
      <c r="B3775" s="21">
        <f>IF(AND(C3775&lt;&gt;"", J3775&lt;&gt;""), HYPERLINK("#'" &amp; C3775 &amp; "'!" &amp; J3775, J3775), "")</f>
        <v/>
      </c>
    </row>
    <row r="3776">
      <c r="B3776" s="21">
        <f>IF(AND(C3776&lt;&gt;"", J3776&lt;&gt;""), HYPERLINK("#'" &amp; C3776 &amp; "'!" &amp; J3776, J3776), "")</f>
        <v/>
      </c>
    </row>
    <row r="3777">
      <c r="B3777" s="21">
        <f>IF(AND(C3777&lt;&gt;"", J3777&lt;&gt;""), HYPERLINK("#'" &amp; C3777 &amp; "'!" &amp; J3777, J3777), "")</f>
        <v/>
      </c>
    </row>
    <row r="3778">
      <c r="B3778" s="21">
        <f>IF(AND(C3778&lt;&gt;"", J3778&lt;&gt;""), HYPERLINK("#'" &amp; C3778 &amp; "'!" &amp; J3778, J3778), "")</f>
        <v/>
      </c>
    </row>
    <row r="3779">
      <c r="B3779" s="21">
        <f>IF(AND(C3779&lt;&gt;"", J3779&lt;&gt;""), HYPERLINK("#'" &amp; C3779 &amp; "'!" &amp; J3779, J3779), "")</f>
        <v/>
      </c>
    </row>
    <row r="3780">
      <c r="B3780" s="21">
        <f>IF(AND(C3780&lt;&gt;"", J3780&lt;&gt;""), HYPERLINK("#'" &amp; C3780 &amp; "'!" &amp; J3780, J3780), "")</f>
        <v/>
      </c>
    </row>
    <row r="3781">
      <c r="B3781" s="21">
        <f>IF(AND(C3781&lt;&gt;"", J3781&lt;&gt;""), HYPERLINK("#'" &amp; C3781 &amp; "'!" &amp; J3781, J3781), "")</f>
        <v/>
      </c>
    </row>
    <row r="3782">
      <c r="B3782" s="21">
        <f>IF(AND(C3782&lt;&gt;"", J3782&lt;&gt;""), HYPERLINK("#'" &amp; C3782 &amp; "'!" &amp; J3782, J3782), "")</f>
        <v/>
      </c>
    </row>
    <row r="3783">
      <c r="B3783" s="21">
        <f>IF(AND(C3783&lt;&gt;"", J3783&lt;&gt;""), HYPERLINK("#'" &amp; C3783 &amp; "'!" &amp; J3783, J3783), "")</f>
        <v/>
      </c>
    </row>
    <row r="3784">
      <c r="B3784" s="21">
        <f>IF(AND(C3784&lt;&gt;"", J3784&lt;&gt;""), HYPERLINK("#'" &amp; C3784 &amp; "'!" &amp; J3784, J3784), "")</f>
        <v/>
      </c>
    </row>
    <row r="3785">
      <c r="B3785" s="21">
        <f>IF(AND(C3785&lt;&gt;"", J3785&lt;&gt;""), HYPERLINK("#'" &amp; C3785 &amp; "'!" &amp; J3785, J3785), "")</f>
        <v/>
      </c>
    </row>
    <row r="3786">
      <c r="B3786" s="21">
        <f>IF(AND(C3786&lt;&gt;"", J3786&lt;&gt;""), HYPERLINK("#'" &amp; C3786 &amp; "'!" &amp; J3786, J3786), "")</f>
        <v/>
      </c>
    </row>
    <row r="3787">
      <c r="B3787" s="21">
        <f>IF(AND(C3787&lt;&gt;"", J3787&lt;&gt;""), HYPERLINK("#'" &amp; C3787 &amp; "'!" &amp; J3787, J3787), "")</f>
        <v/>
      </c>
    </row>
    <row r="3788">
      <c r="B3788" s="21">
        <f>IF(AND(C3788&lt;&gt;"", J3788&lt;&gt;""), HYPERLINK("#'" &amp; C3788 &amp; "'!" &amp; J3788, J3788), "")</f>
        <v/>
      </c>
    </row>
    <row r="3789">
      <c r="B3789" s="21">
        <f>IF(AND(C3789&lt;&gt;"", J3789&lt;&gt;""), HYPERLINK("#'" &amp; C3789 &amp; "'!" &amp; J3789, J3789), "")</f>
        <v/>
      </c>
    </row>
    <row r="3790">
      <c r="B3790" s="21">
        <f>IF(AND(C3790&lt;&gt;"", J3790&lt;&gt;""), HYPERLINK("#'" &amp; C3790 &amp; "'!" &amp; J3790, J3790), "")</f>
        <v/>
      </c>
    </row>
    <row r="3791">
      <c r="B3791" s="21">
        <f>IF(AND(C3791&lt;&gt;"", J3791&lt;&gt;""), HYPERLINK("#'" &amp; C3791 &amp; "'!" &amp; J3791, J3791), "")</f>
        <v/>
      </c>
    </row>
    <row r="3792">
      <c r="B3792" s="21">
        <f>IF(AND(C3792&lt;&gt;"", J3792&lt;&gt;""), HYPERLINK("#'" &amp; C3792 &amp; "'!" &amp; J3792, J3792), "")</f>
        <v/>
      </c>
    </row>
    <row r="3793">
      <c r="B3793" s="21">
        <f>IF(AND(C3793&lt;&gt;"", J3793&lt;&gt;""), HYPERLINK("#'" &amp; C3793 &amp; "'!" &amp; J3793, J3793), "")</f>
        <v/>
      </c>
    </row>
    <row r="3794">
      <c r="B3794" s="21">
        <f>IF(AND(C3794&lt;&gt;"", J3794&lt;&gt;""), HYPERLINK("#'" &amp; C3794 &amp; "'!" &amp; J3794, J3794), "")</f>
        <v/>
      </c>
    </row>
    <row r="3795">
      <c r="B3795" s="21">
        <f>IF(AND(C3795&lt;&gt;"", J3795&lt;&gt;""), HYPERLINK("#'" &amp; C3795 &amp; "'!" &amp; J3795, J3795), "")</f>
        <v/>
      </c>
    </row>
    <row r="3796">
      <c r="B3796" s="21">
        <f>IF(AND(C3796&lt;&gt;"", J3796&lt;&gt;""), HYPERLINK("#'" &amp; C3796 &amp; "'!" &amp; J3796, J3796), "")</f>
        <v/>
      </c>
    </row>
    <row r="3797">
      <c r="B3797" s="21">
        <f>IF(AND(C3797&lt;&gt;"", J3797&lt;&gt;""), HYPERLINK("#'" &amp; C3797 &amp; "'!" &amp; J3797, J3797), "")</f>
        <v/>
      </c>
    </row>
    <row r="3798">
      <c r="B3798" s="21">
        <f>IF(AND(C3798&lt;&gt;"", J3798&lt;&gt;""), HYPERLINK("#'" &amp; C3798 &amp; "'!" &amp; J3798, J3798), "")</f>
        <v/>
      </c>
    </row>
    <row r="3799">
      <c r="B3799" s="21">
        <f>IF(AND(C3799&lt;&gt;"", J3799&lt;&gt;""), HYPERLINK("#'" &amp; C3799 &amp; "'!" &amp; J3799, J3799), "")</f>
        <v/>
      </c>
    </row>
    <row r="3800">
      <c r="B3800" s="21">
        <f>IF(AND(C3800&lt;&gt;"", J3800&lt;&gt;""), HYPERLINK("#'" &amp; C3800 &amp; "'!" &amp; J3800, J3800), "")</f>
        <v/>
      </c>
    </row>
    <row r="3801">
      <c r="B3801" s="21">
        <f>IF(AND(C3801&lt;&gt;"", J3801&lt;&gt;""), HYPERLINK("#'" &amp; C3801 &amp; "'!" &amp; J3801, J3801), "")</f>
        <v/>
      </c>
    </row>
    <row r="3802">
      <c r="B3802" s="21">
        <f>IF(AND(C3802&lt;&gt;"", J3802&lt;&gt;""), HYPERLINK("#'" &amp; C3802 &amp; "'!" &amp; J3802, J3802), "")</f>
        <v/>
      </c>
    </row>
    <row r="3803">
      <c r="B3803" s="21">
        <f>IF(AND(C3803&lt;&gt;"", J3803&lt;&gt;""), HYPERLINK("#'" &amp; C3803 &amp; "'!" &amp; J3803, J3803), "")</f>
        <v/>
      </c>
    </row>
    <row r="3804">
      <c r="B3804" s="21">
        <f>IF(AND(C3804&lt;&gt;"", J3804&lt;&gt;""), HYPERLINK("#'" &amp; C3804 &amp; "'!" &amp; J3804, J3804), "")</f>
        <v/>
      </c>
    </row>
    <row r="3805">
      <c r="B3805" s="21">
        <f>IF(AND(C3805&lt;&gt;"", J3805&lt;&gt;""), HYPERLINK("#'" &amp; C3805 &amp; "'!" &amp; J3805, J3805), "")</f>
        <v/>
      </c>
    </row>
    <row r="3806">
      <c r="B3806" s="21">
        <f>IF(AND(C3806&lt;&gt;"", J3806&lt;&gt;""), HYPERLINK("#'" &amp; C3806 &amp; "'!" &amp; J3806, J3806), "")</f>
        <v/>
      </c>
    </row>
    <row r="3807">
      <c r="B3807" s="21">
        <f>IF(AND(C3807&lt;&gt;"", J3807&lt;&gt;""), HYPERLINK("#'" &amp; C3807 &amp; "'!" &amp; J3807, J3807), "")</f>
        <v/>
      </c>
    </row>
    <row r="3808">
      <c r="B3808" s="21">
        <f>IF(AND(C3808&lt;&gt;"", J3808&lt;&gt;""), HYPERLINK("#'" &amp; C3808 &amp; "'!" &amp; J3808, J3808), "")</f>
        <v/>
      </c>
    </row>
    <row r="3809">
      <c r="B3809" s="21">
        <f>IF(AND(C3809&lt;&gt;"", J3809&lt;&gt;""), HYPERLINK("#'" &amp; C3809 &amp; "'!" &amp; J3809, J3809), "")</f>
        <v/>
      </c>
    </row>
    <row r="3810">
      <c r="B3810" s="21">
        <f>IF(AND(C3810&lt;&gt;"", J3810&lt;&gt;""), HYPERLINK("#'" &amp; C3810 &amp; "'!" &amp; J3810, J3810), "")</f>
        <v/>
      </c>
    </row>
    <row r="3811">
      <c r="B3811" s="21">
        <f>IF(AND(C3811&lt;&gt;"", J3811&lt;&gt;""), HYPERLINK("#'" &amp; C3811 &amp; "'!" &amp; J3811, J3811), "")</f>
        <v/>
      </c>
    </row>
    <row r="3812">
      <c r="B3812" s="21">
        <f>IF(AND(C3812&lt;&gt;"", J3812&lt;&gt;""), HYPERLINK("#'" &amp; C3812 &amp; "'!" &amp; J3812, J3812), "")</f>
        <v/>
      </c>
    </row>
    <row r="3813">
      <c r="B3813" s="21">
        <f>IF(AND(C3813&lt;&gt;"", J3813&lt;&gt;""), HYPERLINK("#'" &amp; C3813 &amp; "'!" &amp; J3813, J3813), "")</f>
        <v/>
      </c>
    </row>
    <row r="3814">
      <c r="B3814" s="21">
        <f>IF(AND(C3814&lt;&gt;"", J3814&lt;&gt;""), HYPERLINK("#'" &amp; C3814 &amp; "'!" &amp; J3814, J3814), "")</f>
        <v/>
      </c>
    </row>
    <row r="3815">
      <c r="B3815" s="21">
        <f>IF(AND(C3815&lt;&gt;"", J3815&lt;&gt;""), HYPERLINK("#'" &amp; C3815 &amp; "'!" &amp; J3815, J3815), "")</f>
        <v/>
      </c>
    </row>
    <row r="3816">
      <c r="B3816" s="21">
        <f>IF(AND(C3816&lt;&gt;"", J3816&lt;&gt;""), HYPERLINK("#'" &amp; C3816 &amp; "'!" &amp; J3816, J3816), "")</f>
        <v/>
      </c>
    </row>
    <row r="3817">
      <c r="B3817" s="21">
        <f>IF(AND(C3817&lt;&gt;"", J3817&lt;&gt;""), HYPERLINK("#'" &amp; C3817 &amp; "'!" &amp; J3817, J3817), "")</f>
        <v/>
      </c>
    </row>
    <row r="3818">
      <c r="B3818" s="21">
        <f>IF(AND(C3818&lt;&gt;"", J3818&lt;&gt;""), HYPERLINK("#'" &amp; C3818 &amp; "'!" &amp; J3818, J3818), "")</f>
        <v/>
      </c>
    </row>
    <row r="3819">
      <c r="B3819" s="21">
        <f>IF(AND(C3819&lt;&gt;"", J3819&lt;&gt;""), HYPERLINK("#'" &amp; C3819 &amp; "'!" &amp; J3819, J3819), "")</f>
        <v/>
      </c>
    </row>
    <row r="3820">
      <c r="B3820" s="21">
        <f>IF(AND(C3820&lt;&gt;"", J3820&lt;&gt;""), HYPERLINK("#'" &amp; C3820 &amp; "'!" &amp; J3820, J3820), "")</f>
        <v/>
      </c>
    </row>
    <row r="3821">
      <c r="B3821" s="21">
        <f>IF(AND(C3821&lt;&gt;"", J3821&lt;&gt;""), HYPERLINK("#'" &amp; C3821 &amp; "'!" &amp; J3821, J3821), "")</f>
        <v/>
      </c>
    </row>
    <row r="3822">
      <c r="B3822" s="21">
        <f>IF(AND(C3822&lt;&gt;"", J3822&lt;&gt;""), HYPERLINK("#'" &amp; C3822 &amp; "'!" &amp; J3822, J3822), "")</f>
        <v/>
      </c>
    </row>
    <row r="3823">
      <c r="B3823" s="21">
        <f>IF(AND(C3823&lt;&gt;"", J3823&lt;&gt;""), HYPERLINK("#'" &amp; C3823 &amp; "'!" &amp; J3823, J3823), "")</f>
        <v/>
      </c>
    </row>
    <row r="3824">
      <c r="B3824" s="21">
        <f>IF(AND(C3824&lt;&gt;"", J3824&lt;&gt;""), HYPERLINK("#'" &amp; C3824 &amp; "'!" &amp; J3824, J3824), "")</f>
        <v/>
      </c>
    </row>
    <row r="3825">
      <c r="B3825" s="21">
        <f>IF(AND(C3825&lt;&gt;"", J3825&lt;&gt;""), HYPERLINK("#'" &amp; C3825 &amp; "'!" &amp; J3825, J3825), "")</f>
        <v/>
      </c>
    </row>
    <row r="3826">
      <c r="B3826" s="21">
        <f>IF(AND(C3826&lt;&gt;"", J3826&lt;&gt;""), HYPERLINK("#'" &amp; C3826 &amp; "'!" &amp; J3826, J3826), "")</f>
        <v/>
      </c>
    </row>
    <row r="3827">
      <c r="B3827" s="21">
        <f>IF(AND(C3827&lt;&gt;"", J3827&lt;&gt;""), HYPERLINK("#'" &amp; C3827 &amp; "'!" &amp; J3827, J3827), "")</f>
        <v/>
      </c>
    </row>
    <row r="3828">
      <c r="B3828" s="21">
        <f>IF(AND(C3828&lt;&gt;"", J3828&lt;&gt;""), HYPERLINK("#'" &amp; C3828 &amp; "'!" &amp; J3828, J3828), "")</f>
        <v/>
      </c>
    </row>
    <row r="3829">
      <c r="B3829" s="21">
        <f>IF(AND(C3829&lt;&gt;"", J3829&lt;&gt;""), HYPERLINK("#'" &amp; C3829 &amp; "'!" &amp; J3829, J3829), "")</f>
        <v/>
      </c>
    </row>
    <row r="3830">
      <c r="B3830" s="21">
        <f>IF(AND(C3830&lt;&gt;"", J3830&lt;&gt;""), HYPERLINK("#'" &amp; C3830 &amp; "'!" &amp; J3830, J3830), "")</f>
        <v/>
      </c>
    </row>
    <row r="3831">
      <c r="B3831" s="21">
        <f>IF(AND(C3831&lt;&gt;"", J3831&lt;&gt;""), HYPERLINK("#'" &amp; C3831 &amp; "'!" &amp; J3831, J3831), "")</f>
        <v/>
      </c>
    </row>
    <row r="3832">
      <c r="B3832" s="21">
        <f>IF(AND(C3832&lt;&gt;"", J3832&lt;&gt;""), HYPERLINK("#'" &amp; C3832 &amp; "'!" &amp; J3832, J3832), "")</f>
        <v/>
      </c>
    </row>
    <row r="3833">
      <c r="B3833" s="21">
        <f>IF(AND(C3833&lt;&gt;"", J3833&lt;&gt;""), HYPERLINK("#'" &amp; C3833 &amp; "'!" &amp; J3833, J3833), "")</f>
        <v/>
      </c>
    </row>
    <row r="3834">
      <c r="B3834" s="21">
        <f>IF(AND(C3834&lt;&gt;"", J3834&lt;&gt;""), HYPERLINK("#'" &amp; C3834 &amp; "'!" &amp; J3834, J3834), "")</f>
        <v/>
      </c>
    </row>
    <row r="3835">
      <c r="B3835" s="21">
        <f>IF(AND(C3835&lt;&gt;"", J3835&lt;&gt;""), HYPERLINK("#'" &amp; C3835 &amp; "'!" &amp; J3835, J3835), "")</f>
        <v/>
      </c>
    </row>
    <row r="3836">
      <c r="B3836" s="21">
        <f>IF(AND(C3836&lt;&gt;"", J3836&lt;&gt;""), HYPERLINK("#'" &amp; C3836 &amp; "'!" &amp; J3836, J3836), "")</f>
        <v/>
      </c>
    </row>
    <row r="3837">
      <c r="B3837" s="21">
        <f>IF(AND(C3837&lt;&gt;"", J3837&lt;&gt;""), HYPERLINK("#'" &amp; C3837 &amp; "'!" &amp; J3837, J3837), "")</f>
        <v/>
      </c>
    </row>
    <row r="3838">
      <c r="B3838" s="21">
        <f>IF(AND(C3838&lt;&gt;"", J3838&lt;&gt;""), HYPERLINK("#'" &amp; C3838 &amp; "'!" &amp; J3838, J3838), "")</f>
        <v/>
      </c>
    </row>
    <row r="3839">
      <c r="B3839" s="21">
        <f>IF(AND(C3839&lt;&gt;"", J3839&lt;&gt;""), HYPERLINK("#'" &amp; C3839 &amp; "'!" &amp; J3839, J3839), "")</f>
        <v/>
      </c>
    </row>
    <row r="3840">
      <c r="B3840" s="21">
        <f>IF(AND(C3840&lt;&gt;"", J3840&lt;&gt;""), HYPERLINK("#'" &amp; C3840 &amp; "'!" &amp; J3840, J3840), "")</f>
        <v/>
      </c>
    </row>
    <row r="3841">
      <c r="B3841" s="21">
        <f>IF(AND(C3841&lt;&gt;"", J3841&lt;&gt;""), HYPERLINK("#'" &amp; C3841 &amp; "'!" &amp; J3841, J3841), "")</f>
        <v/>
      </c>
    </row>
    <row r="3842">
      <c r="B3842" s="21">
        <f>IF(AND(C3842&lt;&gt;"", J3842&lt;&gt;""), HYPERLINK("#'" &amp; C3842 &amp; "'!" &amp; J3842, J3842), "")</f>
        <v/>
      </c>
    </row>
    <row r="3843">
      <c r="B3843" s="21">
        <f>IF(AND(C3843&lt;&gt;"", J3843&lt;&gt;""), HYPERLINK("#'" &amp; C3843 &amp; "'!" &amp; J3843, J3843), "")</f>
        <v/>
      </c>
    </row>
    <row r="3844">
      <c r="B3844" s="21">
        <f>IF(AND(C3844&lt;&gt;"", J3844&lt;&gt;""), HYPERLINK("#'" &amp; C3844 &amp; "'!" &amp; J3844, J3844), "")</f>
        <v/>
      </c>
    </row>
    <row r="3845">
      <c r="B3845" s="21">
        <f>IF(AND(C3845&lt;&gt;"", J3845&lt;&gt;""), HYPERLINK("#'" &amp; C3845 &amp; "'!" &amp; J3845, J3845), "")</f>
        <v/>
      </c>
    </row>
    <row r="3846">
      <c r="B3846" s="21">
        <f>IF(AND(C3846&lt;&gt;"", J3846&lt;&gt;""), HYPERLINK("#'" &amp; C3846 &amp; "'!" &amp; J3846, J3846), "")</f>
        <v/>
      </c>
    </row>
    <row r="3847">
      <c r="B3847" s="21">
        <f>IF(AND(C3847&lt;&gt;"", J3847&lt;&gt;""), HYPERLINK("#'" &amp; C3847 &amp; "'!" &amp; J3847, J3847), "")</f>
        <v/>
      </c>
    </row>
    <row r="3848">
      <c r="B3848" s="21">
        <f>IF(AND(C3848&lt;&gt;"", J3848&lt;&gt;""), HYPERLINK("#'" &amp; C3848 &amp; "'!" &amp; J3848, J3848), "")</f>
        <v/>
      </c>
    </row>
    <row r="3849">
      <c r="B3849" s="21">
        <f>IF(AND(C3849&lt;&gt;"", J3849&lt;&gt;""), HYPERLINK("#'" &amp; C3849 &amp; "'!" &amp; J3849, J3849), "")</f>
        <v/>
      </c>
    </row>
    <row r="3850">
      <c r="B3850" s="21">
        <f>IF(AND(C3850&lt;&gt;"", J3850&lt;&gt;""), HYPERLINK("#'" &amp; C3850 &amp; "'!" &amp; J3850, J3850), "")</f>
        <v/>
      </c>
    </row>
    <row r="3851">
      <c r="B3851" s="21">
        <f>IF(AND(C3851&lt;&gt;"", J3851&lt;&gt;""), HYPERLINK("#'" &amp; C3851 &amp; "'!" &amp; J3851, J3851), "")</f>
        <v/>
      </c>
    </row>
    <row r="3852">
      <c r="B3852" s="21">
        <f>IF(AND(C3852&lt;&gt;"", J3852&lt;&gt;""), HYPERLINK("#'" &amp; C3852 &amp; "'!" &amp; J3852, J3852), "")</f>
        <v/>
      </c>
    </row>
    <row r="3853">
      <c r="B3853" s="21">
        <f>IF(AND(C3853&lt;&gt;"", J3853&lt;&gt;""), HYPERLINK("#'" &amp; C3853 &amp; "'!" &amp; J3853, J3853), "")</f>
        <v/>
      </c>
    </row>
    <row r="3854">
      <c r="B3854" s="21">
        <f>IF(AND(C3854&lt;&gt;"", J3854&lt;&gt;""), HYPERLINK("#'" &amp; C3854 &amp; "'!" &amp; J3854, J3854), "")</f>
        <v/>
      </c>
    </row>
    <row r="3855">
      <c r="B3855" s="21">
        <f>IF(AND(C3855&lt;&gt;"", J3855&lt;&gt;""), HYPERLINK("#'" &amp; C3855 &amp; "'!" &amp; J3855, J3855), "")</f>
        <v/>
      </c>
    </row>
    <row r="3856">
      <c r="B3856" s="21">
        <f>IF(AND(C3856&lt;&gt;"", J3856&lt;&gt;""), HYPERLINK("#'" &amp; C3856 &amp; "'!" &amp; J3856, J3856), "")</f>
        <v/>
      </c>
    </row>
    <row r="3857">
      <c r="B3857" s="21">
        <f>IF(AND(C3857&lt;&gt;"", J3857&lt;&gt;""), HYPERLINK("#'" &amp; C3857 &amp; "'!" &amp; J3857, J3857), "")</f>
        <v/>
      </c>
    </row>
    <row r="3858">
      <c r="B3858" s="21">
        <f>IF(AND(C3858&lt;&gt;"", J3858&lt;&gt;""), HYPERLINK("#'" &amp; C3858 &amp; "'!" &amp; J3858, J3858), "")</f>
        <v/>
      </c>
    </row>
    <row r="3859">
      <c r="B3859" s="21">
        <f>IF(AND(C3859&lt;&gt;"", J3859&lt;&gt;""), HYPERLINK("#'" &amp; C3859 &amp; "'!" &amp; J3859, J3859), "")</f>
        <v/>
      </c>
    </row>
    <row r="3860">
      <c r="B3860" s="21">
        <f>IF(AND(C3860&lt;&gt;"", J3860&lt;&gt;""), HYPERLINK("#'" &amp; C3860 &amp; "'!" &amp; J3860, J3860), "")</f>
        <v/>
      </c>
    </row>
    <row r="3861">
      <c r="B3861" s="21">
        <f>IF(AND(C3861&lt;&gt;"", J3861&lt;&gt;""), HYPERLINK("#'" &amp; C3861 &amp; "'!" &amp; J3861, J3861), "")</f>
        <v/>
      </c>
    </row>
    <row r="3862">
      <c r="B3862" s="21">
        <f>IF(AND(C3862&lt;&gt;"", J3862&lt;&gt;""), HYPERLINK("#'" &amp; C3862 &amp; "'!" &amp; J3862, J3862), "")</f>
        <v/>
      </c>
    </row>
    <row r="3863">
      <c r="B3863" s="21">
        <f>IF(AND(C3863&lt;&gt;"", J3863&lt;&gt;""), HYPERLINK("#'" &amp; C3863 &amp; "'!" &amp; J3863, J3863), "")</f>
        <v/>
      </c>
    </row>
    <row r="3864">
      <c r="B3864" s="21">
        <f>IF(AND(C3864&lt;&gt;"", J3864&lt;&gt;""), HYPERLINK("#'" &amp; C3864 &amp; "'!" &amp; J3864, J3864), "")</f>
        <v/>
      </c>
    </row>
    <row r="3865">
      <c r="B3865" s="21">
        <f>IF(AND(C3865&lt;&gt;"", J3865&lt;&gt;""), HYPERLINK("#'" &amp; C3865 &amp; "'!" &amp; J3865, J3865), "")</f>
        <v/>
      </c>
    </row>
    <row r="3866">
      <c r="B3866" s="21">
        <f>IF(AND(C3866&lt;&gt;"", J3866&lt;&gt;""), HYPERLINK("#'" &amp; C3866 &amp; "'!" &amp; J3866, J3866), "")</f>
        <v/>
      </c>
    </row>
    <row r="3867">
      <c r="B3867" s="21">
        <f>IF(AND(C3867&lt;&gt;"", J3867&lt;&gt;""), HYPERLINK("#'" &amp; C3867 &amp; "'!" &amp; J3867, J3867), "")</f>
        <v/>
      </c>
    </row>
    <row r="3868">
      <c r="B3868" s="21">
        <f>IF(AND(C3868&lt;&gt;"", J3868&lt;&gt;""), HYPERLINK("#'" &amp; C3868 &amp; "'!" &amp; J3868, J3868), "")</f>
        <v/>
      </c>
    </row>
    <row r="3869">
      <c r="B3869" s="21">
        <f>IF(AND(C3869&lt;&gt;"", J3869&lt;&gt;""), HYPERLINK("#'" &amp; C3869 &amp; "'!" &amp; J3869, J3869), "")</f>
        <v/>
      </c>
    </row>
    <row r="3870">
      <c r="B3870" s="21">
        <f>IF(AND(C3870&lt;&gt;"", J3870&lt;&gt;""), HYPERLINK("#'" &amp; C3870 &amp; "'!" &amp; J3870, J3870), "")</f>
        <v/>
      </c>
    </row>
    <row r="3871">
      <c r="B3871" s="21">
        <f>IF(AND(C3871&lt;&gt;"", J3871&lt;&gt;""), HYPERLINK("#'" &amp; C3871 &amp; "'!" &amp; J3871, J3871), "")</f>
        <v/>
      </c>
    </row>
    <row r="3872">
      <c r="B3872" s="21">
        <f>IF(AND(C3872&lt;&gt;"", J3872&lt;&gt;""), HYPERLINK("#'" &amp; C3872 &amp; "'!" &amp; J3872, J3872), "")</f>
        <v/>
      </c>
    </row>
    <row r="3873">
      <c r="B3873" s="21">
        <f>IF(AND(C3873&lt;&gt;"", J3873&lt;&gt;""), HYPERLINK("#'" &amp; C3873 &amp; "'!" &amp; J3873, J3873), "")</f>
        <v/>
      </c>
    </row>
    <row r="3874">
      <c r="B3874" s="21">
        <f>IF(AND(C3874&lt;&gt;"", J3874&lt;&gt;""), HYPERLINK("#'" &amp; C3874 &amp; "'!" &amp; J3874, J3874), "")</f>
        <v/>
      </c>
    </row>
    <row r="3875">
      <c r="B3875" s="21">
        <f>IF(AND(C3875&lt;&gt;"", J3875&lt;&gt;""), HYPERLINK("#'" &amp; C3875 &amp; "'!" &amp; J3875, J3875), "")</f>
        <v/>
      </c>
    </row>
    <row r="3876">
      <c r="B3876" s="21">
        <f>IF(AND(C3876&lt;&gt;"", J3876&lt;&gt;""), HYPERLINK("#'" &amp; C3876 &amp; "'!" &amp; J3876, J3876), "")</f>
        <v/>
      </c>
    </row>
    <row r="3877">
      <c r="B3877" s="21">
        <f>IF(AND(C3877&lt;&gt;"", J3877&lt;&gt;""), HYPERLINK("#'" &amp; C3877 &amp; "'!" &amp; J3877, J3877), "")</f>
        <v/>
      </c>
    </row>
    <row r="3878">
      <c r="B3878" s="21">
        <f>IF(AND(C3878&lt;&gt;"", J3878&lt;&gt;""), HYPERLINK("#'" &amp; C3878 &amp; "'!" &amp; J3878, J3878), "")</f>
        <v/>
      </c>
    </row>
    <row r="3879">
      <c r="B3879" s="21">
        <f>IF(AND(C3879&lt;&gt;"", J3879&lt;&gt;""), HYPERLINK("#'" &amp; C3879 &amp; "'!" &amp; J3879, J3879), "")</f>
        <v/>
      </c>
    </row>
    <row r="3880">
      <c r="B3880" s="21">
        <f>IF(AND(C3880&lt;&gt;"", J3880&lt;&gt;""), HYPERLINK("#'" &amp; C3880 &amp; "'!" &amp; J3880, J3880), "")</f>
        <v/>
      </c>
    </row>
    <row r="3881">
      <c r="B3881" s="21">
        <f>IF(AND(C3881&lt;&gt;"", J3881&lt;&gt;""), HYPERLINK("#'" &amp; C3881 &amp; "'!" &amp; J3881, J3881), "")</f>
        <v/>
      </c>
    </row>
    <row r="3882">
      <c r="B3882" s="21">
        <f>IF(AND(C3882&lt;&gt;"", J3882&lt;&gt;""), HYPERLINK("#'" &amp; C3882 &amp; "'!" &amp; J3882, J3882), "")</f>
        <v/>
      </c>
    </row>
    <row r="3883">
      <c r="B3883" s="21">
        <f>IF(AND(C3883&lt;&gt;"", J3883&lt;&gt;""), HYPERLINK("#'" &amp; C3883 &amp; "'!" &amp; J3883, J3883), "")</f>
        <v/>
      </c>
    </row>
    <row r="3884">
      <c r="B3884" s="21">
        <f>IF(AND(C3884&lt;&gt;"", J3884&lt;&gt;""), HYPERLINK("#'" &amp; C3884 &amp; "'!" &amp; J3884, J3884), "")</f>
        <v/>
      </c>
    </row>
    <row r="3885">
      <c r="B3885" s="21">
        <f>IF(AND(C3885&lt;&gt;"", J3885&lt;&gt;""), HYPERLINK("#'" &amp; C3885 &amp; "'!" &amp; J3885, J3885), "")</f>
        <v/>
      </c>
    </row>
    <row r="3886">
      <c r="B3886" s="21">
        <f>IF(AND(C3886&lt;&gt;"", J3886&lt;&gt;""), HYPERLINK("#'" &amp; C3886 &amp; "'!" &amp; J3886, J3886), "")</f>
        <v/>
      </c>
    </row>
    <row r="3887">
      <c r="B3887" s="21">
        <f>IF(AND(C3887&lt;&gt;"", J3887&lt;&gt;""), HYPERLINK("#'" &amp; C3887 &amp; "'!" &amp; J3887, J3887), "")</f>
        <v/>
      </c>
    </row>
    <row r="3888">
      <c r="B3888" s="21">
        <f>IF(AND(C3888&lt;&gt;"", J3888&lt;&gt;""), HYPERLINK("#'" &amp; C3888 &amp; "'!" &amp; J3888, J3888), "")</f>
        <v/>
      </c>
    </row>
    <row r="3889">
      <c r="B3889" s="21">
        <f>IF(AND(C3889&lt;&gt;"", J3889&lt;&gt;""), HYPERLINK("#'" &amp; C3889 &amp; "'!" &amp; J3889, J3889), "")</f>
        <v/>
      </c>
    </row>
    <row r="3890">
      <c r="B3890" s="21">
        <f>IF(AND(C3890&lt;&gt;"", J3890&lt;&gt;""), HYPERLINK("#'" &amp; C3890 &amp; "'!" &amp; J3890, J3890), "")</f>
        <v/>
      </c>
    </row>
    <row r="3891">
      <c r="B3891" s="21">
        <f>IF(AND(C3891&lt;&gt;"", J3891&lt;&gt;""), HYPERLINK("#'" &amp; C3891 &amp; "'!" &amp; J3891, J3891), "")</f>
        <v/>
      </c>
    </row>
    <row r="3892">
      <c r="B3892" s="21">
        <f>IF(AND(C3892&lt;&gt;"", J3892&lt;&gt;""), HYPERLINK("#'" &amp; C3892 &amp; "'!" &amp; J3892, J3892), "")</f>
        <v/>
      </c>
    </row>
    <row r="3893">
      <c r="B3893" s="21">
        <f>IF(AND(C3893&lt;&gt;"", J3893&lt;&gt;""), HYPERLINK("#'" &amp; C3893 &amp; "'!" &amp; J3893, J3893), "")</f>
        <v/>
      </c>
    </row>
    <row r="3894">
      <c r="B3894" s="21">
        <f>IF(AND(C3894&lt;&gt;"", J3894&lt;&gt;""), HYPERLINK("#'" &amp; C3894 &amp; "'!" &amp; J3894, J3894), "")</f>
        <v/>
      </c>
    </row>
    <row r="3895">
      <c r="B3895" s="21">
        <f>IF(AND(C3895&lt;&gt;"", J3895&lt;&gt;""), HYPERLINK("#'" &amp; C3895 &amp; "'!" &amp; J3895, J3895), "")</f>
        <v/>
      </c>
    </row>
    <row r="3896">
      <c r="B3896" s="21">
        <f>IF(AND(C3896&lt;&gt;"", J3896&lt;&gt;""), HYPERLINK("#'" &amp; C3896 &amp; "'!" &amp; J3896, J3896), "")</f>
        <v/>
      </c>
    </row>
    <row r="3897">
      <c r="B3897" s="21">
        <f>IF(AND(C3897&lt;&gt;"", J3897&lt;&gt;""), HYPERLINK("#'" &amp; C3897 &amp; "'!" &amp; J3897, J3897), "")</f>
        <v/>
      </c>
    </row>
    <row r="3898">
      <c r="B3898" s="21">
        <f>IF(AND(C3898&lt;&gt;"", J3898&lt;&gt;""), HYPERLINK("#'" &amp; C3898 &amp; "'!" &amp; J3898, J3898), "")</f>
        <v/>
      </c>
    </row>
    <row r="3899">
      <c r="B3899" s="21">
        <f>IF(AND(C3899&lt;&gt;"", J3899&lt;&gt;""), HYPERLINK("#'" &amp; C3899 &amp; "'!" &amp; J3899, J3899), "")</f>
        <v/>
      </c>
    </row>
    <row r="3900">
      <c r="B3900" s="21">
        <f>IF(AND(C3900&lt;&gt;"", J3900&lt;&gt;""), HYPERLINK("#'" &amp; C3900 &amp; "'!" &amp; J3900, J3900), "")</f>
        <v/>
      </c>
    </row>
    <row r="3901">
      <c r="B3901" s="21">
        <f>IF(AND(C3901&lt;&gt;"", J3901&lt;&gt;""), HYPERLINK("#'" &amp; C3901 &amp; "'!" &amp; J3901, J3901), "")</f>
        <v/>
      </c>
    </row>
    <row r="3902">
      <c r="B3902" s="21">
        <f>IF(AND(C3902&lt;&gt;"", J3902&lt;&gt;""), HYPERLINK("#'" &amp; C3902 &amp; "'!" &amp; J3902, J3902), "")</f>
        <v/>
      </c>
    </row>
    <row r="3903">
      <c r="B3903" s="21">
        <f>IF(AND(C3903&lt;&gt;"", J3903&lt;&gt;""), HYPERLINK("#'" &amp; C3903 &amp; "'!" &amp; J3903, J3903), "")</f>
        <v/>
      </c>
    </row>
    <row r="3904">
      <c r="B3904" s="21">
        <f>IF(AND(C3904&lt;&gt;"", J3904&lt;&gt;""), HYPERLINK("#'" &amp; C3904 &amp; "'!" &amp; J3904, J3904), "")</f>
        <v/>
      </c>
    </row>
    <row r="3905">
      <c r="B3905" s="21">
        <f>IF(AND(C3905&lt;&gt;"", J3905&lt;&gt;""), HYPERLINK("#'" &amp; C3905 &amp; "'!" &amp; J3905, J3905), "")</f>
        <v/>
      </c>
    </row>
    <row r="3906">
      <c r="B3906" s="21">
        <f>IF(AND(C3906&lt;&gt;"", J3906&lt;&gt;""), HYPERLINK("#'" &amp; C3906 &amp; "'!" &amp; J3906, J3906), "")</f>
        <v/>
      </c>
    </row>
    <row r="3907">
      <c r="B3907" s="21">
        <f>IF(AND(C3907&lt;&gt;"", J3907&lt;&gt;""), HYPERLINK("#'" &amp; C3907 &amp; "'!" &amp; J3907, J3907), "")</f>
        <v/>
      </c>
    </row>
    <row r="3908">
      <c r="B3908" s="21">
        <f>IF(AND(C3908&lt;&gt;"", J3908&lt;&gt;""), HYPERLINK("#'" &amp; C3908 &amp; "'!" &amp; J3908, J3908), "")</f>
        <v/>
      </c>
    </row>
    <row r="3909">
      <c r="B3909" s="21">
        <f>IF(AND(C3909&lt;&gt;"", J3909&lt;&gt;""), HYPERLINK("#'" &amp; C3909 &amp; "'!" &amp; J3909, J3909), "")</f>
        <v/>
      </c>
    </row>
    <row r="3910">
      <c r="B3910" s="21">
        <f>IF(AND(C3910&lt;&gt;"", J3910&lt;&gt;""), HYPERLINK("#'" &amp; C3910 &amp; "'!" &amp; J3910, J3910), "")</f>
        <v/>
      </c>
    </row>
    <row r="3911">
      <c r="B3911" s="21">
        <f>IF(AND(C3911&lt;&gt;"", J3911&lt;&gt;""), HYPERLINK("#'" &amp; C3911 &amp; "'!" &amp; J3911, J3911), "")</f>
        <v/>
      </c>
    </row>
    <row r="3912">
      <c r="B3912" s="21">
        <f>IF(AND(C3912&lt;&gt;"", J3912&lt;&gt;""), HYPERLINK("#'" &amp; C3912 &amp; "'!" &amp; J3912, J3912), "")</f>
        <v/>
      </c>
    </row>
    <row r="3913">
      <c r="B3913" s="21">
        <f>IF(AND(C3913&lt;&gt;"", J3913&lt;&gt;""), HYPERLINK("#'" &amp; C3913 &amp; "'!" &amp; J3913, J3913), "")</f>
        <v/>
      </c>
    </row>
    <row r="3914">
      <c r="B3914" s="21">
        <f>IF(AND(C3914&lt;&gt;"", J3914&lt;&gt;""), HYPERLINK("#'" &amp; C3914 &amp; "'!" &amp; J3914, J3914), "")</f>
        <v/>
      </c>
    </row>
    <row r="3915">
      <c r="B3915" s="21">
        <f>IF(AND(C3915&lt;&gt;"", J3915&lt;&gt;""), HYPERLINK("#'" &amp; C3915 &amp; "'!" &amp; J3915, J3915), "")</f>
        <v/>
      </c>
    </row>
    <row r="3916">
      <c r="B3916" s="21">
        <f>IF(AND(C3916&lt;&gt;"", J3916&lt;&gt;""), HYPERLINK("#'" &amp; C3916 &amp; "'!" &amp; J3916, J3916), "")</f>
        <v/>
      </c>
    </row>
    <row r="3917">
      <c r="B3917" s="21">
        <f>IF(AND(C3917&lt;&gt;"", J3917&lt;&gt;""), HYPERLINK("#'" &amp; C3917 &amp; "'!" &amp; J3917, J3917), "")</f>
        <v/>
      </c>
    </row>
    <row r="3918">
      <c r="B3918" s="21">
        <f>IF(AND(C3918&lt;&gt;"", J3918&lt;&gt;""), HYPERLINK("#'" &amp; C3918 &amp; "'!" &amp; J3918, J3918), "")</f>
        <v/>
      </c>
    </row>
    <row r="3919">
      <c r="B3919" s="21">
        <f>IF(AND(C3919&lt;&gt;"", J3919&lt;&gt;""), HYPERLINK("#'" &amp; C3919 &amp; "'!" &amp; J3919, J3919), "")</f>
        <v/>
      </c>
    </row>
    <row r="3920">
      <c r="B3920" s="21">
        <f>IF(AND(C3920&lt;&gt;"", J3920&lt;&gt;""), HYPERLINK("#'" &amp; C3920 &amp; "'!" &amp; J3920, J3920), "")</f>
        <v/>
      </c>
    </row>
    <row r="3921">
      <c r="B3921" s="21">
        <f>IF(AND(C3921&lt;&gt;"", J3921&lt;&gt;""), HYPERLINK("#'" &amp; C3921 &amp; "'!" &amp; J3921, J3921), "")</f>
        <v/>
      </c>
    </row>
    <row r="3922">
      <c r="B3922" s="21">
        <f>IF(AND(C3922&lt;&gt;"", J3922&lt;&gt;""), HYPERLINK("#'" &amp; C3922 &amp; "'!" &amp; J3922, J3922), "")</f>
        <v/>
      </c>
    </row>
    <row r="3923">
      <c r="B3923" s="21">
        <f>IF(AND(C3923&lt;&gt;"", J3923&lt;&gt;""), HYPERLINK("#'" &amp; C3923 &amp; "'!" &amp; J3923, J3923), "")</f>
        <v/>
      </c>
    </row>
    <row r="3924">
      <c r="B3924" s="21">
        <f>IF(AND(C3924&lt;&gt;"", J3924&lt;&gt;""), HYPERLINK("#'" &amp; C3924 &amp; "'!" &amp; J3924, J3924), "")</f>
        <v/>
      </c>
    </row>
    <row r="3925">
      <c r="B3925" s="21">
        <f>IF(AND(C3925&lt;&gt;"", J3925&lt;&gt;""), HYPERLINK("#'" &amp; C3925 &amp; "'!" &amp; J3925, J3925), "")</f>
        <v/>
      </c>
    </row>
    <row r="3926">
      <c r="B3926" s="21">
        <f>IF(AND(C3926&lt;&gt;"", J3926&lt;&gt;""), HYPERLINK("#'" &amp; C3926 &amp; "'!" &amp; J3926, J3926), "")</f>
        <v/>
      </c>
    </row>
    <row r="3927">
      <c r="B3927" s="21">
        <f>IF(AND(C3927&lt;&gt;"", J3927&lt;&gt;""), HYPERLINK("#'" &amp; C3927 &amp; "'!" &amp; J3927, J3927), "")</f>
        <v/>
      </c>
    </row>
    <row r="3928">
      <c r="B3928" s="21">
        <f>IF(AND(C3928&lt;&gt;"", J3928&lt;&gt;""), HYPERLINK("#'" &amp; C3928 &amp; "'!" &amp; J3928, J3928), "")</f>
        <v/>
      </c>
    </row>
    <row r="3929">
      <c r="B3929" s="21">
        <f>IF(AND(C3929&lt;&gt;"", J3929&lt;&gt;""), HYPERLINK("#'" &amp; C3929 &amp; "'!" &amp; J3929, J3929), "")</f>
        <v/>
      </c>
    </row>
    <row r="3930">
      <c r="B3930" s="21">
        <f>IF(AND(C3930&lt;&gt;"", J3930&lt;&gt;""), HYPERLINK("#'" &amp; C3930 &amp; "'!" &amp; J3930, J3930), "")</f>
        <v/>
      </c>
    </row>
    <row r="3931">
      <c r="B3931" s="21">
        <f>IF(AND(C3931&lt;&gt;"", J3931&lt;&gt;""), HYPERLINK("#'" &amp; C3931 &amp; "'!" &amp; J3931, J3931), "")</f>
        <v/>
      </c>
    </row>
    <row r="3932">
      <c r="B3932" s="21">
        <f>IF(AND(C3932&lt;&gt;"", J3932&lt;&gt;""), HYPERLINK("#'" &amp; C3932 &amp; "'!" &amp; J3932, J3932), "")</f>
        <v/>
      </c>
    </row>
    <row r="3933">
      <c r="B3933" s="21">
        <f>IF(AND(C3933&lt;&gt;"", J3933&lt;&gt;""), HYPERLINK("#'" &amp; C3933 &amp; "'!" &amp; J3933, J3933), "")</f>
        <v/>
      </c>
    </row>
    <row r="3934">
      <c r="B3934" s="21">
        <f>IF(AND(C3934&lt;&gt;"", J3934&lt;&gt;""), HYPERLINK("#'" &amp; C3934 &amp; "'!" &amp; J3934, J3934), "")</f>
        <v/>
      </c>
    </row>
    <row r="3935">
      <c r="B3935" s="21">
        <f>IF(AND(C3935&lt;&gt;"", J3935&lt;&gt;""), HYPERLINK("#'" &amp; C3935 &amp; "'!" &amp; J3935, J3935), "")</f>
        <v/>
      </c>
    </row>
    <row r="3936">
      <c r="B3936" s="21">
        <f>IF(AND(C3936&lt;&gt;"", J3936&lt;&gt;""), HYPERLINK("#'" &amp; C3936 &amp; "'!" &amp; J3936, J3936), "")</f>
        <v/>
      </c>
    </row>
    <row r="3937">
      <c r="B3937" s="21">
        <f>IF(AND(C3937&lt;&gt;"", J3937&lt;&gt;""), HYPERLINK("#'" &amp; C3937 &amp; "'!" &amp; J3937, J3937), "")</f>
        <v/>
      </c>
    </row>
    <row r="3938">
      <c r="B3938" s="21">
        <f>IF(AND(C3938&lt;&gt;"", J3938&lt;&gt;""), HYPERLINK("#'" &amp; C3938 &amp; "'!" &amp; J3938, J3938), "")</f>
        <v/>
      </c>
    </row>
    <row r="3939">
      <c r="B3939" s="21">
        <f>IF(AND(C3939&lt;&gt;"", J3939&lt;&gt;""), HYPERLINK("#'" &amp; C3939 &amp; "'!" &amp; J3939, J3939), "")</f>
        <v/>
      </c>
    </row>
    <row r="3940">
      <c r="B3940" s="21">
        <f>IF(AND(C3940&lt;&gt;"", J3940&lt;&gt;""), HYPERLINK("#'" &amp; C3940 &amp; "'!" &amp; J3940, J3940), "")</f>
        <v/>
      </c>
    </row>
    <row r="3941">
      <c r="B3941" s="21">
        <f>IF(AND(C3941&lt;&gt;"", J3941&lt;&gt;""), HYPERLINK("#'" &amp; C3941 &amp; "'!" &amp; J3941, J3941), "")</f>
        <v/>
      </c>
    </row>
    <row r="3942">
      <c r="B3942" s="21">
        <f>IF(AND(C3942&lt;&gt;"", J3942&lt;&gt;""), HYPERLINK("#'" &amp; C3942 &amp; "'!" &amp; J3942, J3942), "")</f>
        <v/>
      </c>
    </row>
    <row r="3943">
      <c r="B3943" s="21">
        <f>IF(AND(C3943&lt;&gt;"", J3943&lt;&gt;""), HYPERLINK("#'" &amp; C3943 &amp; "'!" &amp; J3943, J3943), "")</f>
        <v/>
      </c>
    </row>
    <row r="3944">
      <c r="B3944" s="21">
        <f>IF(AND(C3944&lt;&gt;"", J3944&lt;&gt;""), HYPERLINK("#'" &amp; C3944 &amp; "'!" &amp; J3944, J3944), "")</f>
        <v/>
      </c>
    </row>
    <row r="3945">
      <c r="B3945" s="21">
        <f>IF(AND(C3945&lt;&gt;"", J3945&lt;&gt;""), HYPERLINK("#'" &amp; C3945 &amp; "'!" &amp; J3945, J3945), "")</f>
        <v/>
      </c>
    </row>
    <row r="3946">
      <c r="B3946" s="21">
        <f>IF(AND(C3946&lt;&gt;"", J3946&lt;&gt;""), HYPERLINK("#'" &amp; C3946 &amp; "'!" &amp; J3946, J3946), "")</f>
        <v/>
      </c>
    </row>
    <row r="3947">
      <c r="B3947" s="21">
        <f>IF(AND(C3947&lt;&gt;"", J3947&lt;&gt;""), HYPERLINK("#'" &amp; C3947 &amp; "'!" &amp; J3947, J3947), "")</f>
        <v/>
      </c>
    </row>
    <row r="3948">
      <c r="B3948" s="21">
        <f>IF(AND(C3948&lt;&gt;"", J3948&lt;&gt;""), HYPERLINK("#'" &amp; C3948 &amp; "'!" &amp; J3948, J3948), "")</f>
        <v/>
      </c>
    </row>
    <row r="3949">
      <c r="B3949" s="21">
        <f>IF(AND(C3949&lt;&gt;"", J3949&lt;&gt;""), HYPERLINK("#'" &amp; C3949 &amp; "'!" &amp; J3949, J3949), "")</f>
        <v/>
      </c>
    </row>
    <row r="3950">
      <c r="B3950" s="21">
        <f>IF(AND(C3950&lt;&gt;"", J3950&lt;&gt;""), HYPERLINK("#'" &amp; C3950 &amp; "'!" &amp; J3950, J3950), "")</f>
        <v/>
      </c>
    </row>
    <row r="3951">
      <c r="B3951" s="21">
        <f>IF(AND(C3951&lt;&gt;"", J3951&lt;&gt;""), HYPERLINK("#'" &amp; C3951 &amp; "'!" &amp; J3951, J3951), "")</f>
        <v/>
      </c>
    </row>
    <row r="3952">
      <c r="B3952" s="21">
        <f>IF(AND(C3952&lt;&gt;"", J3952&lt;&gt;""), HYPERLINK("#'" &amp; C3952 &amp; "'!" &amp; J3952, J3952), "")</f>
        <v/>
      </c>
    </row>
    <row r="3953">
      <c r="B3953" s="21">
        <f>IF(AND(C3953&lt;&gt;"", J3953&lt;&gt;""), HYPERLINK("#'" &amp; C3953 &amp; "'!" &amp; J3953, J3953), "")</f>
        <v/>
      </c>
    </row>
    <row r="3954">
      <c r="B3954" s="21">
        <f>IF(AND(C3954&lt;&gt;"", J3954&lt;&gt;""), HYPERLINK("#'" &amp; C3954 &amp; "'!" &amp; J3954, J3954), "")</f>
        <v/>
      </c>
    </row>
    <row r="3955">
      <c r="B3955" s="21">
        <f>IF(AND(C3955&lt;&gt;"", J3955&lt;&gt;""), HYPERLINK("#'" &amp; C3955 &amp; "'!" &amp; J3955, J3955), "")</f>
        <v/>
      </c>
    </row>
    <row r="3956">
      <c r="B3956" s="21">
        <f>IF(AND(C3956&lt;&gt;"", J3956&lt;&gt;""), HYPERLINK("#'" &amp; C3956 &amp; "'!" &amp; J3956, J3956), "")</f>
        <v/>
      </c>
    </row>
    <row r="3957">
      <c r="B3957" s="21">
        <f>IF(AND(C3957&lt;&gt;"", J3957&lt;&gt;""), HYPERLINK("#'" &amp; C3957 &amp; "'!" &amp; J3957, J3957), "")</f>
        <v/>
      </c>
    </row>
    <row r="3958">
      <c r="B3958" s="21">
        <f>IF(AND(C3958&lt;&gt;"", J3958&lt;&gt;""), HYPERLINK("#'" &amp; C3958 &amp; "'!" &amp; J3958, J3958), "")</f>
        <v/>
      </c>
    </row>
    <row r="3959">
      <c r="B3959" s="21">
        <f>IF(AND(C3959&lt;&gt;"", J3959&lt;&gt;""), HYPERLINK("#'" &amp; C3959 &amp; "'!" &amp; J3959, J3959), "")</f>
        <v/>
      </c>
    </row>
    <row r="3960">
      <c r="B3960" s="21">
        <f>IF(AND(C3960&lt;&gt;"", J3960&lt;&gt;""), HYPERLINK("#'" &amp; C3960 &amp; "'!" &amp; J3960, J3960), "")</f>
        <v/>
      </c>
    </row>
    <row r="3961">
      <c r="B3961" s="21">
        <f>IF(AND(C3961&lt;&gt;"", J3961&lt;&gt;""), HYPERLINK("#'" &amp; C3961 &amp; "'!" &amp; J3961, J3961), "")</f>
        <v/>
      </c>
    </row>
    <row r="3962">
      <c r="B3962" s="21">
        <f>IF(AND(C3962&lt;&gt;"", J3962&lt;&gt;""), HYPERLINK("#'" &amp; C3962 &amp; "'!" &amp; J3962, J3962), "")</f>
        <v/>
      </c>
    </row>
    <row r="3963">
      <c r="B3963" s="21">
        <f>IF(AND(C3963&lt;&gt;"", J3963&lt;&gt;""), HYPERLINK("#'" &amp; C3963 &amp; "'!" &amp; J3963, J3963), "")</f>
        <v/>
      </c>
    </row>
    <row r="3964">
      <c r="B3964" s="21">
        <f>IF(AND(C3964&lt;&gt;"", J3964&lt;&gt;""), HYPERLINK("#'" &amp; C3964 &amp; "'!" &amp; J3964, J3964), "")</f>
        <v/>
      </c>
    </row>
    <row r="3965">
      <c r="B3965" s="21">
        <f>IF(AND(C3965&lt;&gt;"", J3965&lt;&gt;""), HYPERLINK("#'" &amp; C3965 &amp; "'!" &amp; J3965, J3965), "")</f>
        <v/>
      </c>
    </row>
    <row r="3966">
      <c r="B3966" s="21">
        <f>IF(AND(C3966&lt;&gt;"", J3966&lt;&gt;""), HYPERLINK("#'" &amp; C3966 &amp; "'!" &amp; J3966, J3966), "")</f>
        <v/>
      </c>
    </row>
    <row r="3967">
      <c r="B3967" s="21">
        <f>IF(AND(C3967&lt;&gt;"", J3967&lt;&gt;""), HYPERLINK("#'" &amp; C3967 &amp; "'!" &amp; J3967, J3967), "")</f>
        <v/>
      </c>
    </row>
    <row r="3968">
      <c r="B3968" s="21">
        <f>IF(AND(C3968&lt;&gt;"", J3968&lt;&gt;""), HYPERLINK("#'" &amp; C3968 &amp; "'!" &amp; J3968, J3968), "")</f>
        <v/>
      </c>
    </row>
    <row r="3969">
      <c r="B3969" s="21">
        <f>IF(AND(C3969&lt;&gt;"", J3969&lt;&gt;""), HYPERLINK("#'" &amp; C3969 &amp; "'!" &amp; J3969, J3969), "")</f>
        <v/>
      </c>
    </row>
    <row r="3970">
      <c r="B3970" s="21">
        <f>IF(AND(C3970&lt;&gt;"", J3970&lt;&gt;""), HYPERLINK("#'" &amp; C3970 &amp; "'!" &amp; J3970, J3970), "")</f>
        <v/>
      </c>
    </row>
    <row r="3971">
      <c r="B3971" s="21">
        <f>IF(AND(C3971&lt;&gt;"", J3971&lt;&gt;""), HYPERLINK("#'" &amp; C3971 &amp; "'!" &amp; J3971, J3971), "")</f>
        <v/>
      </c>
    </row>
    <row r="3972">
      <c r="B3972" s="21">
        <f>IF(AND(C3972&lt;&gt;"", J3972&lt;&gt;""), HYPERLINK("#'" &amp; C3972 &amp; "'!" &amp; J3972, J3972), "")</f>
        <v/>
      </c>
    </row>
    <row r="3973">
      <c r="B3973" s="21">
        <f>IF(AND(C3973&lt;&gt;"", J3973&lt;&gt;""), HYPERLINK("#'" &amp; C3973 &amp; "'!" &amp; J3973, J3973), "")</f>
        <v/>
      </c>
    </row>
    <row r="3974">
      <c r="B3974" s="21">
        <f>IF(AND(C3974&lt;&gt;"", J3974&lt;&gt;""), HYPERLINK("#'" &amp; C3974 &amp; "'!" &amp; J3974, J3974), "")</f>
        <v/>
      </c>
    </row>
    <row r="3975">
      <c r="B3975" s="21">
        <f>IF(AND(C3975&lt;&gt;"", J3975&lt;&gt;""), HYPERLINK("#'" &amp; C3975 &amp; "'!" &amp; J3975, J3975), "")</f>
        <v/>
      </c>
    </row>
    <row r="3976">
      <c r="B3976" s="21">
        <f>IF(AND(C3976&lt;&gt;"", J3976&lt;&gt;""), HYPERLINK("#'" &amp; C3976 &amp; "'!" &amp; J3976, J3976), "")</f>
        <v/>
      </c>
    </row>
    <row r="3977">
      <c r="B3977" s="21">
        <f>IF(AND(C3977&lt;&gt;"", J3977&lt;&gt;""), HYPERLINK("#'" &amp; C3977 &amp; "'!" &amp; J3977, J3977), "")</f>
        <v/>
      </c>
    </row>
    <row r="3978">
      <c r="B3978" s="21">
        <f>IF(AND(C3978&lt;&gt;"", J3978&lt;&gt;""), HYPERLINK("#'" &amp; C3978 &amp; "'!" &amp; J3978, J3978), "")</f>
        <v/>
      </c>
    </row>
    <row r="3979">
      <c r="B3979" s="21">
        <f>IF(AND(C3979&lt;&gt;"", J3979&lt;&gt;""), HYPERLINK("#'" &amp; C3979 &amp; "'!" &amp; J3979, J3979), "")</f>
        <v/>
      </c>
    </row>
    <row r="3980">
      <c r="B3980" s="21">
        <f>IF(AND(C3980&lt;&gt;"", J3980&lt;&gt;""), HYPERLINK("#'" &amp; C3980 &amp; "'!" &amp; J3980, J3980), "")</f>
        <v/>
      </c>
    </row>
    <row r="3981">
      <c r="B3981" s="21">
        <f>IF(AND(C3981&lt;&gt;"", J3981&lt;&gt;""), HYPERLINK("#'" &amp; C3981 &amp; "'!" &amp; J3981, J3981), "")</f>
        <v/>
      </c>
    </row>
    <row r="3982">
      <c r="B3982" s="21">
        <f>IF(AND(C3982&lt;&gt;"", J3982&lt;&gt;""), HYPERLINK("#'" &amp; C3982 &amp; "'!" &amp; J3982, J3982), "")</f>
        <v/>
      </c>
    </row>
    <row r="3983">
      <c r="B3983" s="21">
        <f>IF(AND(C3983&lt;&gt;"", J3983&lt;&gt;""), HYPERLINK("#'" &amp; C3983 &amp; "'!" &amp; J3983, J3983), "")</f>
        <v/>
      </c>
    </row>
    <row r="3984">
      <c r="B3984" s="21">
        <f>IF(AND(C3984&lt;&gt;"", J3984&lt;&gt;""), HYPERLINK("#'" &amp; C3984 &amp; "'!" &amp; J3984, J3984), "")</f>
        <v/>
      </c>
    </row>
    <row r="3985">
      <c r="B3985" s="21">
        <f>IF(AND(C3985&lt;&gt;"", J3985&lt;&gt;""), HYPERLINK("#'" &amp; C3985 &amp; "'!" &amp; J3985, J3985), "")</f>
        <v/>
      </c>
    </row>
    <row r="3986">
      <c r="B3986" s="21">
        <f>IF(AND(C3986&lt;&gt;"", J3986&lt;&gt;""), HYPERLINK("#'" &amp; C3986 &amp; "'!" &amp; J3986, J3986), "")</f>
        <v/>
      </c>
    </row>
    <row r="3987">
      <c r="B3987" s="21">
        <f>IF(AND(C3987&lt;&gt;"", J3987&lt;&gt;""), HYPERLINK("#'" &amp; C3987 &amp; "'!" &amp; J3987, J3987), "")</f>
        <v/>
      </c>
    </row>
    <row r="3988">
      <c r="B3988" s="21">
        <f>IF(AND(C3988&lt;&gt;"", J3988&lt;&gt;""), HYPERLINK("#'" &amp; C3988 &amp; "'!" &amp; J3988, J3988), "")</f>
        <v/>
      </c>
    </row>
    <row r="3989">
      <c r="B3989" s="21">
        <f>IF(AND(C3989&lt;&gt;"", J3989&lt;&gt;""), HYPERLINK("#'" &amp; C3989 &amp; "'!" &amp; J3989, J3989), "")</f>
        <v/>
      </c>
    </row>
    <row r="3990">
      <c r="B3990" s="21">
        <f>IF(AND(C3990&lt;&gt;"", J3990&lt;&gt;""), HYPERLINK("#'" &amp; C3990 &amp; "'!" &amp; J3990, J3990), "")</f>
        <v/>
      </c>
    </row>
    <row r="3991">
      <c r="B3991" s="21">
        <f>IF(AND(C3991&lt;&gt;"", J3991&lt;&gt;""), HYPERLINK("#'" &amp; C3991 &amp; "'!" &amp; J3991, J3991), "")</f>
        <v/>
      </c>
    </row>
    <row r="3992">
      <c r="B3992" s="21">
        <f>IF(AND(C3992&lt;&gt;"", J3992&lt;&gt;""), HYPERLINK("#'" &amp; C3992 &amp; "'!" &amp; J3992, J3992), "")</f>
        <v/>
      </c>
    </row>
    <row r="3993">
      <c r="B3993" s="21">
        <f>IF(AND(C3993&lt;&gt;"", J3993&lt;&gt;""), HYPERLINK("#'" &amp; C3993 &amp; "'!" &amp; J3993, J3993), "")</f>
        <v/>
      </c>
    </row>
    <row r="3994">
      <c r="B3994" s="21">
        <f>IF(AND(C3994&lt;&gt;"", J3994&lt;&gt;""), HYPERLINK("#'" &amp; C3994 &amp; "'!" &amp; J3994, J3994), "")</f>
        <v/>
      </c>
    </row>
    <row r="3995">
      <c r="B3995" s="21">
        <f>IF(AND(C3995&lt;&gt;"", J3995&lt;&gt;""), HYPERLINK("#'" &amp; C3995 &amp; "'!" &amp; J3995, J3995), "")</f>
        <v/>
      </c>
    </row>
    <row r="3996">
      <c r="B3996" s="21">
        <f>IF(AND(C3996&lt;&gt;"", J3996&lt;&gt;""), HYPERLINK("#'" &amp; C3996 &amp; "'!" &amp; J3996, J3996), "")</f>
        <v/>
      </c>
    </row>
    <row r="3997">
      <c r="B3997" s="21">
        <f>IF(AND(C3997&lt;&gt;"", J3997&lt;&gt;""), HYPERLINK("#'" &amp; C3997 &amp; "'!" &amp; J3997, J3997), "")</f>
        <v/>
      </c>
    </row>
    <row r="3998">
      <c r="B3998" s="21">
        <f>IF(AND(C3998&lt;&gt;"", J3998&lt;&gt;""), HYPERLINK("#'" &amp; C3998 &amp; "'!" &amp; J3998, J3998), "")</f>
        <v/>
      </c>
    </row>
    <row r="3999">
      <c r="B3999" s="21">
        <f>IF(AND(C3999&lt;&gt;"", J3999&lt;&gt;""), HYPERLINK("#'" &amp; C3999 &amp; "'!" &amp; J3999, J3999), "")</f>
        <v/>
      </c>
    </row>
    <row r="4000">
      <c r="B4000" s="21">
        <f>IF(AND(C4000&lt;&gt;"", J4000&lt;&gt;""), HYPERLINK("#'" &amp; C4000 &amp; "'!" &amp; J4000, J4000), "")</f>
        <v/>
      </c>
    </row>
    <row r="4001">
      <c r="B4001" s="21">
        <f>IF(AND(C4001&lt;&gt;"", J4001&lt;&gt;""), HYPERLINK("#'" &amp; C4001 &amp; "'!" &amp; J4001, J4001), "")</f>
        <v/>
      </c>
    </row>
    <row r="4002">
      <c r="B4002" s="21">
        <f>IF(AND(C4002&lt;&gt;"", J4002&lt;&gt;""), HYPERLINK("#'" &amp; C4002 &amp; "'!" &amp; J4002, J4002), "")</f>
        <v/>
      </c>
    </row>
    <row r="4003">
      <c r="B4003" s="21">
        <f>IF(AND(C4003&lt;&gt;"", J4003&lt;&gt;""), HYPERLINK("#'" &amp; C4003 &amp; "'!" &amp; J4003, J4003), "")</f>
        <v/>
      </c>
    </row>
    <row r="4004">
      <c r="B4004" s="21">
        <f>IF(AND(C4004&lt;&gt;"", J4004&lt;&gt;""), HYPERLINK("#'" &amp; C4004 &amp; "'!" &amp; J4004, J4004), "")</f>
        <v/>
      </c>
    </row>
    <row r="4005">
      <c r="B4005" s="21">
        <f>IF(AND(C4005&lt;&gt;"", J4005&lt;&gt;""), HYPERLINK("#'" &amp; C4005 &amp; "'!" &amp; J4005, J4005), "")</f>
        <v/>
      </c>
    </row>
    <row r="4006">
      <c r="B4006" s="21">
        <f>IF(AND(C4006&lt;&gt;"", J4006&lt;&gt;""), HYPERLINK("#'" &amp; C4006 &amp; "'!" &amp; J4006, J4006), "")</f>
        <v/>
      </c>
    </row>
    <row r="4007">
      <c r="B4007" s="21">
        <f>IF(AND(C4007&lt;&gt;"", J4007&lt;&gt;""), HYPERLINK("#'" &amp; C4007 &amp; "'!" &amp; J4007, J4007), "")</f>
        <v/>
      </c>
    </row>
    <row r="4008">
      <c r="B4008" s="21">
        <f>IF(AND(C4008&lt;&gt;"", J4008&lt;&gt;""), HYPERLINK("#'" &amp; C4008 &amp; "'!" &amp; J4008, J4008), "")</f>
        <v/>
      </c>
    </row>
    <row r="4009">
      <c r="B4009" s="21">
        <f>IF(AND(C4009&lt;&gt;"", J4009&lt;&gt;""), HYPERLINK("#'" &amp; C4009 &amp; "'!" &amp; J4009, J4009), "")</f>
        <v/>
      </c>
    </row>
    <row r="4010">
      <c r="B4010" s="21">
        <f>IF(AND(C4010&lt;&gt;"", J4010&lt;&gt;""), HYPERLINK("#'" &amp; C4010 &amp; "'!" &amp; J4010, J4010), "")</f>
        <v/>
      </c>
    </row>
    <row r="4011">
      <c r="B4011" s="21">
        <f>IF(AND(C4011&lt;&gt;"", J4011&lt;&gt;""), HYPERLINK("#'" &amp; C4011 &amp; "'!" &amp; J4011, J4011), "")</f>
        <v/>
      </c>
    </row>
    <row r="4012">
      <c r="B4012" s="21">
        <f>IF(AND(C4012&lt;&gt;"", J4012&lt;&gt;""), HYPERLINK("#'" &amp; C4012 &amp; "'!" &amp; J4012, J4012), "")</f>
        <v/>
      </c>
    </row>
    <row r="4013">
      <c r="B4013" s="21">
        <f>IF(AND(C4013&lt;&gt;"", J4013&lt;&gt;""), HYPERLINK("#'" &amp; C4013 &amp; "'!" &amp; J4013, J4013), "")</f>
        <v/>
      </c>
    </row>
    <row r="4014">
      <c r="B4014" s="21">
        <f>IF(AND(C4014&lt;&gt;"", J4014&lt;&gt;""), HYPERLINK("#'" &amp; C4014 &amp; "'!" &amp; J4014, J4014), "")</f>
        <v/>
      </c>
    </row>
    <row r="4015">
      <c r="B4015" s="21">
        <f>IF(AND(C4015&lt;&gt;"", J4015&lt;&gt;""), HYPERLINK("#'" &amp; C4015 &amp; "'!" &amp; J4015, J4015), "")</f>
        <v/>
      </c>
    </row>
    <row r="4016">
      <c r="B4016" s="21">
        <f>IF(AND(C4016&lt;&gt;"", J4016&lt;&gt;""), HYPERLINK("#'" &amp; C4016 &amp; "'!" &amp; J4016, J4016), "")</f>
        <v/>
      </c>
    </row>
    <row r="4017">
      <c r="B4017" s="21">
        <f>IF(AND(C4017&lt;&gt;"", J4017&lt;&gt;""), HYPERLINK("#'" &amp; C4017 &amp; "'!" &amp; J4017, J4017), "")</f>
        <v/>
      </c>
    </row>
    <row r="4018">
      <c r="B4018" s="21">
        <f>IF(AND(C4018&lt;&gt;"", J4018&lt;&gt;""), HYPERLINK("#'" &amp; C4018 &amp; "'!" &amp; J4018, J4018), "")</f>
        <v/>
      </c>
    </row>
    <row r="4019">
      <c r="B4019" s="21">
        <f>IF(AND(C4019&lt;&gt;"", J4019&lt;&gt;""), HYPERLINK("#'" &amp; C4019 &amp; "'!" &amp; J4019, J4019), "")</f>
        <v/>
      </c>
    </row>
    <row r="4020">
      <c r="B4020" s="21">
        <f>IF(AND(C4020&lt;&gt;"", J4020&lt;&gt;""), HYPERLINK("#'" &amp; C4020 &amp; "'!" &amp; J4020, J4020), "")</f>
        <v/>
      </c>
    </row>
    <row r="4021">
      <c r="B4021" s="21">
        <f>IF(AND(C4021&lt;&gt;"", J4021&lt;&gt;""), HYPERLINK("#'" &amp; C4021 &amp; "'!" &amp; J4021, J4021), "")</f>
        <v/>
      </c>
    </row>
    <row r="4022">
      <c r="B4022" s="21">
        <f>IF(AND(C4022&lt;&gt;"", J4022&lt;&gt;""), HYPERLINK("#'" &amp; C4022 &amp; "'!" &amp; J4022, J4022), "")</f>
        <v/>
      </c>
    </row>
    <row r="4023">
      <c r="B4023" s="21">
        <f>IF(AND(C4023&lt;&gt;"", J4023&lt;&gt;""), HYPERLINK("#'" &amp; C4023 &amp; "'!" &amp; J4023, J4023), "")</f>
        <v/>
      </c>
    </row>
    <row r="4024">
      <c r="B4024" s="21">
        <f>IF(AND(C4024&lt;&gt;"", J4024&lt;&gt;""), HYPERLINK("#'" &amp; C4024 &amp; "'!" &amp; J4024, J4024), "")</f>
        <v/>
      </c>
    </row>
    <row r="4025">
      <c r="B4025" s="21">
        <f>IF(AND(C4025&lt;&gt;"", J4025&lt;&gt;""), HYPERLINK("#'" &amp; C4025 &amp; "'!" &amp; J4025, J4025), "")</f>
        <v/>
      </c>
    </row>
    <row r="4026">
      <c r="B4026" s="21">
        <f>IF(AND(C4026&lt;&gt;"", J4026&lt;&gt;""), HYPERLINK("#'" &amp; C4026 &amp; "'!" &amp; J4026, J4026), "")</f>
        <v/>
      </c>
    </row>
    <row r="4027">
      <c r="B4027" s="21">
        <f>IF(AND(C4027&lt;&gt;"", J4027&lt;&gt;""), HYPERLINK("#'" &amp; C4027 &amp; "'!" &amp; J4027, J4027), "")</f>
        <v/>
      </c>
    </row>
    <row r="4028">
      <c r="B4028" s="21">
        <f>IF(AND(C4028&lt;&gt;"", J4028&lt;&gt;""), HYPERLINK("#'" &amp; C4028 &amp; "'!" &amp; J4028, J4028), "")</f>
        <v/>
      </c>
    </row>
    <row r="4029">
      <c r="B4029" s="21">
        <f>IF(AND(C4029&lt;&gt;"", J4029&lt;&gt;""), HYPERLINK("#'" &amp; C4029 &amp; "'!" &amp; J4029, J4029), "")</f>
        <v/>
      </c>
    </row>
    <row r="4030">
      <c r="B4030" s="21">
        <f>IF(AND(C4030&lt;&gt;"", J4030&lt;&gt;""), HYPERLINK("#'" &amp; C4030 &amp; "'!" &amp; J4030, J4030), "")</f>
        <v/>
      </c>
    </row>
    <row r="4031">
      <c r="B4031" s="21">
        <f>IF(AND(C4031&lt;&gt;"", J4031&lt;&gt;""), HYPERLINK("#'" &amp; C4031 &amp; "'!" &amp; J4031, J4031), "")</f>
        <v/>
      </c>
    </row>
    <row r="4032">
      <c r="B4032" s="21">
        <f>IF(AND(C4032&lt;&gt;"", J4032&lt;&gt;""), HYPERLINK("#'" &amp; C4032 &amp; "'!" &amp; J4032, J4032), "")</f>
        <v/>
      </c>
    </row>
    <row r="4033">
      <c r="B4033" s="21">
        <f>IF(AND(C4033&lt;&gt;"", J4033&lt;&gt;""), HYPERLINK("#'" &amp; C4033 &amp; "'!" &amp; J4033, J4033), "")</f>
        <v/>
      </c>
    </row>
    <row r="4034">
      <c r="B4034" s="21">
        <f>IF(AND(C4034&lt;&gt;"", J4034&lt;&gt;""), HYPERLINK("#'" &amp; C4034 &amp; "'!" &amp; J4034, J4034), "")</f>
        <v/>
      </c>
    </row>
    <row r="4035">
      <c r="B4035" s="21">
        <f>IF(AND(C4035&lt;&gt;"", J4035&lt;&gt;""), HYPERLINK("#'" &amp; C4035 &amp; "'!" &amp; J4035, J4035), "")</f>
        <v/>
      </c>
    </row>
    <row r="4036">
      <c r="B4036" s="21">
        <f>IF(AND(C4036&lt;&gt;"", J4036&lt;&gt;""), HYPERLINK("#'" &amp; C4036 &amp; "'!" &amp; J4036, J4036), "")</f>
        <v/>
      </c>
    </row>
    <row r="4037">
      <c r="B4037" s="21">
        <f>IF(AND(C4037&lt;&gt;"", J4037&lt;&gt;""), HYPERLINK("#'" &amp; C4037 &amp; "'!" &amp; J4037, J4037), "")</f>
        <v/>
      </c>
    </row>
    <row r="4038">
      <c r="B4038" s="21">
        <f>IF(AND(C4038&lt;&gt;"", J4038&lt;&gt;""), HYPERLINK("#'" &amp; C4038 &amp; "'!" &amp; J4038, J4038), "")</f>
        <v/>
      </c>
    </row>
    <row r="4039">
      <c r="B4039" s="21">
        <f>IF(AND(C4039&lt;&gt;"", J4039&lt;&gt;""), HYPERLINK("#'" &amp; C4039 &amp; "'!" &amp; J4039, J4039), "")</f>
        <v/>
      </c>
    </row>
    <row r="4040">
      <c r="B4040" s="21">
        <f>IF(AND(C4040&lt;&gt;"", J4040&lt;&gt;""), HYPERLINK("#'" &amp; C4040 &amp; "'!" &amp; J4040, J4040), "")</f>
        <v/>
      </c>
    </row>
    <row r="4041">
      <c r="B4041" s="21">
        <f>IF(AND(C4041&lt;&gt;"", J4041&lt;&gt;""), HYPERLINK("#'" &amp; C4041 &amp; "'!" &amp; J4041, J4041), "")</f>
        <v/>
      </c>
    </row>
    <row r="4042">
      <c r="B4042" s="21">
        <f>IF(AND(C4042&lt;&gt;"", J4042&lt;&gt;""), HYPERLINK("#'" &amp; C4042 &amp; "'!" &amp; J4042, J4042), "")</f>
        <v/>
      </c>
    </row>
    <row r="4043">
      <c r="B4043" s="21">
        <f>IF(AND(C4043&lt;&gt;"", J4043&lt;&gt;""), HYPERLINK("#'" &amp; C4043 &amp; "'!" &amp; J4043, J4043), "")</f>
        <v/>
      </c>
    </row>
    <row r="4044">
      <c r="B4044" s="21">
        <f>IF(AND(C4044&lt;&gt;"", J4044&lt;&gt;""), HYPERLINK("#'" &amp; C4044 &amp; "'!" &amp; J4044, J4044), "")</f>
        <v/>
      </c>
    </row>
    <row r="4045">
      <c r="B4045" s="21">
        <f>IF(AND(C4045&lt;&gt;"", J4045&lt;&gt;""), HYPERLINK("#'" &amp; C4045 &amp; "'!" &amp; J4045, J4045), "")</f>
        <v/>
      </c>
    </row>
    <row r="4046">
      <c r="B4046" s="21">
        <f>IF(AND(C4046&lt;&gt;"", J4046&lt;&gt;""), HYPERLINK("#'" &amp; C4046 &amp; "'!" &amp; J4046, J4046), "")</f>
        <v/>
      </c>
    </row>
    <row r="4047">
      <c r="B4047" s="21">
        <f>IF(AND(C4047&lt;&gt;"", J4047&lt;&gt;""), HYPERLINK("#'" &amp; C4047 &amp; "'!" &amp; J4047, J4047), "")</f>
        <v/>
      </c>
    </row>
    <row r="4048">
      <c r="B4048" s="21">
        <f>IF(AND(C4048&lt;&gt;"", J4048&lt;&gt;""), HYPERLINK("#'" &amp; C4048 &amp; "'!" &amp; J4048, J4048), "")</f>
        <v/>
      </c>
    </row>
    <row r="4049">
      <c r="B4049" s="21">
        <f>IF(AND(C4049&lt;&gt;"", J4049&lt;&gt;""), HYPERLINK("#'" &amp; C4049 &amp; "'!" &amp; J4049, J4049), "")</f>
        <v/>
      </c>
    </row>
    <row r="4050">
      <c r="B4050" s="21">
        <f>IF(AND(C4050&lt;&gt;"", J4050&lt;&gt;""), HYPERLINK("#'" &amp; C4050 &amp; "'!" &amp; J4050, J4050), "")</f>
        <v/>
      </c>
    </row>
    <row r="4051">
      <c r="B4051" s="21">
        <f>IF(AND(C4051&lt;&gt;"", J4051&lt;&gt;""), HYPERLINK("#'" &amp; C4051 &amp; "'!" &amp; J4051, J4051), "")</f>
        <v/>
      </c>
    </row>
    <row r="4052">
      <c r="B4052" s="21">
        <f>IF(AND(C4052&lt;&gt;"", J4052&lt;&gt;""), HYPERLINK("#'" &amp; C4052 &amp; "'!" &amp; J4052, J4052), "")</f>
        <v/>
      </c>
    </row>
    <row r="4053">
      <c r="B4053" s="21">
        <f>IF(AND(C4053&lt;&gt;"", J4053&lt;&gt;""), HYPERLINK("#'" &amp; C4053 &amp; "'!" &amp; J4053, J4053), "")</f>
        <v/>
      </c>
    </row>
    <row r="4054">
      <c r="B4054" s="21">
        <f>IF(AND(C4054&lt;&gt;"", J4054&lt;&gt;""), HYPERLINK("#'" &amp; C4054 &amp; "'!" &amp; J4054, J4054), "")</f>
        <v/>
      </c>
    </row>
    <row r="4055">
      <c r="B4055" s="21">
        <f>IF(AND(C4055&lt;&gt;"", J4055&lt;&gt;""), HYPERLINK("#'" &amp; C4055 &amp; "'!" &amp; J4055, J4055), "")</f>
        <v/>
      </c>
    </row>
    <row r="4056">
      <c r="B4056" s="21">
        <f>IF(AND(C4056&lt;&gt;"", J4056&lt;&gt;""), HYPERLINK("#'" &amp; C4056 &amp; "'!" &amp; J4056, J4056), "")</f>
        <v/>
      </c>
    </row>
    <row r="4057">
      <c r="B4057" s="21">
        <f>IF(AND(C4057&lt;&gt;"", J4057&lt;&gt;""), HYPERLINK("#'" &amp; C4057 &amp; "'!" &amp; J4057, J4057), "")</f>
        <v/>
      </c>
    </row>
    <row r="4058">
      <c r="B4058" s="21">
        <f>IF(AND(C4058&lt;&gt;"", J4058&lt;&gt;""), HYPERLINK("#'" &amp; C4058 &amp; "'!" &amp; J4058, J4058), "")</f>
        <v/>
      </c>
    </row>
    <row r="4059">
      <c r="B4059" s="21">
        <f>IF(AND(C4059&lt;&gt;"", J4059&lt;&gt;""), HYPERLINK("#'" &amp; C4059 &amp; "'!" &amp; J4059, J4059), "")</f>
        <v/>
      </c>
    </row>
    <row r="4060">
      <c r="B4060" s="21">
        <f>IF(AND(C4060&lt;&gt;"", J4060&lt;&gt;""), HYPERLINK("#'" &amp; C4060 &amp; "'!" &amp; J4060, J4060), "")</f>
        <v/>
      </c>
    </row>
    <row r="4061">
      <c r="B4061" s="21">
        <f>IF(AND(C4061&lt;&gt;"", J4061&lt;&gt;""), HYPERLINK("#'" &amp; C4061 &amp; "'!" &amp; J4061, J4061), "")</f>
        <v/>
      </c>
    </row>
    <row r="4062">
      <c r="B4062" s="21">
        <f>IF(AND(C4062&lt;&gt;"", J4062&lt;&gt;""), HYPERLINK("#'" &amp; C4062 &amp; "'!" &amp; J4062, J4062), "")</f>
        <v/>
      </c>
    </row>
    <row r="4063">
      <c r="B4063" s="21">
        <f>IF(AND(C4063&lt;&gt;"", J4063&lt;&gt;""), HYPERLINK("#'" &amp; C4063 &amp; "'!" &amp; J4063, J4063), "")</f>
        <v/>
      </c>
    </row>
    <row r="4064">
      <c r="B4064" s="21">
        <f>IF(AND(C4064&lt;&gt;"", J4064&lt;&gt;""), HYPERLINK("#'" &amp; C4064 &amp; "'!" &amp; J4064, J4064), "")</f>
        <v/>
      </c>
    </row>
    <row r="4065">
      <c r="B4065" s="21">
        <f>IF(AND(C4065&lt;&gt;"", J4065&lt;&gt;""), HYPERLINK("#'" &amp; C4065 &amp; "'!" &amp; J4065, J4065), "")</f>
        <v/>
      </c>
    </row>
    <row r="4066">
      <c r="B4066" s="21">
        <f>IF(AND(C4066&lt;&gt;"", J4066&lt;&gt;""), HYPERLINK("#'" &amp; C4066 &amp; "'!" &amp; J4066, J4066), "")</f>
        <v/>
      </c>
    </row>
    <row r="4067">
      <c r="B4067" s="21">
        <f>IF(AND(C4067&lt;&gt;"", J4067&lt;&gt;""), HYPERLINK("#'" &amp; C4067 &amp; "'!" &amp; J4067, J4067), "")</f>
        <v/>
      </c>
    </row>
    <row r="4068">
      <c r="B4068" s="21">
        <f>IF(AND(C4068&lt;&gt;"", J4068&lt;&gt;""), HYPERLINK("#'" &amp; C4068 &amp; "'!" &amp; J4068, J4068), "")</f>
        <v/>
      </c>
    </row>
    <row r="4069">
      <c r="B4069" s="21">
        <f>IF(AND(C4069&lt;&gt;"", J4069&lt;&gt;""), HYPERLINK("#'" &amp; C4069 &amp; "'!" &amp; J4069, J4069), "")</f>
        <v/>
      </c>
    </row>
    <row r="4070">
      <c r="B4070" s="21">
        <f>IF(AND(C4070&lt;&gt;"", J4070&lt;&gt;""), HYPERLINK("#'" &amp; C4070 &amp; "'!" &amp; J4070, J4070), "")</f>
        <v/>
      </c>
    </row>
    <row r="4071">
      <c r="B4071" s="21">
        <f>IF(AND(C4071&lt;&gt;"", J4071&lt;&gt;""), HYPERLINK("#'" &amp; C4071 &amp; "'!" &amp; J4071, J4071), "")</f>
        <v/>
      </c>
    </row>
    <row r="4072">
      <c r="B4072" s="21">
        <f>IF(AND(C4072&lt;&gt;"", J4072&lt;&gt;""), HYPERLINK("#'" &amp; C4072 &amp; "'!" &amp; J4072, J4072), "")</f>
        <v/>
      </c>
    </row>
    <row r="4073">
      <c r="B4073" s="21">
        <f>IF(AND(C4073&lt;&gt;"", J4073&lt;&gt;""), HYPERLINK("#'" &amp; C4073 &amp; "'!" &amp; J4073, J4073), "")</f>
        <v/>
      </c>
    </row>
    <row r="4074">
      <c r="B4074" s="21">
        <f>IF(AND(C4074&lt;&gt;"", J4074&lt;&gt;""), HYPERLINK("#'" &amp; C4074 &amp; "'!" &amp; J4074, J4074), "")</f>
        <v/>
      </c>
    </row>
    <row r="4075">
      <c r="B4075" s="21">
        <f>IF(AND(C4075&lt;&gt;"", J4075&lt;&gt;""), HYPERLINK("#'" &amp; C4075 &amp; "'!" &amp; J4075, J4075), "")</f>
        <v/>
      </c>
    </row>
    <row r="4076">
      <c r="B4076" s="21">
        <f>IF(AND(C4076&lt;&gt;"", J4076&lt;&gt;""), HYPERLINK("#'" &amp; C4076 &amp; "'!" &amp; J4076, J4076), "")</f>
        <v/>
      </c>
    </row>
    <row r="4077">
      <c r="B4077" s="21">
        <f>IF(AND(C4077&lt;&gt;"", J4077&lt;&gt;""), HYPERLINK("#'" &amp; C4077 &amp; "'!" &amp; J4077, J4077), "")</f>
        <v/>
      </c>
    </row>
    <row r="4078">
      <c r="B4078" s="21">
        <f>IF(AND(C4078&lt;&gt;"", J4078&lt;&gt;""), HYPERLINK("#'" &amp; C4078 &amp; "'!" &amp; J4078, J4078), "")</f>
        <v/>
      </c>
    </row>
    <row r="4079">
      <c r="B4079" s="21">
        <f>IF(AND(C4079&lt;&gt;"", J4079&lt;&gt;""), HYPERLINK("#'" &amp; C4079 &amp; "'!" &amp; J4079, J4079), "")</f>
        <v/>
      </c>
    </row>
    <row r="4080">
      <c r="B4080" s="21">
        <f>IF(AND(C4080&lt;&gt;"", J4080&lt;&gt;""), HYPERLINK("#'" &amp; C4080 &amp; "'!" &amp; J4080, J4080), "")</f>
        <v/>
      </c>
    </row>
    <row r="4081">
      <c r="B4081" s="21">
        <f>IF(AND(C4081&lt;&gt;"", J4081&lt;&gt;""), HYPERLINK("#'" &amp; C4081 &amp; "'!" &amp; J4081, J4081), "")</f>
        <v/>
      </c>
    </row>
    <row r="4082">
      <c r="B4082" s="21">
        <f>IF(AND(C4082&lt;&gt;"", J4082&lt;&gt;""), HYPERLINK("#'" &amp; C4082 &amp; "'!" &amp; J4082, J4082), "")</f>
        <v/>
      </c>
    </row>
    <row r="4083">
      <c r="B4083" s="21">
        <f>IF(AND(C4083&lt;&gt;"", J4083&lt;&gt;""), HYPERLINK("#'" &amp; C4083 &amp; "'!" &amp; J4083, J4083), "")</f>
        <v/>
      </c>
    </row>
    <row r="4084">
      <c r="B4084" s="21">
        <f>IF(AND(C4084&lt;&gt;"", J4084&lt;&gt;""), HYPERLINK("#'" &amp; C4084 &amp; "'!" &amp; J4084, J4084), "")</f>
        <v/>
      </c>
    </row>
    <row r="4085">
      <c r="B4085" s="21">
        <f>IF(AND(C4085&lt;&gt;"", J4085&lt;&gt;""), HYPERLINK("#'" &amp; C4085 &amp; "'!" &amp; J4085, J4085), "")</f>
        <v/>
      </c>
    </row>
    <row r="4086">
      <c r="B4086" s="21">
        <f>IF(AND(C4086&lt;&gt;"", J4086&lt;&gt;""), HYPERLINK("#'" &amp; C4086 &amp; "'!" &amp; J4086, J4086), "")</f>
        <v/>
      </c>
    </row>
    <row r="4087">
      <c r="B4087" s="21">
        <f>IF(AND(C4087&lt;&gt;"", J4087&lt;&gt;""), HYPERLINK("#'" &amp; C4087 &amp; "'!" &amp; J4087, J4087), "")</f>
        <v/>
      </c>
    </row>
    <row r="4088">
      <c r="B4088" s="21">
        <f>IF(AND(C4088&lt;&gt;"", J4088&lt;&gt;""), HYPERLINK("#'" &amp; C4088 &amp; "'!" &amp; J4088, J4088), "")</f>
        <v/>
      </c>
    </row>
    <row r="4089">
      <c r="B4089" s="21">
        <f>IF(AND(C4089&lt;&gt;"", J4089&lt;&gt;""), HYPERLINK("#'" &amp; C4089 &amp; "'!" &amp; J4089, J4089), "")</f>
        <v/>
      </c>
    </row>
    <row r="4090">
      <c r="B4090" s="21">
        <f>IF(AND(C4090&lt;&gt;"", J4090&lt;&gt;""), HYPERLINK("#'" &amp; C4090 &amp; "'!" &amp; J4090, J4090), "")</f>
        <v/>
      </c>
    </row>
    <row r="4091">
      <c r="B4091" s="21">
        <f>IF(AND(C4091&lt;&gt;"", J4091&lt;&gt;""), HYPERLINK("#'" &amp; C4091 &amp; "'!" &amp; J4091, J4091), "")</f>
        <v/>
      </c>
    </row>
    <row r="4092">
      <c r="B4092" s="21">
        <f>IF(AND(C4092&lt;&gt;"", J4092&lt;&gt;""), HYPERLINK("#'" &amp; C4092 &amp; "'!" &amp; J4092, J4092), "")</f>
        <v/>
      </c>
    </row>
    <row r="4093">
      <c r="B4093" s="21">
        <f>IF(AND(C4093&lt;&gt;"", J4093&lt;&gt;""), HYPERLINK("#'" &amp; C4093 &amp; "'!" &amp; J4093, J4093), "")</f>
        <v/>
      </c>
    </row>
    <row r="4094">
      <c r="B4094" s="21">
        <f>IF(AND(C4094&lt;&gt;"", J4094&lt;&gt;""), HYPERLINK("#'" &amp; C4094 &amp; "'!" &amp; J4094, J4094), "")</f>
        <v/>
      </c>
    </row>
    <row r="4095">
      <c r="B4095" s="21">
        <f>IF(AND(C4095&lt;&gt;"", J4095&lt;&gt;""), HYPERLINK("#'" &amp; C4095 &amp; "'!" &amp; J4095, J4095), "")</f>
        <v/>
      </c>
    </row>
    <row r="4096">
      <c r="B4096" s="21">
        <f>IF(AND(C4096&lt;&gt;"", J4096&lt;&gt;""), HYPERLINK("#'" &amp; C4096 &amp; "'!" &amp; J4096, J4096), "")</f>
        <v/>
      </c>
    </row>
    <row r="4097">
      <c r="B4097" s="21">
        <f>IF(AND(C4097&lt;&gt;"", J4097&lt;&gt;""), HYPERLINK("#'" &amp; C4097 &amp; "'!" &amp; J4097, J4097), "")</f>
        <v/>
      </c>
    </row>
    <row r="4098">
      <c r="B4098" s="21">
        <f>IF(AND(C4098&lt;&gt;"", J4098&lt;&gt;""), HYPERLINK("#'" &amp; C4098 &amp; "'!" &amp; J4098, J4098), "")</f>
        <v/>
      </c>
    </row>
    <row r="4099">
      <c r="B4099" s="21">
        <f>IF(AND(C4099&lt;&gt;"", J4099&lt;&gt;""), HYPERLINK("#'" &amp; C4099 &amp; "'!" &amp; J4099, J4099), "")</f>
        <v/>
      </c>
    </row>
    <row r="4100">
      <c r="B4100" s="21">
        <f>IF(AND(C4100&lt;&gt;"", J4100&lt;&gt;""), HYPERLINK("#'" &amp; C4100 &amp; "'!" &amp; J4100, J4100), "")</f>
        <v/>
      </c>
    </row>
    <row r="4101">
      <c r="B4101" s="21">
        <f>IF(AND(C4101&lt;&gt;"", J4101&lt;&gt;""), HYPERLINK("#'" &amp; C4101 &amp; "'!" &amp; J4101, J4101), "")</f>
        <v/>
      </c>
    </row>
    <row r="4102">
      <c r="B4102" s="21">
        <f>IF(AND(C4102&lt;&gt;"", J4102&lt;&gt;""), HYPERLINK("#'" &amp; C4102 &amp; "'!" &amp; J4102, J4102), "")</f>
        <v/>
      </c>
    </row>
    <row r="4103">
      <c r="B4103" s="21">
        <f>IF(AND(C4103&lt;&gt;"", J4103&lt;&gt;""), HYPERLINK("#'" &amp; C4103 &amp; "'!" &amp; J4103, J4103), "")</f>
        <v/>
      </c>
    </row>
    <row r="4104">
      <c r="B4104" s="21">
        <f>IF(AND(C4104&lt;&gt;"", J4104&lt;&gt;""), HYPERLINK("#'" &amp; C4104 &amp; "'!" &amp; J4104, J4104), "")</f>
        <v/>
      </c>
    </row>
    <row r="4105">
      <c r="B4105" s="21">
        <f>IF(AND(C4105&lt;&gt;"", J4105&lt;&gt;""), HYPERLINK("#'" &amp; C4105 &amp; "'!" &amp; J4105, J4105), "")</f>
        <v/>
      </c>
    </row>
    <row r="4106">
      <c r="B4106" s="21">
        <f>IF(AND(C4106&lt;&gt;"", J4106&lt;&gt;""), HYPERLINK("#'" &amp; C4106 &amp; "'!" &amp; J4106, J4106), "")</f>
        <v/>
      </c>
    </row>
    <row r="4107">
      <c r="B4107" s="21">
        <f>IF(AND(C4107&lt;&gt;"", J4107&lt;&gt;""), HYPERLINK("#'" &amp; C4107 &amp; "'!" &amp; J4107, J4107), "")</f>
        <v/>
      </c>
    </row>
    <row r="4108">
      <c r="B4108" s="21">
        <f>IF(AND(C4108&lt;&gt;"", J4108&lt;&gt;""), HYPERLINK("#'" &amp; C4108 &amp; "'!" &amp; J4108, J4108), "")</f>
        <v/>
      </c>
    </row>
    <row r="4109">
      <c r="B4109" s="21">
        <f>IF(AND(C4109&lt;&gt;"", J4109&lt;&gt;""), HYPERLINK("#'" &amp; C4109 &amp; "'!" &amp; J4109, J4109), "")</f>
        <v/>
      </c>
    </row>
    <row r="4110">
      <c r="B4110" s="21">
        <f>IF(AND(C4110&lt;&gt;"", J4110&lt;&gt;""), HYPERLINK("#'" &amp; C4110 &amp; "'!" &amp; J4110, J4110), "")</f>
        <v/>
      </c>
    </row>
    <row r="4111">
      <c r="B4111" s="21">
        <f>IF(AND(C4111&lt;&gt;"", J4111&lt;&gt;""), HYPERLINK("#'" &amp; C4111 &amp; "'!" &amp; J4111, J4111), "")</f>
        <v/>
      </c>
    </row>
    <row r="4112">
      <c r="B4112" s="21">
        <f>IF(AND(C4112&lt;&gt;"", J4112&lt;&gt;""), HYPERLINK("#'" &amp; C4112 &amp; "'!" &amp; J4112, J4112), "")</f>
        <v/>
      </c>
    </row>
    <row r="4113">
      <c r="B4113" s="21">
        <f>IF(AND(C4113&lt;&gt;"", J4113&lt;&gt;""), HYPERLINK("#'" &amp; C4113 &amp; "'!" &amp; J4113, J4113), "")</f>
        <v/>
      </c>
    </row>
    <row r="4114">
      <c r="B4114" s="21">
        <f>IF(AND(C4114&lt;&gt;"", J4114&lt;&gt;""), HYPERLINK("#'" &amp; C4114 &amp; "'!" &amp; J4114, J4114), "")</f>
        <v/>
      </c>
    </row>
    <row r="4115">
      <c r="B4115" s="21">
        <f>IF(AND(C4115&lt;&gt;"", J4115&lt;&gt;""), HYPERLINK("#'" &amp; C4115 &amp; "'!" &amp; J4115, J4115), "")</f>
        <v/>
      </c>
    </row>
    <row r="4116">
      <c r="B4116" s="21">
        <f>IF(AND(C4116&lt;&gt;"", J4116&lt;&gt;""), HYPERLINK("#'" &amp; C4116 &amp; "'!" &amp; J4116, J4116), "")</f>
        <v/>
      </c>
    </row>
    <row r="4117">
      <c r="B4117" s="21">
        <f>IF(AND(C4117&lt;&gt;"", J4117&lt;&gt;""), HYPERLINK("#'" &amp; C4117 &amp; "'!" &amp; J4117, J4117), "")</f>
        <v/>
      </c>
    </row>
    <row r="4118">
      <c r="B4118" s="21">
        <f>IF(AND(C4118&lt;&gt;"", J4118&lt;&gt;""), HYPERLINK("#'" &amp; C4118 &amp; "'!" &amp; J4118, J4118), "")</f>
        <v/>
      </c>
    </row>
    <row r="4119">
      <c r="B4119" s="21">
        <f>IF(AND(C4119&lt;&gt;"", J4119&lt;&gt;""), HYPERLINK("#'" &amp; C4119 &amp; "'!" &amp; J4119, J4119), "")</f>
        <v/>
      </c>
    </row>
    <row r="4120">
      <c r="B4120" s="21">
        <f>IF(AND(C4120&lt;&gt;"", J4120&lt;&gt;""), HYPERLINK("#'" &amp; C4120 &amp; "'!" &amp; J4120, J4120), "")</f>
        <v/>
      </c>
    </row>
    <row r="4121">
      <c r="B4121" s="21">
        <f>IF(AND(C4121&lt;&gt;"", J4121&lt;&gt;""), HYPERLINK("#'" &amp; C4121 &amp; "'!" &amp; J4121, J4121), "")</f>
        <v/>
      </c>
    </row>
    <row r="4122">
      <c r="B4122" s="21">
        <f>IF(AND(C4122&lt;&gt;"", J4122&lt;&gt;""), HYPERLINK("#'" &amp; C4122 &amp; "'!" &amp; J4122, J4122), "")</f>
        <v/>
      </c>
    </row>
    <row r="4123">
      <c r="B4123" s="21">
        <f>IF(AND(C4123&lt;&gt;"", J4123&lt;&gt;""), HYPERLINK("#'" &amp; C4123 &amp; "'!" &amp; J4123, J4123), "")</f>
        <v/>
      </c>
    </row>
    <row r="4124">
      <c r="B4124" s="21">
        <f>IF(AND(C4124&lt;&gt;"", J4124&lt;&gt;""), HYPERLINK("#'" &amp; C4124 &amp; "'!" &amp; J4124, J4124), "")</f>
        <v/>
      </c>
    </row>
    <row r="4125">
      <c r="B4125" s="21">
        <f>IF(AND(C4125&lt;&gt;"", J4125&lt;&gt;""), HYPERLINK("#'" &amp; C4125 &amp; "'!" &amp; J4125, J4125), "")</f>
        <v/>
      </c>
    </row>
    <row r="4126">
      <c r="B4126" s="21">
        <f>IF(AND(C4126&lt;&gt;"", J4126&lt;&gt;""), HYPERLINK("#'" &amp; C4126 &amp; "'!" &amp; J4126, J4126), "")</f>
        <v/>
      </c>
    </row>
    <row r="4127">
      <c r="B4127" s="21">
        <f>IF(AND(C4127&lt;&gt;"", J4127&lt;&gt;""), HYPERLINK("#'" &amp; C4127 &amp; "'!" &amp; J4127, J4127), "")</f>
        <v/>
      </c>
    </row>
    <row r="4128">
      <c r="B4128" s="21">
        <f>IF(AND(C4128&lt;&gt;"", J4128&lt;&gt;""), HYPERLINK("#'" &amp; C4128 &amp; "'!" &amp; J4128, J4128), "")</f>
        <v/>
      </c>
    </row>
    <row r="4129">
      <c r="B4129" s="21">
        <f>IF(AND(C4129&lt;&gt;"", J4129&lt;&gt;""), HYPERLINK("#'" &amp; C4129 &amp; "'!" &amp; J4129, J4129), "")</f>
        <v/>
      </c>
    </row>
    <row r="4130">
      <c r="B4130" s="21">
        <f>IF(AND(C4130&lt;&gt;"", J4130&lt;&gt;""), HYPERLINK("#'" &amp; C4130 &amp; "'!" &amp; J4130, J4130), "")</f>
        <v/>
      </c>
    </row>
    <row r="4131">
      <c r="B4131" s="21">
        <f>IF(AND(C4131&lt;&gt;"", J4131&lt;&gt;""), HYPERLINK("#'" &amp; C4131 &amp; "'!" &amp; J4131, J4131), "")</f>
        <v/>
      </c>
    </row>
    <row r="4132">
      <c r="B4132" s="21">
        <f>IF(AND(C4132&lt;&gt;"", J4132&lt;&gt;""), HYPERLINK("#'" &amp; C4132 &amp; "'!" &amp; J4132, J4132), "")</f>
        <v/>
      </c>
    </row>
    <row r="4133">
      <c r="B4133" s="21">
        <f>IF(AND(C4133&lt;&gt;"", J4133&lt;&gt;""), HYPERLINK("#'" &amp; C4133 &amp; "'!" &amp; J4133, J4133), "")</f>
        <v/>
      </c>
    </row>
    <row r="4134">
      <c r="B4134" s="21">
        <f>IF(AND(C4134&lt;&gt;"", J4134&lt;&gt;""), HYPERLINK("#'" &amp; C4134 &amp; "'!" &amp; J4134, J4134), "")</f>
        <v/>
      </c>
    </row>
    <row r="4135">
      <c r="B4135" s="21">
        <f>IF(AND(C4135&lt;&gt;"", J4135&lt;&gt;""), HYPERLINK("#'" &amp; C4135 &amp; "'!" &amp; J4135, J4135), "")</f>
        <v/>
      </c>
    </row>
    <row r="4136">
      <c r="B4136" s="21">
        <f>IF(AND(C4136&lt;&gt;"", J4136&lt;&gt;""), HYPERLINK("#'" &amp; C4136 &amp; "'!" &amp; J4136, J4136), "")</f>
        <v/>
      </c>
    </row>
    <row r="4137">
      <c r="B4137" s="21">
        <f>IF(AND(C4137&lt;&gt;"", J4137&lt;&gt;""), HYPERLINK("#'" &amp; C4137 &amp; "'!" &amp; J4137, J4137), "")</f>
        <v/>
      </c>
    </row>
    <row r="4138">
      <c r="B4138" s="21">
        <f>IF(AND(C4138&lt;&gt;"", J4138&lt;&gt;""), HYPERLINK("#'" &amp; C4138 &amp; "'!" &amp; J4138, J4138), "")</f>
        <v/>
      </c>
    </row>
    <row r="4139">
      <c r="B4139" s="21">
        <f>IF(AND(C4139&lt;&gt;"", J4139&lt;&gt;""), HYPERLINK("#'" &amp; C4139 &amp; "'!" &amp; J4139, J4139), "")</f>
        <v/>
      </c>
    </row>
    <row r="4140">
      <c r="B4140" s="21">
        <f>IF(AND(C4140&lt;&gt;"", J4140&lt;&gt;""), HYPERLINK("#'" &amp; C4140 &amp; "'!" &amp; J4140, J4140), "")</f>
        <v/>
      </c>
    </row>
    <row r="4141">
      <c r="B4141" s="21">
        <f>IF(AND(C4141&lt;&gt;"", J4141&lt;&gt;""), HYPERLINK("#'" &amp; C4141 &amp; "'!" &amp; J4141, J4141), "")</f>
        <v/>
      </c>
    </row>
    <row r="4142">
      <c r="B4142" s="21">
        <f>IF(AND(C4142&lt;&gt;"", J4142&lt;&gt;""), HYPERLINK("#'" &amp; C4142 &amp; "'!" &amp; J4142, J4142), "")</f>
        <v/>
      </c>
    </row>
    <row r="4143">
      <c r="B4143" s="21">
        <f>IF(AND(C4143&lt;&gt;"", J4143&lt;&gt;""), HYPERLINK("#'" &amp; C4143 &amp; "'!" &amp; J4143, J4143), "")</f>
        <v/>
      </c>
    </row>
    <row r="4144">
      <c r="B4144" s="21">
        <f>IF(AND(C4144&lt;&gt;"", J4144&lt;&gt;""), HYPERLINK("#'" &amp; C4144 &amp; "'!" &amp; J4144, J4144), "")</f>
        <v/>
      </c>
    </row>
    <row r="4145">
      <c r="B4145" s="21">
        <f>IF(AND(C4145&lt;&gt;"", J4145&lt;&gt;""), HYPERLINK("#'" &amp; C4145 &amp; "'!" &amp; J4145, J4145), "")</f>
        <v/>
      </c>
    </row>
    <row r="4146">
      <c r="B4146" s="21">
        <f>IF(AND(C4146&lt;&gt;"", J4146&lt;&gt;""), HYPERLINK("#'" &amp; C4146 &amp; "'!" &amp; J4146, J4146), "")</f>
        <v/>
      </c>
    </row>
    <row r="4147">
      <c r="B4147" s="21">
        <f>IF(AND(C4147&lt;&gt;"", J4147&lt;&gt;""), HYPERLINK("#'" &amp; C4147 &amp; "'!" &amp; J4147, J4147), "")</f>
        <v/>
      </c>
    </row>
    <row r="4148">
      <c r="B4148" s="21">
        <f>IF(AND(C4148&lt;&gt;"", J4148&lt;&gt;""), HYPERLINK("#'" &amp; C4148 &amp; "'!" &amp; J4148, J4148), "")</f>
        <v/>
      </c>
    </row>
    <row r="4149">
      <c r="B4149" s="21">
        <f>IF(AND(C4149&lt;&gt;"", J4149&lt;&gt;""), HYPERLINK("#'" &amp; C4149 &amp; "'!" &amp; J4149, J4149), "")</f>
        <v/>
      </c>
    </row>
    <row r="4150">
      <c r="B4150" s="21">
        <f>IF(AND(C4150&lt;&gt;"", J4150&lt;&gt;""), HYPERLINK("#'" &amp; C4150 &amp; "'!" &amp; J4150, J4150), "")</f>
        <v/>
      </c>
    </row>
    <row r="4151">
      <c r="B4151" s="21">
        <f>IF(AND(C4151&lt;&gt;"", J4151&lt;&gt;""), HYPERLINK("#'" &amp; C4151 &amp; "'!" &amp; J4151, J4151), "")</f>
        <v/>
      </c>
    </row>
    <row r="4152">
      <c r="B4152" s="21">
        <f>IF(AND(C4152&lt;&gt;"", J4152&lt;&gt;""), HYPERLINK("#'" &amp; C4152 &amp; "'!" &amp; J4152, J4152), "")</f>
        <v/>
      </c>
    </row>
    <row r="4153">
      <c r="B4153" s="21">
        <f>IF(AND(C4153&lt;&gt;"", J4153&lt;&gt;""), HYPERLINK("#'" &amp; C4153 &amp; "'!" &amp; J4153, J4153), "")</f>
        <v/>
      </c>
    </row>
    <row r="4154">
      <c r="B4154" s="21">
        <f>IF(AND(C4154&lt;&gt;"", J4154&lt;&gt;""), HYPERLINK("#'" &amp; C4154 &amp; "'!" &amp; J4154, J4154), "")</f>
        <v/>
      </c>
    </row>
    <row r="4155">
      <c r="B4155" s="21">
        <f>IF(AND(C4155&lt;&gt;"", J4155&lt;&gt;""), HYPERLINK("#'" &amp; C4155 &amp; "'!" &amp; J4155, J4155), "")</f>
        <v/>
      </c>
    </row>
    <row r="4156">
      <c r="B4156" s="21">
        <f>IF(AND(C4156&lt;&gt;"", J4156&lt;&gt;""), HYPERLINK("#'" &amp; C4156 &amp; "'!" &amp; J4156, J4156), "")</f>
        <v/>
      </c>
    </row>
    <row r="4157">
      <c r="B4157" s="21">
        <f>IF(AND(C4157&lt;&gt;"", J4157&lt;&gt;""), HYPERLINK("#'" &amp; C4157 &amp; "'!" &amp; J4157, J4157), "")</f>
        <v/>
      </c>
    </row>
    <row r="4158">
      <c r="B4158" s="21">
        <f>IF(AND(C4158&lt;&gt;"", J4158&lt;&gt;""), HYPERLINK("#'" &amp; C4158 &amp; "'!" &amp; J4158, J4158), "")</f>
        <v/>
      </c>
    </row>
    <row r="4159">
      <c r="B4159" s="21">
        <f>IF(AND(C4159&lt;&gt;"", J4159&lt;&gt;""), HYPERLINK("#'" &amp; C4159 &amp; "'!" &amp; J4159, J4159), "")</f>
        <v/>
      </c>
    </row>
    <row r="4160">
      <c r="B4160" s="21">
        <f>IF(AND(C4160&lt;&gt;"", J4160&lt;&gt;""), HYPERLINK("#'" &amp; C4160 &amp; "'!" &amp; J4160, J4160), "")</f>
        <v/>
      </c>
    </row>
    <row r="4161">
      <c r="B4161" s="21">
        <f>IF(AND(C4161&lt;&gt;"", J4161&lt;&gt;""), HYPERLINK("#'" &amp; C4161 &amp; "'!" &amp; J4161, J4161), "")</f>
        <v/>
      </c>
    </row>
    <row r="4162">
      <c r="B4162" s="21">
        <f>IF(AND(C4162&lt;&gt;"", J4162&lt;&gt;""), HYPERLINK("#'" &amp; C4162 &amp; "'!" &amp; J4162, J4162), "")</f>
        <v/>
      </c>
    </row>
    <row r="4163">
      <c r="B4163" s="21">
        <f>IF(AND(C4163&lt;&gt;"", J4163&lt;&gt;""), HYPERLINK("#'" &amp; C4163 &amp; "'!" &amp; J4163, J4163), "")</f>
        <v/>
      </c>
    </row>
    <row r="4164">
      <c r="B4164" s="21">
        <f>IF(AND(C4164&lt;&gt;"", J4164&lt;&gt;""), HYPERLINK("#'" &amp; C4164 &amp; "'!" &amp; J4164, J4164), "")</f>
        <v/>
      </c>
    </row>
    <row r="4165">
      <c r="B4165" s="21">
        <f>IF(AND(C4165&lt;&gt;"", J4165&lt;&gt;""), HYPERLINK("#'" &amp; C4165 &amp; "'!" &amp; J4165, J4165), "")</f>
        <v/>
      </c>
    </row>
    <row r="4166">
      <c r="B4166" s="21">
        <f>IF(AND(C4166&lt;&gt;"", J4166&lt;&gt;""), HYPERLINK("#'" &amp; C4166 &amp; "'!" &amp; J4166, J4166), "")</f>
        <v/>
      </c>
    </row>
    <row r="4167">
      <c r="B4167" s="21">
        <f>IF(AND(C4167&lt;&gt;"", J4167&lt;&gt;""), HYPERLINK("#'" &amp; C4167 &amp; "'!" &amp; J4167, J4167), "")</f>
        <v/>
      </c>
    </row>
    <row r="4168">
      <c r="B4168" s="21">
        <f>IF(AND(C4168&lt;&gt;"", J4168&lt;&gt;""), HYPERLINK("#'" &amp; C4168 &amp; "'!" &amp; J4168, J4168), "")</f>
        <v/>
      </c>
    </row>
    <row r="4169">
      <c r="B4169" s="21">
        <f>IF(AND(C4169&lt;&gt;"", J4169&lt;&gt;""), HYPERLINK("#'" &amp; C4169 &amp; "'!" &amp; J4169, J4169), "")</f>
        <v/>
      </c>
    </row>
    <row r="4170">
      <c r="B4170" s="21">
        <f>IF(AND(C4170&lt;&gt;"", J4170&lt;&gt;""), HYPERLINK("#'" &amp; C4170 &amp; "'!" &amp; J4170, J4170), "")</f>
        <v/>
      </c>
    </row>
    <row r="4171">
      <c r="B4171" s="21">
        <f>IF(AND(C4171&lt;&gt;"", J4171&lt;&gt;""), HYPERLINK("#'" &amp; C4171 &amp; "'!" &amp; J4171, J4171), "")</f>
        <v/>
      </c>
    </row>
    <row r="4172">
      <c r="B4172" s="21">
        <f>IF(AND(C4172&lt;&gt;"", J4172&lt;&gt;""), HYPERLINK("#'" &amp; C4172 &amp; "'!" &amp; J4172, J4172), "")</f>
        <v/>
      </c>
    </row>
    <row r="4173">
      <c r="B4173" s="21">
        <f>IF(AND(C4173&lt;&gt;"", J4173&lt;&gt;""), HYPERLINK("#'" &amp; C4173 &amp; "'!" &amp; J4173, J4173), "")</f>
        <v/>
      </c>
    </row>
    <row r="4174">
      <c r="B4174" s="21">
        <f>IF(AND(C4174&lt;&gt;"", J4174&lt;&gt;""), HYPERLINK("#'" &amp; C4174 &amp; "'!" &amp; J4174, J4174), "")</f>
        <v/>
      </c>
    </row>
    <row r="4175">
      <c r="B4175" s="21">
        <f>IF(AND(C4175&lt;&gt;"", J4175&lt;&gt;""), HYPERLINK("#'" &amp; C4175 &amp; "'!" &amp; J4175, J4175), "")</f>
        <v/>
      </c>
    </row>
    <row r="4176">
      <c r="B4176" s="21">
        <f>IF(AND(C4176&lt;&gt;"", J4176&lt;&gt;""), HYPERLINK("#'" &amp; C4176 &amp; "'!" &amp; J4176, J4176), "")</f>
        <v/>
      </c>
    </row>
    <row r="4177">
      <c r="B4177" s="21">
        <f>IF(AND(C4177&lt;&gt;"", J4177&lt;&gt;""), HYPERLINK("#'" &amp; C4177 &amp; "'!" &amp; J4177, J4177), "")</f>
        <v/>
      </c>
    </row>
    <row r="4178">
      <c r="B4178" s="21">
        <f>IF(AND(C4178&lt;&gt;"", J4178&lt;&gt;""), HYPERLINK("#'" &amp; C4178 &amp; "'!" &amp; J4178, J4178), "")</f>
        <v/>
      </c>
    </row>
    <row r="4179">
      <c r="B4179" s="21">
        <f>IF(AND(C4179&lt;&gt;"", J4179&lt;&gt;""), HYPERLINK("#'" &amp; C4179 &amp; "'!" &amp; J4179, J4179), "")</f>
        <v/>
      </c>
    </row>
    <row r="4180">
      <c r="B4180" s="21">
        <f>IF(AND(C4180&lt;&gt;"", J4180&lt;&gt;""), HYPERLINK("#'" &amp; C4180 &amp; "'!" &amp; J4180, J4180), "")</f>
        <v/>
      </c>
    </row>
    <row r="4181">
      <c r="B4181" s="21">
        <f>IF(AND(C4181&lt;&gt;"", J4181&lt;&gt;""), HYPERLINK("#'" &amp; C4181 &amp; "'!" &amp; J4181, J4181), "")</f>
        <v/>
      </c>
    </row>
    <row r="4182">
      <c r="B4182" s="21">
        <f>IF(AND(C4182&lt;&gt;"", J4182&lt;&gt;""), HYPERLINK("#'" &amp; C4182 &amp; "'!" &amp; J4182, J4182), "")</f>
        <v/>
      </c>
    </row>
    <row r="4183">
      <c r="B4183" s="21">
        <f>IF(AND(C4183&lt;&gt;"", J4183&lt;&gt;""), HYPERLINK("#'" &amp; C4183 &amp; "'!" &amp; J4183, J4183), "")</f>
        <v/>
      </c>
    </row>
    <row r="4184">
      <c r="B4184" s="21">
        <f>IF(AND(C4184&lt;&gt;"", J4184&lt;&gt;""), HYPERLINK("#'" &amp; C4184 &amp; "'!" &amp; J4184, J4184), "")</f>
        <v/>
      </c>
    </row>
    <row r="4185">
      <c r="B4185" s="21">
        <f>IF(AND(C4185&lt;&gt;"", J4185&lt;&gt;""), HYPERLINK("#'" &amp; C4185 &amp; "'!" &amp; J4185, J4185), "")</f>
        <v/>
      </c>
    </row>
    <row r="4186">
      <c r="B4186" s="21">
        <f>IF(AND(C4186&lt;&gt;"", J4186&lt;&gt;""), HYPERLINK("#'" &amp; C4186 &amp; "'!" &amp; J4186, J4186), "")</f>
        <v/>
      </c>
    </row>
    <row r="4187">
      <c r="B4187" s="21">
        <f>IF(AND(C4187&lt;&gt;"", J4187&lt;&gt;""), HYPERLINK("#'" &amp; C4187 &amp; "'!" &amp; J4187, J4187), "")</f>
        <v/>
      </c>
    </row>
    <row r="4188">
      <c r="B4188" s="21">
        <f>IF(AND(C4188&lt;&gt;"", J4188&lt;&gt;""), HYPERLINK("#'" &amp; C4188 &amp; "'!" &amp; J4188, J4188), "")</f>
        <v/>
      </c>
    </row>
    <row r="4189">
      <c r="B4189" s="21">
        <f>IF(AND(C4189&lt;&gt;"", J4189&lt;&gt;""), HYPERLINK("#'" &amp; C4189 &amp; "'!" &amp; J4189, J4189), "")</f>
        <v/>
      </c>
    </row>
    <row r="4190">
      <c r="B4190" s="21">
        <f>IF(AND(C4190&lt;&gt;"", J4190&lt;&gt;""), HYPERLINK("#'" &amp; C4190 &amp; "'!" &amp; J4190, J4190), "")</f>
        <v/>
      </c>
    </row>
    <row r="4191">
      <c r="B4191" s="21">
        <f>IF(AND(C4191&lt;&gt;"", J4191&lt;&gt;""), HYPERLINK("#'" &amp; C4191 &amp; "'!" &amp; J4191, J4191), "")</f>
        <v/>
      </c>
    </row>
    <row r="4192">
      <c r="B4192" s="21">
        <f>IF(AND(C4192&lt;&gt;"", J4192&lt;&gt;""), HYPERLINK("#'" &amp; C4192 &amp; "'!" &amp; J4192, J4192), "")</f>
        <v/>
      </c>
    </row>
    <row r="4193">
      <c r="B4193" s="21">
        <f>IF(AND(C4193&lt;&gt;"", J4193&lt;&gt;""), HYPERLINK("#'" &amp; C4193 &amp; "'!" &amp; J4193, J4193), "")</f>
        <v/>
      </c>
    </row>
    <row r="4194">
      <c r="B4194" s="21">
        <f>IF(AND(C4194&lt;&gt;"", J4194&lt;&gt;""), HYPERLINK("#'" &amp; C4194 &amp; "'!" &amp; J4194, J4194), "")</f>
        <v/>
      </c>
    </row>
    <row r="4195">
      <c r="B4195" s="21">
        <f>IF(AND(C4195&lt;&gt;"", J4195&lt;&gt;""), HYPERLINK("#'" &amp; C4195 &amp; "'!" &amp; J4195, J4195), "")</f>
        <v/>
      </c>
    </row>
    <row r="4196">
      <c r="B4196" s="21">
        <f>IF(AND(C4196&lt;&gt;"", J4196&lt;&gt;""), HYPERLINK("#'" &amp; C4196 &amp; "'!" &amp; J4196, J4196), "")</f>
        <v/>
      </c>
    </row>
    <row r="4197">
      <c r="B4197" s="21">
        <f>IF(AND(C4197&lt;&gt;"", J4197&lt;&gt;""), HYPERLINK("#'" &amp; C4197 &amp; "'!" &amp; J4197, J4197), "")</f>
        <v/>
      </c>
    </row>
    <row r="4198">
      <c r="B4198" s="21">
        <f>IF(AND(C4198&lt;&gt;"", J4198&lt;&gt;""), HYPERLINK("#'" &amp; C4198 &amp; "'!" &amp; J4198, J4198), "")</f>
        <v/>
      </c>
    </row>
    <row r="4199">
      <c r="B4199" s="21">
        <f>IF(AND(C4199&lt;&gt;"", J4199&lt;&gt;""), HYPERLINK("#'" &amp; C4199 &amp; "'!" &amp; J4199, J4199), "")</f>
        <v/>
      </c>
    </row>
    <row r="4200">
      <c r="B4200" s="21">
        <f>IF(AND(C4200&lt;&gt;"", J4200&lt;&gt;""), HYPERLINK("#'" &amp; C4200 &amp; "'!" &amp; J4200, J4200), "")</f>
        <v/>
      </c>
    </row>
    <row r="4201">
      <c r="B4201" s="21">
        <f>IF(AND(C4201&lt;&gt;"", J4201&lt;&gt;""), HYPERLINK("#'" &amp; C4201 &amp; "'!" &amp; J4201, J4201), "")</f>
        <v/>
      </c>
    </row>
    <row r="4202">
      <c r="B4202" s="21">
        <f>IF(AND(C4202&lt;&gt;"", J4202&lt;&gt;""), HYPERLINK("#'" &amp; C4202 &amp; "'!" &amp; J4202, J4202), "")</f>
        <v/>
      </c>
    </row>
    <row r="4203">
      <c r="B4203" s="21">
        <f>IF(AND(C4203&lt;&gt;"", J4203&lt;&gt;""), HYPERLINK("#'" &amp; C4203 &amp; "'!" &amp; J4203, J4203), "")</f>
        <v/>
      </c>
    </row>
    <row r="4204">
      <c r="B4204" s="21">
        <f>IF(AND(C4204&lt;&gt;"", J4204&lt;&gt;""), HYPERLINK("#'" &amp; C4204 &amp; "'!" &amp; J4204, J4204), "")</f>
        <v/>
      </c>
    </row>
    <row r="4205">
      <c r="B4205" s="21">
        <f>IF(AND(C4205&lt;&gt;"", J4205&lt;&gt;""), HYPERLINK("#'" &amp; C4205 &amp; "'!" &amp; J4205, J4205), "")</f>
        <v/>
      </c>
    </row>
    <row r="4206">
      <c r="B4206" s="21">
        <f>IF(AND(C4206&lt;&gt;"", J4206&lt;&gt;""), HYPERLINK("#'" &amp; C4206 &amp; "'!" &amp; J4206, J4206), "")</f>
        <v/>
      </c>
    </row>
    <row r="4207">
      <c r="B4207" s="21">
        <f>IF(AND(C4207&lt;&gt;"", J4207&lt;&gt;""), HYPERLINK("#'" &amp; C4207 &amp; "'!" &amp; J4207, J4207), "")</f>
        <v/>
      </c>
    </row>
    <row r="4208">
      <c r="B4208" s="21">
        <f>IF(AND(C4208&lt;&gt;"", J4208&lt;&gt;""), HYPERLINK("#'" &amp; C4208 &amp; "'!" &amp; J4208, J4208), "")</f>
        <v/>
      </c>
    </row>
    <row r="4209">
      <c r="B4209" s="21">
        <f>IF(AND(C4209&lt;&gt;"", J4209&lt;&gt;""), HYPERLINK("#'" &amp; C4209 &amp; "'!" &amp; J4209, J4209), "")</f>
        <v/>
      </c>
    </row>
    <row r="4210">
      <c r="B4210" s="21">
        <f>IF(AND(C4210&lt;&gt;"", J4210&lt;&gt;""), HYPERLINK("#'" &amp; C4210 &amp; "'!" &amp; J4210, J4210), "")</f>
        <v/>
      </c>
    </row>
    <row r="4211">
      <c r="B4211" s="21">
        <f>IF(AND(C4211&lt;&gt;"", J4211&lt;&gt;""), HYPERLINK("#'" &amp; C4211 &amp; "'!" &amp; J4211, J4211), "")</f>
        <v/>
      </c>
    </row>
    <row r="4212">
      <c r="B4212" s="21">
        <f>IF(AND(C4212&lt;&gt;"", J4212&lt;&gt;""), HYPERLINK("#'" &amp; C4212 &amp; "'!" &amp; J4212, J4212), "")</f>
        <v/>
      </c>
    </row>
    <row r="4213">
      <c r="B4213" s="21">
        <f>IF(AND(C4213&lt;&gt;"", J4213&lt;&gt;""), HYPERLINK("#'" &amp; C4213 &amp; "'!" &amp; J4213, J4213), "")</f>
        <v/>
      </c>
    </row>
    <row r="4214">
      <c r="B4214" s="21">
        <f>IF(AND(C4214&lt;&gt;"", J4214&lt;&gt;""), HYPERLINK("#'" &amp; C4214 &amp; "'!" &amp; J4214, J4214), "")</f>
        <v/>
      </c>
    </row>
    <row r="4215">
      <c r="B4215" s="21">
        <f>IF(AND(C4215&lt;&gt;"", J4215&lt;&gt;""), HYPERLINK("#'" &amp; C4215 &amp; "'!" &amp; J4215, J4215), "")</f>
        <v/>
      </c>
    </row>
    <row r="4216">
      <c r="B4216" s="21">
        <f>IF(AND(C4216&lt;&gt;"", J4216&lt;&gt;""), HYPERLINK("#'" &amp; C4216 &amp; "'!" &amp; J4216, J4216), "")</f>
        <v/>
      </c>
    </row>
    <row r="4217">
      <c r="B4217" s="21">
        <f>IF(AND(C4217&lt;&gt;"", J4217&lt;&gt;""), HYPERLINK("#'" &amp; C4217 &amp; "'!" &amp; J4217, J4217), "")</f>
        <v/>
      </c>
    </row>
    <row r="4218">
      <c r="B4218" s="21">
        <f>IF(AND(C4218&lt;&gt;"", J4218&lt;&gt;""), HYPERLINK("#'" &amp; C4218 &amp; "'!" &amp; J4218, J4218), "")</f>
        <v/>
      </c>
    </row>
    <row r="4219">
      <c r="B4219" s="21">
        <f>IF(AND(C4219&lt;&gt;"", J4219&lt;&gt;""), HYPERLINK("#'" &amp; C4219 &amp; "'!" &amp; J4219, J4219), "")</f>
        <v/>
      </c>
    </row>
    <row r="4220">
      <c r="B4220" s="21">
        <f>IF(AND(C4220&lt;&gt;"", J4220&lt;&gt;""), HYPERLINK("#'" &amp; C4220 &amp; "'!" &amp; J4220, J4220), "")</f>
        <v/>
      </c>
    </row>
    <row r="4221">
      <c r="B4221" s="21">
        <f>IF(AND(C4221&lt;&gt;"", J4221&lt;&gt;""), HYPERLINK("#'" &amp; C4221 &amp; "'!" &amp; J4221, J4221), "")</f>
        <v/>
      </c>
    </row>
    <row r="4222">
      <c r="B4222" s="21">
        <f>IF(AND(C4222&lt;&gt;"", J4222&lt;&gt;""), HYPERLINK("#'" &amp; C4222 &amp; "'!" &amp; J4222, J4222), "")</f>
        <v/>
      </c>
    </row>
    <row r="4223">
      <c r="B4223" s="21">
        <f>IF(AND(C4223&lt;&gt;"", J4223&lt;&gt;""), HYPERLINK("#'" &amp; C4223 &amp; "'!" &amp; J4223, J4223), "")</f>
        <v/>
      </c>
    </row>
    <row r="4224">
      <c r="B4224" s="21">
        <f>IF(AND(C4224&lt;&gt;"", J4224&lt;&gt;""), HYPERLINK("#'" &amp; C4224 &amp; "'!" &amp; J4224, J4224), "")</f>
        <v/>
      </c>
    </row>
    <row r="4225">
      <c r="B4225" s="21">
        <f>IF(AND(C4225&lt;&gt;"", J4225&lt;&gt;""), HYPERLINK("#'" &amp; C4225 &amp; "'!" &amp; J4225, J4225), "")</f>
        <v/>
      </c>
    </row>
    <row r="4226">
      <c r="B4226" s="21">
        <f>IF(AND(C4226&lt;&gt;"", J4226&lt;&gt;""), HYPERLINK("#'" &amp; C4226 &amp; "'!" &amp; J4226, J4226), "")</f>
        <v/>
      </c>
    </row>
    <row r="4227">
      <c r="B4227" s="21">
        <f>IF(AND(C4227&lt;&gt;"", J4227&lt;&gt;""), HYPERLINK("#'" &amp; C4227 &amp; "'!" &amp; J4227, J4227), "")</f>
        <v/>
      </c>
    </row>
    <row r="4228">
      <c r="B4228" s="21">
        <f>IF(AND(C4228&lt;&gt;"", J4228&lt;&gt;""), HYPERLINK("#'" &amp; C4228 &amp; "'!" &amp; J4228, J4228), "")</f>
        <v/>
      </c>
    </row>
    <row r="4229">
      <c r="B4229" s="21">
        <f>IF(AND(C4229&lt;&gt;"", J4229&lt;&gt;""), HYPERLINK("#'" &amp; C4229 &amp; "'!" &amp; J4229, J4229), "")</f>
        <v/>
      </c>
    </row>
    <row r="4230">
      <c r="B4230" s="21">
        <f>IF(AND(C4230&lt;&gt;"", J4230&lt;&gt;""), HYPERLINK("#'" &amp; C4230 &amp; "'!" &amp; J4230, J4230), "")</f>
        <v/>
      </c>
    </row>
    <row r="4231">
      <c r="B4231" s="21">
        <f>IF(AND(C4231&lt;&gt;"", J4231&lt;&gt;""), HYPERLINK("#'" &amp; C4231 &amp; "'!" &amp; J4231, J4231), "")</f>
        <v/>
      </c>
    </row>
    <row r="4232">
      <c r="B4232" s="21">
        <f>IF(AND(C4232&lt;&gt;"", J4232&lt;&gt;""), HYPERLINK("#'" &amp; C4232 &amp; "'!" &amp; J4232, J4232), "")</f>
        <v/>
      </c>
    </row>
    <row r="4233">
      <c r="B4233" s="21">
        <f>IF(AND(C4233&lt;&gt;"", J4233&lt;&gt;""), HYPERLINK("#'" &amp; C4233 &amp; "'!" &amp; J4233, J4233), "")</f>
        <v/>
      </c>
    </row>
    <row r="4234">
      <c r="B4234" s="21">
        <f>IF(AND(C4234&lt;&gt;"", J4234&lt;&gt;""), HYPERLINK("#'" &amp; C4234 &amp; "'!" &amp; J4234, J4234), "")</f>
        <v/>
      </c>
    </row>
    <row r="4235">
      <c r="B4235" s="21">
        <f>IF(AND(C4235&lt;&gt;"", J4235&lt;&gt;""), HYPERLINK("#'" &amp; C4235 &amp; "'!" &amp; J4235, J4235), "")</f>
        <v/>
      </c>
    </row>
    <row r="4236">
      <c r="B4236" s="21">
        <f>IF(AND(C4236&lt;&gt;"", J4236&lt;&gt;""), HYPERLINK("#'" &amp; C4236 &amp; "'!" &amp; J4236, J4236), "")</f>
        <v/>
      </c>
    </row>
    <row r="4237">
      <c r="B4237" s="21">
        <f>IF(AND(C4237&lt;&gt;"", J4237&lt;&gt;""), HYPERLINK("#'" &amp; C4237 &amp; "'!" &amp; J4237, J4237), "")</f>
        <v/>
      </c>
    </row>
    <row r="4238">
      <c r="B4238" s="21">
        <f>IF(AND(C4238&lt;&gt;"", J4238&lt;&gt;""), HYPERLINK("#'" &amp; C4238 &amp; "'!" &amp; J4238, J4238), "")</f>
        <v/>
      </c>
    </row>
    <row r="4239">
      <c r="B4239" s="21">
        <f>IF(AND(C4239&lt;&gt;"", J4239&lt;&gt;""), HYPERLINK("#'" &amp; C4239 &amp; "'!" &amp; J4239, J4239), "")</f>
        <v/>
      </c>
    </row>
    <row r="4240">
      <c r="B4240" s="21">
        <f>IF(AND(C4240&lt;&gt;"", J4240&lt;&gt;""), HYPERLINK("#'" &amp; C4240 &amp; "'!" &amp; J4240, J4240), "")</f>
        <v/>
      </c>
    </row>
    <row r="4241">
      <c r="B4241" s="21">
        <f>IF(AND(C4241&lt;&gt;"", J4241&lt;&gt;""), HYPERLINK("#'" &amp; C4241 &amp; "'!" &amp; J4241, J4241), "")</f>
        <v/>
      </c>
    </row>
    <row r="4242">
      <c r="B4242" s="21">
        <f>IF(AND(C4242&lt;&gt;"", J4242&lt;&gt;""), HYPERLINK("#'" &amp; C4242 &amp; "'!" &amp; J4242, J4242), "")</f>
        <v/>
      </c>
    </row>
    <row r="4243">
      <c r="B4243" s="21">
        <f>IF(AND(C4243&lt;&gt;"", J4243&lt;&gt;""), HYPERLINK("#'" &amp; C4243 &amp; "'!" &amp; J4243, J4243), "")</f>
        <v/>
      </c>
    </row>
    <row r="4244">
      <c r="B4244" s="21">
        <f>IF(AND(C4244&lt;&gt;"", J4244&lt;&gt;""), HYPERLINK("#'" &amp; C4244 &amp; "'!" &amp; J4244, J4244), "")</f>
        <v/>
      </c>
    </row>
    <row r="4245">
      <c r="B4245" s="21">
        <f>IF(AND(C4245&lt;&gt;"", J4245&lt;&gt;""), HYPERLINK("#'" &amp; C4245 &amp; "'!" &amp; J4245, J4245), "")</f>
        <v/>
      </c>
    </row>
    <row r="4246">
      <c r="B4246" s="21">
        <f>IF(AND(C4246&lt;&gt;"", J4246&lt;&gt;""), HYPERLINK("#'" &amp; C4246 &amp; "'!" &amp; J4246, J4246), "")</f>
        <v/>
      </c>
    </row>
    <row r="4247">
      <c r="B4247" s="21">
        <f>IF(AND(C4247&lt;&gt;"", J4247&lt;&gt;""), HYPERLINK("#'" &amp; C4247 &amp; "'!" &amp; J4247, J4247), "")</f>
        <v/>
      </c>
    </row>
    <row r="4248">
      <c r="B4248" s="21">
        <f>IF(AND(C4248&lt;&gt;"", J4248&lt;&gt;""), HYPERLINK("#'" &amp; C4248 &amp; "'!" &amp; J4248, J4248), "")</f>
        <v/>
      </c>
    </row>
    <row r="4249">
      <c r="B4249" s="21">
        <f>IF(AND(C4249&lt;&gt;"", J4249&lt;&gt;""), HYPERLINK("#'" &amp; C4249 &amp; "'!" &amp; J4249, J4249), "")</f>
        <v/>
      </c>
    </row>
    <row r="4250">
      <c r="B4250" s="21">
        <f>IF(AND(C4250&lt;&gt;"", J4250&lt;&gt;""), HYPERLINK("#'" &amp; C4250 &amp; "'!" &amp; J4250, J4250), "")</f>
        <v/>
      </c>
    </row>
    <row r="4251">
      <c r="B4251" s="21">
        <f>IF(AND(C4251&lt;&gt;"", J4251&lt;&gt;""), HYPERLINK("#'" &amp; C4251 &amp; "'!" &amp; J4251, J4251), "")</f>
        <v/>
      </c>
    </row>
    <row r="4252">
      <c r="B4252" s="21">
        <f>IF(AND(C4252&lt;&gt;"", J4252&lt;&gt;""), HYPERLINK("#'" &amp; C4252 &amp; "'!" &amp; J4252, J4252), "")</f>
        <v/>
      </c>
    </row>
    <row r="4253">
      <c r="B4253" s="21">
        <f>IF(AND(C4253&lt;&gt;"", J4253&lt;&gt;""), HYPERLINK("#'" &amp; C4253 &amp; "'!" &amp; J4253, J4253), "")</f>
        <v/>
      </c>
    </row>
    <row r="4254">
      <c r="B4254" s="21">
        <f>IF(AND(C4254&lt;&gt;"", J4254&lt;&gt;""), HYPERLINK("#'" &amp; C4254 &amp; "'!" &amp; J4254, J4254), "")</f>
        <v/>
      </c>
    </row>
    <row r="4255">
      <c r="B4255" s="21">
        <f>IF(AND(C4255&lt;&gt;"", J4255&lt;&gt;""), HYPERLINK("#'" &amp; C4255 &amp; "'!" &amp; J4255, J4255), "")</f>
        <v/>
      </c>
    </row>
    <row r="4256">
      <c r="B4256" s="21">
        <f>IF(AND(C4256&lt;&gt;"", J4256&lt;&gt;""), HYPERLINK("#'" &amp; C4256 &amp; "'!" &amp; J4256, J4256), "")</f>
        <v/>
      </c>
    </row>
    <row r="4257">
      <c r="B4257" s="21">
        <f>IF(AND(C4257&lt;&gt;"", J4257&lt;&gt;""), HYPERLINK("#'" &amp; C4257 &amp; "'!" &amp; J4257, J4257), "")</f>
        <v/>
      </c>
    </row>
    <row r="4258">
      <c r="B4258" s="21">
        <f>IF(AND(C4258&lt;&gt;"", J4258&lt;&gt;""), HYPERLINK("#'" &amp; C4258 &amp; "'!" &amp; J4258, J4258), "")</f>
        <v/>
      </c>
    </row>
    <row r="4259">
      <c r="B4259" s="21">
        <f>IF(AND(C4259&lt;&gt;"", J4259&lt;&gt;""), HYPERLINK("#'" &amp; C4259 &amp; "'!" &amp; J4259, J4259), "")</f>
        <v/>
      </c>
    </row>
    <row r="4260">
      <c r="B4260" s="21">
        <f>IF(AND(C4260&lt;&gt;"", J4260&lt;&gt;""), HYPERLINK("#'" &amp; C4260 &amp; "'!" &amp; J4260, J4260), "")</f>
        <v/>
      </c>
    </row>
    <row r="4261">
      <c r="B4261" s="21">
        <f>IF(AND(C4261&lt;&gt;"", J4261&lt;&gt;""), HYPERLINK("#'" &amp; C4261 &amp; "'!" &amp; J4261, J4261), "")</f>
        <v/>
      </c>
    </row>
    <row r="4262">
      <c r="B4262" s="21">
        <f>IF(AND(C4262&lt;&gt;"", J4262&lt;&gt;""), HYPERLINK("#'" &amp; C4262 &amp; "'!" &amp; J4262, J4262), "")</f>
        <v/>
      </c>
    </row>
    <row r="4263">
      <c r="B4263" s="21">
        <f>IF(AND(C4263&lt;&gt;"", J4263&lt;&gt;""), HYPERLINK("#'" &amp; C4263 &amp; "'!" &amp; J4263, J4263), "")</f>
        <v/>
      </c>
    </row>
    <row r="4264">
      <c r="B4264" s="21">
        <f>IF(AND(C4264&lt;&gt;"", J4264&lt;&gt;""), HYPERLINK("#'" &amp; C4264 &amp; "'!" &amp; J4264, J4264), "")</f>
        <v/>
      </c>
    </row>
    <row r="4265">
      <c r="B4265" s="21">
        <f>IF(AND(C4265&lt;&gt;"", J4265&lt;&gt;""), HYPERLINK("#'" &amp; C4265 &amp; "'!" &amp; J4265, J4265), "")</f>
        <v/>
      </c>
    </row>
    <row r="4266">
      <c r="B4266" s="21">
        <f>IF(AND(C4266&lt;&gt;"", J4266&lt;&gt;""), HYPERLINK("#'" &amp; C4266 &amp; "'!" &amp; J4266, J4266), "")</f>
        <v/>
      </c>
    </row>
    <row r="4267">
      <c r="B4267" s="21">
        <f>IF(AND(C4267&lt;&gt;"", J4267&lt;&gt;""), HYPERLINK("#'" &amp; C4267 &amp; "'!" &amp; J4267, J4267), "")</f>
        <v/>
      </c>
    </row>
    <row r="4268">
      <c r="B4268" s="21">
        <f>IF(AND(C4268&lt;&gt;"", J4268&lt;&gt;""), HYPERLINK("#'" &amp; C4268 &amp; "'!" &amp; J4268, J4268), "")</f>
        <v/>
      </c>
    </row>
    <row r="4269">
      <c r="B4269" s="21">
        <f>IF(AND(C4269&lt;&gt;"", J4269&lt;&gt;""), HYPERLINK("#'" &amp; C4269 &amp; "'!" &amp; J4269, J4269), "")</f>
        <v/>
      </c>
    </row>
    <row r="4270">
      <c r="B4270" s="21">
        <f>IF(AND(C4270&lt;&gt;"", J4270&lt;&gt;""), HYPERLINK("#'" &amp; C4270 &amp; "'!" &amp; J4270, J4270), "")</f>
        <v/>
      </c>
    </row>
    <row r="4271">
      <c r="B4271" s="21">
        <f>IF(AND(C4271&lt;&gt;"", J4271&lt;&gt;""), HYPERLINK("#'" &amp; C4271 &amp; "'!" &amp; J4271, J4271), "")</f>
        <v/>
      </c>
    </row>
    <row r="4272">
      <c r="B4272" s="21">
        <f>IF(AND(C4272&lt;&gt;"", J4272&lt;&gt;""), HYPERLINK("#'" &amp; C4272 &amp; "'!" &amp; J4272, J4272), "")</f>
        <v/>
      </c>
    </row>
    <row r="4273">
      <c r="B4273" s="21">
        <f>IF(AND(C4273&lt;&gt;"", J4273&lt;&gt;""), HYPERLINK("#'" &amp; C4273 &amp; "'!" &amp; J4273, J4273), "")</f>
        <v/>
      </c>
    </row>
    <row r="4274">
      <c r="B4274" s="21">
        <f>IF(AND(C4274&lt;&gt;"", J4274&lt;&gt;""), HYPERLINK("#'" &amp; C4274 &amp; "'!" &amp; J4274, J4274), "")</f>
        <v/>
      </c>
    </row>
    <row r="4275">
      <c r="B4275" s="21">
        <f>IF(AND(C4275&lt;&gt;"", J4275&lt;&gt;""), HYPERLINK("#'" &amp; C4275 &amp; "'!" &amp; J4275, J4275), "")</f>
        <v/>
      </c>
    </row>
    <row r="4276">
      <c r="B4276" s="21">
        <f>IF(AND(C4276&lt;&gt;"", J4276&lt;&gt;""), HYPERLINK("#'" &amp; C4276 &amp; "'!" &amp; J4276, J4276), "")</f>
        <v/>
      </c>
    </row>
    <row r="4277">
      <c r="B4277" s="21">
        <f>IF(AND(C4277&lt;&gt;"", J4277&lt;&gt;""), HYPERLINK("#'" &amp; C4277 &amp; "'!" &amp; J4277, J4277), "")</f>
        <v/>
      </c>
    </row>
    <row r="4278">
      <c r="B4278" s="21">
        <f>IF(AND(C4278&lt;&gt;"", J4278&lt;&gt;""), HYPERLINK("#'" &amp; C4278 &amp; "'!" &amp; J4278, J4278), "")</f>
        <v/>
      </c>
    </row>
    <row r="4279">
      <c r="B4279" s="21">
        <f>IF(AND(C4279&lt;&gt;"", J4279&lt;&gt;""), HYPERLINK("#'" &amp; C4279 &amp; "'!" &amp; J4279, J4279), "")</f>
        <v/>
      </c>
    </row>
    <row r="4280">
      <c r="B4280" s="21">
        <f>IF(AND(C4280&lt;&gt;"", J4280&lt;&gt;""), HYPERLINK("#'" &amp; C4280 &amp; "'!" &amp; J4280, J4280), "")</f>
        <v/>
      </c>
    </row>
    <row r="4281">
      <c r="B4281" s="21">
        <f>IF(AND(C4281&lt;&gt;"", J4281&lt;&gt;""), HYPERLINK("#'" &amp; C4281 &amp; "'!" &amp; J4281, J4281), "")</f>
        <v/>
      </c>
    </row>
    <row r="4282">
      <c r="B4282" s="21">
        <f>IF(AND(C4282&lt;&gt;"", J4282&lt;&gt;""), HYPERLINK("#'" &amp; C4282 &amp; "'!" &amp; J4282, J4282), "")</f>
        <v/>
      </c>
    </row>
    <row r="4283">
      <c r="B4283" s="21">
        <f>IF(AND(C4283&lt;&gt;"", J4283&lt;&gt;""), HYPERLINK("#'" &amp; C4283 &amp; "'!" &amp; J4283, J4283), "")</f>
        <v/>
      </c>
    </row>
    <row r="4284">
      <c r="B4284" s="21">
        <f>IF(AND(C4284&lt;&gt;"", J4284&lt;&gt;""), HYPERLINK("#'" &amp; C4284 &amp; "'!" &amp; J4284, J4284), "")</f>
        <v/>
      </c>
    </row>
    <row r="4285">
      <c r="B4285" s="21">
        <f>IF(AND(C4285&lt;&gt;"", J4285&lt;&gt;""), HYPERLINK("#'" &amp; C4285 &amp; "'!" &amp; J4285, J4285), "")</f>
        <v/>
      </c>
    </row>
    <row r="4286">
      <c r="B4286" s="21">
        <f>IF(AND(C4286&lt;&gt;"", J4286&lt;&gt;""), HYPERLINK("#'" &amp; C4286 &amp; "'!" &amp; J4286, J4286), "")</f>
        <v/>
      </c>
    </row>
    <row r="4287">
      <c r="B4287" s="21">
        <f>IF(AND(C4287&lt;&gt;"", J4287&lt;&gt;""), HYPERLINK("#'" &amp; C4287 &amp; "'!" &amp; J4287, J4287), "")</f>
        <v/>
      </c>
    </row>
    <row r="4288">
      <c r="B4288" s="21">
        <f>IF(AND(C4288&lt;&gt;"", J4288&lt;&gt;""), HYPERLINK("#'" &amp; C4288 &amp; "'!" &amp; J4288, J4288), "")</f>
        <v/>
      </c>
    </row>
    <row r="4289">
      <c r="B4289" s="21">
        <f>IF(AND(C4289&lt;&gt;"", J4289&lt;&gt;""), HYPERLINK("#'" &amp; C4289 &amp; "'!" &amp; J4289, J4289), "")</f>
        <v/>
      </c>
    </row>
    <row r="4290">
      <c r="B4290" s="21">
        <f>IF(AND(C4290&lt;&gt;"", J4290&lt;&gt;""), HYPERLINK("#'" &amp; C4290 &amp; "'!" &amp; J4290, J4290), "")</f>
        <v/>
      </c>
    </row>
    <row r="4291">
      <c r="B4291" s="21">
        <f>IF(AND(C4291&lt;&gt;"", J4291&lt;&gt;""), HYPERLINK("#'" &amp; C4291 &amp; "'!" &amp; J4291, J4291), "")</f>
        <v/>
      </c>
    </row>
    <row r="4292">
      <c r="B4292" s="21">
        <f>IF(AND(C4292&lt;&gt;"", J4292&lt;&gt;""), HYPERLINK("#'" &amp; C4292 &amp; "'!" &amp; J4292, J4292), "")</f>
        <v/>
      </c>
    </row>
    <row r="4293">
      <c r="B4293" s="21">
        <f>IF(AND(C4293&lt;&gt;"", J4293&lt;&gt;""), HYPERLINK("#'" &amp; C4293 &amp; "'!" &amp; J4293, J4293), "")</f>
        <v/>
      </c>
    </row>
    <row r="4294">
      <c r="B4294" s="21">
        <f>IF(AND(C4294&lt;&gt;"", J4294&lt;&gt;""), HYPERLINK("#'" &amp; C4294 &amp; "'!" &amp; J4294, J4294), "")</f>
        <v/>
      </c>
    </row>
    <row r="4295">
      <c r="B4295" s="21">
        <f>IF(AND(C4295&lt;&gt;"", J4295&lt;&gt;""), HYPERLINK("#'" &amp; C4295 &amp; "'!" &amp; J4295, J4295), "")</f>
        <v/>
      </c>
    </row>
    <row r="4296">
      <c r="B4296" s="21">
        <f>IF(AND(C4296&lt;&gt;"", J4296&lt;&gt;""), HYPERLINK("#'" &amp; C4296 &amp; "'!" &amp; J4296, J4296), "")</f>
        <v/>
      </c>
    </row>
    <row r="4297">
      <c r="B4297" s="21">
        <f>IF(AND(C4297&lt;&gt;"", J4297&lt;&gt;""), HYPERLINK("#'" &amp; C4297 &amp; "'!" &amp; J4297, J4297), "")</f>
        <v/>
      </c>
    </row>
    <row r="4298">
      <c r="B4298" s="21">
        <f>IF(AND(C4298&lt;&gt;"", J4298&lt;&gt;""), HYPERLINK("#'" &amp; C4298 &amp; "'!" &amp; J4298, J4298), "")</f>
        <v/>
      </c>
    </row>
    <row r="4299">
      <c r="B4299" s="21">
        <f>IF(AND(C4299&lt;&gt;"", J4299&lt;&gt;""), HYPERLINK("#'" &amp; C4299 &amp; "'!" &amp; J4299, J4299), "")</f>
        <v/>
      </c>
    </row>
    <row r="4300">
      <c r="B4300" s="21">
        <f>IF(AND(C4300&lt;&gt;"", J4300&lt;&gt;""), HYPERLINK("#'" &amp; C4300 &amp; "'!" &amp; J4300, J4300), "")</f>
        <v/>
      </c>
    </row>
    <row r="4301">
      <c r="B4301" s="21">
        <f>IF(AND(C4301&lt;&gt;"", J4301&lt;&gt;""), HYPERLINK("#'" &amp; C4301 &amp; "'!" &amp; J4301, J4301), "")</f>
        <v/>
      </c>
    </row>
    <row r="4302">
      <c r="B4302" s="21">
        <f>IF(AND(C4302&lt;&gt;"", J4302&lt;&gt;""), HYPERLINK("#'" &amp; C4302 &amp; "'!" &amp; J4302, J4302), "")</f>
        <v/>
      </c>
    </row>
    <row r="4303">
      <c r="B4303" s="21">
        <f>IF(AND(C4303&lt;&gt;"", J4303&lt;&gt;""), HYPERLINK("#'" &amp; C4303 &amp; "'!" &amp; J4303, J4303), "")</f>
        <v/>
      </c>
    </row>
    <row r="4304">
      <c r="B4304" s="21">
        <f>IF(AND(C4304&lt;&gt;"", J4304&lt;&gt;""), HYPERLINK("#'" &amp; C4304 &amp; "'!" &amp; J4304, J4304), "")</f>
        <v/>
      </c>
    </row>
    <row r="4305">
      <c r="B4305" s="21">
        <f>IF(AND(C4305&lt;&gt;"", J4305&lt;&gt;""), HYPERLINK("#'" &amp; C4305 &amp; "'!" &amp; J4305, J4305), "")</f>
        <v/>
      </c>
    </row>
    <row r="4306">
      <c r="B4306" s="21">
        <f>IF(AND(C4306&lt;&gt;"", J4306&lt;&gt;""), HYPERLINK("#'" &amp; C4306 &amp; "'!" &amp; J4306, J4306), "")</f>
        <v/>
      </c>
    </row>
    <row r="4307">
      <c r="B4307" s="21">
        <f>IF(AND(C4307&lt;&gt;"", J4307&lt;&gt;""), HYPERLINK("#'" &amp; C4307 &amp; "'!" &amp; J4307, J4307), "")</f>
        <v/>
      </c>
    </row>
    <row r="4308">
      <c r="B4308" s="21">
        <f>IF(AND(C4308&lt;&gt;"", J4308&lt;&gt;""), HYPERLINK("#'" &amp; C4308 &amp; "'!" &amp; J4308, J4308), "")</f>
        <v/>
      </c>
    </row>
    <row r="4309">
      <c r="B4309" s="21">
        <f>IF(AND(C4309&lt;&gt;"", J4309&lt;&gt;""), HYPERLINK("#'" &amp; C4309 &amp; "'!" &amp; J4309, J4309), "")</f>
        <v/>
      </c>
    </row>
    <row r="4310">
      <c r="B4310" s="21">
        <f>IF(AND(C4310&lt;&gt;"", J4310&lt;&gt;""), HYPERLINK("#'" &amp; C4310 &amp; "'!" &amp; J4310, J4310), "")</f>
        <v/>
      </c>
    </row>
    <row r="4311">
      <c r="B4311" s="21">
        <f>IF(AND(C4311&lt;&gt;"", J4311&lt;&gt;""), HYPERLINK("#'" &amp; C4311 &amp; "'!" &amp; J4311, J4311), "")</f>
        <v/>
      </c>
    </row>
    <row r="4312">
      <c r="B4312" s="21">
        <f>IF(AND(C4312&lt;&gt;"", J4312&lt;&gt;""), HYPERLINK("#'" &amp; C4312 &amp; "'!" &amp; J4312, J4312), "")</f>
        <v/>
      </c>
    </row>
    <row r="4313">
      <c r="B4313" s="21">
        <f>IF(AND(C4313&lt;&gt;"", J4313&lt;&gt;""), HYPERLINK("#'" &amp; C4313 &amp; "'!" &amp; J4313, J4313), "")</f>
        <v/>
      </c>
    </row>
    <row r="4314">
      <c r="B4314" s="21">
        <f>IF(AND(C4314&lt;&gt;"", J4314&lt;&gt;""), HYPERLINK("#'" &amp; C4314 &amp; "'!" &amp; J4314, J4314), "")</f>
        <v/>
      </c>
    </row>
    <row r="4315">
      <c r="B4315" s="21">
        <f>IF(AND(C4315&lt;&gt;"", J4315&lt;&gt;""), HYPERLINK("#'" &amp; C4315 &amp; "'!" &amp; J4315, J4315), "")</f>
        <v/>
      </c>
    </row>
    <row r="4316">
      <c r="B4316" s="21">
        <f>IF(AND(C4316&lt;&gt;"", J4316&lt;&gt;""), HYPERLINK("#'" &amp; C4316 &amp; "'!" &amp; J4316, J4316), "")</f>
        <v/>
      </c>
    </row>
    <row r="4317">
      <c r="B4317" s="21">
        <f>IF(AND(C4317&lt;&gt;"", J4317&lt;&gt;""), HYPERLINK("#'" &amp; C4317 &amp; "'!" &amp; J4317, J4317), "")</f>
        <v/>
      </c>
    </row>
    <row r="4318">
      <c r="B4318" s="21">
        <f>IF(AND(C4318&lt;&gt;"", J4318&lt;&gt;""), HYPERLINK("#'" &amp; C4318 &amp; "'!" &amp; J4318, J4318), "")</f>
        <v/>
      </c>
    </row>
    <row r="4319">
      <c r="B4319" s="21">
        <f>IF(AND(C4319&lt;&gt;"", J4319&lt;&gt;""), HYPERLINK("#'" &amp; C4319 &amp; "'!" &amp; J4319, J4319), "")</f>
        <v/>
      </c>
    </row>
    <row r="4320">
      <c r="B4320" s="21">
        <f>IF(AND(C4320&lt;&gt;"", J4320&lt;&gt;""), HYPERLINK("#'" &amp; C4320 &amp; "'!" &amp; J4320, J4320), "")</f>
        <v/>
      </c>
    </row>
    <row r="4321">
      <c r="B4321" s="21">
        <f>IF(AND(C4321&lt;&gt;"", J4321&lt;&gt;""), HYPERLINK("#'" &amp; C4321 &amp; "'!" &amp; J4321, J4321), "")</f>
        <v/>
      </c>
    </row>
    <row r="4322">
      <c r="B4322" s="21">
        <f>IF(AND(C4322&lt;&gt;"", J4322&lt;&gt;""), HYPERLINK("#'" &amp; C4322 &amp; "'!" &amp; J4322, J4322), "")</f>
        <v/>
      </c>
    </row>
    <row r="4323">
      <c r="B4323" s="21">
        <f>IF(AND(C4323&lt;&gt;"", J4323&lt;&gt;""), HYPERLINK("#'" &amp; C4323 &amp; "'!" &amp; J4323, J4323), "")</f>
        <v/>
      </c>
    </row>
    <row r="4324">
      <c r="B4324" s="21">
        <f>IF(AND(C4324&lt;&gt;"", J4324&lt;&gt;""), HYPERLINK("#'" &amp; C4324 &amp; "'!" &amp; J4324, J4324), "")</f>
        <v/>
      </c>
    </row>
    <row r="4325">
      <c r="B4325" s="21">
        <f>IF(AND(C4325&lt;&gt;"", J4325&lt;&gt;""), HYPERLINK("#'" &amp; C4325 &amp; "'!" &amp; J4325, J4325), "")</f>
        <v/>
      </c>
    </row>
    <row r="4326">
      <c r="B4326" s="21">
        <f>IF(AND(C4326&lt;&gt;"", J4326&lt;&gt;""), HYPERLINK("#'" &amp; C4326 &amp; "'!" &amp; J4326, J4326), "")</f>
        <v/>
      </c>
    </row>
    <row r="4327">
      <c r="B4327" s="21">
        <f>IF(AND(C4327&lt;&gt;"", J4327&lt;&gt;""), HYPERLINK("#'" &amp; C4327 &amp; "'!" &amp; J4327, J4327), "")</f>
        <v/>
      </c>
    </row>
    <row r="4328">
      <c r="B4328" s="21">
        <f>IF(AND(C4328&lt;&gt;"", J4328&lt;&gt;""), HYPERLINK("#'" &amp; C4328 &amp; "'!" &amp; J4328, J4328), "")</f>
        <v/>
      </c>
    </row>
    <row r="4329">
      <c r="B4329" s="21">
        <f>IF(AND(C4329&lt;&gt;"", J4329&lt;&gt;""), HYPERLINK("#'" &amp; C4329 &amp; "'!" &amp; J4329, J4329), "")</f>
        <v/>
      </c>
    </row>
    <row r="4330">
      <c r="B4330" s="21">
        <f>IF(AND(C4330&lt;&gt;"", J4330&lt;&gt;""), HYPERLINK("#'" &amp; C4330 &amp; "'!" &amp; J4330, J4330), "")</f>
        <v/>
      </c>
    </row>
    <row r="4331">
      <c r="B4331" s="21">
        <f>IF(AND(C4331&lt;&gt;"", J4331&lt;&gt;""), HYPERLINK("#'" &amp; C4331 &amp; "'!" &amp; J4331, J4331), "")</f>
        <v/>
      </c>
    </row>
    <row r="4332">
      <c r="B4332" s="21">
        <f>IF(AND(C4332&lt;&gt;"", J4332&lt;&gt;""), HYPERLINK("#'" &amp; C4332 &amp; "'!" &amp; J4332, J4332), "")</f>
        <v/>
      </c>
    </row>
    <row r="4333">
      <c r="B4333" s="21">
        <f>IF(AND(C4333&lt;&gt;"", J4333&lt;&gt;""), HYPERLINK("#'" &amp; C4333 &amp; "'!" &amp; J4333, J4333), "")</f>
        <v/>
      </c>
    </row>
    <row r="4334">
      <c r="B4334" s="21">
        <f>IF(AND(C4334&lt;&gt;"", J4334&lt;&gt;""), HYPERLINK("#'" &amp; C4334 &amp; "'!" &amp; J4334, J4334), "")</f>
        <v/>
      </c>
    </row>
    <row r="4335">
      <c r="B4335" s="21">
        <f>IF(AND(C4335&lt;&gt;"", J4335&lt;&gt;""), HYPERLINK("#'" &amp; C4335 &amp; "'!" &amp; J4335, J4335), "")</f>
        <v/>
      </c>
    </row>
    <row r="4336">
      <c r="B4336" s="21">
        <f>IF(AND(C4336&lt;&gt;"", J4336&lt;&gt;""), HYPERLINK("#'" &amp; C4336 &amp; "'!" &amp; J4336, J4336), "")</f>
        <v/>
      </c>
    </row>
    <row r="4337">
      <c r="B4337" s="21">
        <f>IF(AND(C4337&lt;&gt;"", J4337&lt;&gt;""), HYPERLINK("#'" &amp; C4337 &amp; "'!" &amp; J4337, J4337), "")</f>
        <v/>
      </c>
    </row>
    <row r="4338">
      <c r="B4338" s="21">
        <f>IF(AND(C4338&lt;&gt;"", J4338&lt;&gt;""), HYPERLINK("#'" &amp; C4338 &amp; "'!" &amp; J4338, J4338), "")</f>
        <v/>
      </c>
    </row>
    <row r="4339">
      <c r="B4339" s="21">
        <f>IF(AND(C4339&lt;&gt;"", J4339&lt;&gt;""), HYPERLINK("#'" &amp; C4339 &amp; "'!" &amp; J4339, J4339), "")</f>
        <v/>
      </c>
    </row>
    <row r="4340">
      <c r="B4340" s="21">
        <f>IF(AND(C4340&lt;&gt;"", J4340&lt;&gt;""), HYPERLINK("#'" &amp; C4340 &amp; "'!" &amp; J4340, J4340), "")</f>
        <v/>
      </c>
    </row>
    <row r="4341">
      <c r="B4341" s="21">
        <f>IF(AND(C4341&lt;&gt;"", J4341&lt;&gt;""), HYPERLINK("#'" &amp; C4341 &amp; "'!" &amp; J4341, J4341), "")</f>
        <v/>
      </c>
    </row>
    <row r="4342">
      <c r="B4342" s="21">
        <f>IF(AND(C4342&lt;&gt;"", J4342&lt;&gt;""), HYPERLINK("#'" &amp; C4342 &amp; "'!" &amp; J4342, J4342), "")</f>
        <v/>
      </c>
    </row>
    <row r="4343">
      <c r="B4343" s="21">
        <f>IF(AND(C4343&lt;&gt;"", J4343&lt;&gt;""), HYPERLINK("#'" &amp; C4343 &amp; "'!" &amp; J4343, J4343), "")</f>
        <v/>
      </c>
    </row>
    <row r="4344">
      <c r="B4344" s="21">
        <f>IF(AND(C4344&lt;&gt;"", J4344&lt;&gt;""), HYPERLINK("#'" &amp; C4344 &amp; "'!" &amp; J4344, J4344), "")</f>
        <v/>
      </c>
    </row>
    <row r="4345">
      <c r="B4345" s="21">
        <f>IF(AND(C4345&lt;&gt;"", J4345&lt;&gt;""), HYPERLINK("#'" &amp; C4345 &amp; "'!" &amp; J4345, J4345), "")</f>
        <v/>
      </c>
    </row>
    <row r="4346">
      <c r="B4346" s="21">
        <f>IF(AND(C4346&lt;&gt;"", J4346&lt;&gt;""), HYPERLINK("#'" &amp; C4346 &amp; "'!" &amp; J4346, J4346), "")</f>
        <v/>
      </c>
    </row>
    <row r="4347">
      <c r="B4347" s="21">
        <f>IF(AND(C4347&lt;&gt;"", J4347&lt;&gt;""), HYPERLINK("#'" &amp; C4347 &amp; "'!" &amp; J4347, J4347), "")</f>
        <v/>
      </c>
    </row>
    <row r="4348">
      <c r="B4348" s="21">
        <f>IF(AND(C4348&lt;&gt;"", J4348&lt;&gt;""), HYPERLINK("#'" &amp; C4348 &amp; "'!" &amp; J4348, J4348), "")</f>
        <v/>
      </c>
    </row>
    <row r="4349">
      <c r="B4349" s="21">
        <f>IF(AND(C4349&lt;&gt;"", J4349&lt;&gt;""), HYPERLINK("#'" &amp; C4349 &amp; "'!" &amp; J4349, J4349), "")</f>
        <v/>
      </c>
    </row>
    <row r="4350">
      <c r="B4350" s="21">
        <f>IF(AND(C4350&lt;&gt;"", J4350&lt;&gt;""), HYPERLINK("#'" &amp; C4350 &amp; "'!" &amp; J4350, J4350), "")</f>
        <v/>
      </c>
    </row>
    <row r="4351">
      <c r="B4351" s="21">
        <f>IF(AND(C4351&lt;&gt;"", J4351&lt;&gt;""), HYPERLINK("#'" &amp; C4351 &amp; "'!" &amp; J4351, J4351), "")</f>
        <v/>
      </c>
    </row>
    <row r="4352">
      <c r="B4352" s="21">
        <f>IF(AND(C4352&lt;&gt;"", J4352&lt;&gt;""), HYPERLINK("#'" &amp; C4352 &amp; "'!" &amp; J4352, J4352), "")</f>
        <v/>
      </c>
    </row>
    <row r="4353">
      <c r="B4353" s="21">
        <f>IF(AND(C4353&lt;&gt;"", J4353&lt;&gt;""), HYPERLINK("#'" &amp; C4353 &amp; "'!" &amp; J4353, J4353), "")</f>
        <v/>
      </c>
    </row>
    <row r="4354">
      <c r="B4354" s="21">
        <f>IF(AND(C4354&lt;&gt;"", J4354&lt;&gt;""), HYPERLINK("#'" &amp; C4354 &amp; "'!" &amp; J4354, J4354), "")</f>
        <v/>
      </c>
    </row>
    <row r="4355">
      <c r="B4355" s="21">
        <f>IF(AND(C4355&lt;&gt;"", J4355&lt;&gt;""), HYPERLINK("#'" &amp; C4355 &amp; "'!" &amp; J4355, J4355), "")</f>
        <v/>
      </c>
    </row>
    <row r="4356">
      <c r="B4356" s="21">
        <f>IF(AND(C4356&lt;&gt;"", J4356&lt;&gt;""), HYPERLINK("#'" &amp; C4356 &amp; "'!" &amp; J4356, J4356), "")</f>
        <v/>
      </c>
    </row>
    <row r="4357">
      <c r="B4357" s="21">
        <f>IF(AND(C4357&lt;&gt;"", J4357&lt;&gt;""), HYPERLINK("#'" &amp; C4357 &amp; "'!" &amp; J4357, J4357), "")</f>
        <v/>
      </c>
    </row>
    <row r="4358">
      <c r="B4358" s="21">
        <f>IF(AND(C4358&lt;&gt;"", J4358&lt;&gt;""), HYPERLINK("#'" &amp; C4358 &amp; "'!" &amp; J4358, J4358), "")</f>
        <v/>
      </c>
    </row>
    <row r="4359">
      <c r="B4359" s="21">
        <f>IF(AND(C4359&lt;&gt;"", J4359&lt;&gt;""), HYPERLINK("#'" &amp; C4359 &amp; "'!" &amp; J4359, J4359), "")</f>
        <v/>
      </c>
    </row>
    <row r="4360">
      <c r="B4360" s="21">
        <f>IF(AND(C4360&lt;&gt;"", J4360&lt;&gt;""), HYPERLINK("#'" &amp; C4360 &amp; "'!" &amp; J4360, J4360), "")</f>
        <v/>
      </c>
    </row>
    <row r="4361">
      <c r="B4361" s="21">
        <f>IF(AND(C4361&lt;&gt;"", J4361&lt;&gt;""), HYPERLINK("#'" &amp; C4361 &amp; "'!" &amp; J4361, J4361), "")</f>
        <v/>
      </c>
    </row>
    <row r="4362">
      <c r="B4362" s="21">
        <f>IF(AND(C4362&lt;&gt;"", J4362&lt;&gt;""), HYPERLINK("#'" &amp; C4362 &amp; "'!" &amp; J4362, J4362), "")</f>
        <v/>
      </c>
    </row>
    <row r="4363">
      <c r="B4363" s="21">
        <f>IF(AND(C4363&lt;&gt;"", J4363&lt;&gt;""), HYPERLINK("#'" &amp; C4363 &amp; "'!" &amp; J4363, J4363), "")</f>
        <v/>
      </c>
    </row>
    <row r="4364">
      <c r="B4364" s="21">
        <f>IF(AND(C4364&lt;&gt;"", J4364&lt;&gt;""), HYPERLINK("#'" &amp; C4364 &amp; "'!" &amp; J4364, J4364), "")</f>
        <v/>
      </c>
    </row>
    <row r="4365">
      <c r="B4365" s="21">
        <f>IF(AND(C4365&lt;&gt;"", J4365&lt;&gt;""), HYPERLINK("#'" &amp; C4365 &amp; "'!" &amp; J4365, J4365), "")</f>
        <v/>
      </c>
    </row>
    <row r="4366">
      <c r="B4366" s="21">
        <f>IF(AND(C4366&lt;&gt;"", J4366&lt;&gt;""), HYPERLINK("#'" &amp; C4366 &amp; "'!" &amp; J4366, J4366), "")</f>
        <v/>
      </c>
    </row>
    <row r="4367">
      <c r="B4367" s="21">
        <f>IF(AND(C4367&lt;&gt;"", J4367&lt;&gt;""), HYPERLINK("#'" &amp; C4367 &amp; "'!" &amp; J4367, J4367), "")</f>
        <v/>
      </c>
    </row>
    <row r="4368">
      <c r="B4368" s="21">
        <f>IF(AND(C4368&lt;&gt;"", J4368&lt;&gt;""), HYPERLINK("#'" &amp; C4368 &amp; "'!" &amp; J4368, J4368), "")</f>
        <v/>
      </c>
    </row>
    <row r="4369">
      <c r="B4369" s="21">
        <f>IF(AND(C4369&lt;&gt;"", J4369&lt;&gt;""), HYPERLINK("#'" &amp; C4369 &amp; "'!" &amp; J4369, J4369), "")</f>
        <v/>
      </c>
    </row>
    <row r="4370">
      <c r="B4370" s="21">
        <f>IF(AND(C4370&lt;&gt;"", J4370&lt;&gt;""), HYPERLINK("#'" &amp; C4370 &amp; "'!" &amp; J4370, J4370), "")</f>
        <v/>
      </c>
    </row>
    <row r="4371">
      <c r="B4371" s="21">
        <f>IF(AND(C4371&lt;&gt;"", J4371&lt;&gt;""), HYPERLINK("#'" &amp; C4371 &amp; "'!" &amp; J4371, J4371), "")</f>
        <v/>
      </c>
    </row>
    <row r="4372">
      <c r="B4372" s="21">
        <f>IF(AND(C4372&lt;&gt;"", J4372&lt;&gt;""), HYPERLINK("#'" &amp; C4372 &amp; "'!" &amp; J4372, J4372), "")</f>
        <v/>
      </c>
    </row>
    <row r="4373">
      <c r="B4373" s="21">
        <f>IF(AND(C4373&lt;&gt;"", J4373&lt;&gt;""), HYPERLINK("#'" &amp; C4373 &amp; "'!" &amp; J4373, J4373), "")</f>
        <v/>
      </c>
    </row>
    <row r="4374">
      <c r="B4374" s="21">
        <f>IF(AND(C4374&lt;&gt;"", J4374&lt;&gt;""), HYPERLINK("#'" &amp; C4374 &amp; "'!" &amp; J4374, J4374), "")</f>
        <v/>
      </c>
    </row>
    <row r="4375">
      <c r="B4375" s="21">
        <f>IF(AND(C4375&lt;&gt;"", J4375&lt;&gt;""), HYPERLINK("#'" &amp; C4375 &amp; "'!" &amp; J4375, J4375), "")</f>
        <v/>
      </c>
    </row>
    <row r="4376">
      <c r="B4376" s="21">
        <f>IF(AND(C4376&lt;&gt;"", J4376&lt;&gt;""), HYPERLINK("#'" &amp; C4376 &amp; "'!" &amp; J4376, J4376), "")</f>
        <v/>
      </c>
    </row>
    <row r="4377">
      <c r="B4377" s="21">
        <f>IF(AND(C4377&lt;&gt;"", J4377&lt;&gt;""), HYPERLINK("#'" &amp; C4377 &amp; "'!" &amp; J4377, J4377), "")</f>
        <v/>
      </c>
    </row>
    <row r="4378">
      <c r="B4378" s="21">
        <f>IF(AND(C4378&lt;&gt;"", J4378&lt;&gt;""), HYPERLINK("#'" &amp; C4378 &amp; "'!" &amp; J4378, J4378), "")</f>
        <v/>
      </c>
    </row>
    <row r="4379">
      <c r="B4379" s="21">
        <f>IF(AND(C4379&lt;&gt;"", J4379&lt;&gt;""), HYPERLINK("#'" &amp; C4379 &amp; "'!" &amp; J4379, J4379), "")</f>
        <v/>
      </c>
    </row>
    <row r="4380">
      <c r="B4380" s="21">
        <f>IF(AND(C4380&lt;&gt;"", J4380&lt;&gt;""), HYPERLINK("#'" &amp; C4380 &amp; "'!" &amp; J4380, J4380), "")</f>
        <v/>
      </c>
    </row>
    <row r="4381">
      <c r="B4381" s="21">
        <f>IF(AND(C4381&lt;&gt;"", J4381&lt;&gt;""), HYPERLINK("#'" &amp; C4381 &amp; "'!" &amp; J4381, J4381), "")</f>
        <v/>
      </c>
    </row>
    <row r="4382">
      <c r="B4382" s="21">
        <f>IF(AND(C4382&lt;&gt;"", J4382&lt;&gt;""), HYPERLINK("#'" &amp; C4382 &amp; "'!" &amp; J4382, J4382), "")</f>
        <v/>
      </c>
    </row>
    <row r="4383">
      <c r="B4383" s="21">
        <f>IF(AND(C4383&lt;&gt;"", J4383&lt;&gt;""), HYPERLINK("#'" &amp; C4383 &amp; "'!" &amp; J4383, J4383), "")</f>
        <v/>
      </c>
    </row>
    <row r="4384">
      <c r="B4384" s="21">
        <f>IF(AND(C4384&lt;&gt;"", J4384&lt;&gt;""), HYPERLINK("#'" &amp; C4384 &amp; "'!" &amp; J4384, J4384), "")</f>
        <v/>
      </c>
    </row>
    <row r="4385">
      <c r="B4385" s="21">
        <f>IF(AND(C4385&lt;&gt;"", J4385&lt;&gt;""), HYPERLINK("#'" &amp; C4385 &amp; "'!" &amp; J4385, J4385), "")</f>
        <v/>
      </c>
    </row>
    <row r="4386">
      <c r="B4386" s="21">
        <f>IF(AND(C4386&lt;&gt;"", J4386&lt;&gt;""), HYPERLINK("#'" &amp; C4386 &amp; "'!" &amp; J4386, J4386), "")</f>
        <v/>
      </c>
    </row>
    <row r="4387">
      <c r="B4387" s="21">
        <f>IF(AND(C4387&lt;&gt;"", J4387&lt;&gt;""), HYPERLINK("#'" &amp; C4387 &amp; "'!" &amp; J4387, J4387), "")</f>
        <v/>
      </c>
    </row>
    <row r="4388">
      <c r="B4388" s="21">
        <f>IF(AND(C4388&lt;&gt;"", J4388&lt;&gt;""), HYPERLINK("#'" &amp; C4388 &amp; "'!" &amp; J4388, J4388), "")</f>
        <v/>
      </c>
    </row>
    <row r="4389">
      <c r="B4389" s="21">
        <f>IF(AND(C4389&lt;&gt;"", J4389&lt;&gt;""), HYPERLINK("#'" &amp; C4389 &amp; "'!" &amp; J4389, J4389), "")</f>
        <v/>
      </c>
    </row>
    <row r="4390">
      <c r="B4390" s="21">
        <f>IF(AND(C4390&lt;&gt;"", J4390&lt;&gt;""), HYPERLINK("#'" &amp; C4390 &amp; "'!" &amp; J4390, J4390), "")</f>
        <v/>
      </c>
    </row>
    <row r="4391">
      <c r="B4391" s="21">
        <f>IF(AND(C4391&lt;&gt;"", J4391&lt;&gt;""), HYPERLINK("#'" &amp; C4391 &amp; "'!" &amp; J4391, J4391), "")</f>
        <v/>
      </c>
    </row>
    <row r="4392">
      <c r="B4392" s="21">
        <f>IF(AND(C4392&lt;&gt;"", J4392&lt;&gt;""), HYPERLINK("#'" &amp; C4392 &amp; "'!" &amp; J4392, J4392), "")</f>
        <v/>
      </c>
    </row>
    <row r="4393">
      <c r="B4393" s="21">
        <f>IF(AND(C4393&lt;&gt;"", J4393&lt;&gt;""), HYPERLINK("#'" &amp; C4393 &amp; "'!" &amp; J4393, J4393), "")</f>
        <v/>
      </c>
    </row>
    <row r="4394">
      <c r="B4394" s="21">
        <f>IF(AND(C4394&lt;&gt;"", J4394&lt;&gt;""), HYPERLINK("#'" &amp; C4394 &amp; "'!" &amp; J4394, J4394), "")</f>
        <v/>
      </c>
    </row>
    <row r="4395">
      <c r="B4395" s="21">
        <f>IF(AND(C4395&lt;&gt;"", J4395&lt;&gt;""), HYPERLINK("#'" &amp; C4395 &amp; "'!" &amp; J4395, J4395), "")</f>
        <v/>
      </c>
    </row>
    <row r="4396">
      <c r="B4396" s="21">
        <f>IF(AND(C4396&lt;&gt;"", J4396&lt;&gt;""), HYPERLINK("#'" &amp; C4396 &amp; "'!" &amp; J4396, J4396), "")</f>
        <v/>
      </c>
    </row>
    <row r="4397">
      <c r="B4397" s="21">
        <f>IF(AND(C4397&lt;&gt;"", J4397&lt;&gt;""), HYPERLINK("#'" &amp; C4397 &amp; "'!" &amp; J4397, J4397), "")</f>
        <v/>
      </c>
    </row>
    <row r="4398">
      <c r="B4398" s="21">
        <f>IF(AND(C4398&lt;&gt;"", J4398&lt;&gt;""), HYPERLINK("#'" &amp; C4398 &amp; "'!" &amp; J4398, J4398), "")</f>
        <v/>
      </c>
    </row>
    <row r="4399">
      <c r="B4399" s="21">
        <f>IF(AND(C4399&lt;&gt;"", J4399&lt;&gt;""), HYPERLINK("#'" &amp; C4399 &amp; "'!" &amp; J4399, J4399), "")</f>
        <v/>
      </c>
    </row>
    <row r="4400">
      <c r="B4400" s="21">
        <f>IF(AND(C4400&lt;&gt;"", J4400&lt;&gt;""), HYPERLINK("#'" &amp; C4400 &amp; "'!" &amp; J4400, J4400), "")</f>
        <v/>
      </c>
    </row>
    <row r="4401">
      <c r="B4401" s="21">
        <f>IF(AND(C4401&lt;&gt;"", J4401&lt;&gt;""), HYPERLINK("#'" &amp; C4401 &amp; "'!" &amp; J4401, J4401), "")</f>
        <v/>
      </c>
    </row>
    <row r="4402">
      <c r="B4402" s="21">
        <f>IF(AND(C4402&lt;&gt;"", J4402&lt;&gt;""), HYPERLINK("#'" &amp; C4402 &amp; "'!" &amp; J4402, J4402), "")</f>
        <v/>
      </c>
    </row>
    <row r="4403">
      <c r="B4403" s="21">
        <f>IF(AND(C4403&lt;&gt;"", J4403&lt;&gt;""), HYPERLINK("#'" &amp; C4403 &amp; "'!" &amp; J4403, J4403), "")</f>
        <v/>
      </c>
    </row>
    <row r="4404">
      <c r="B4404" s="21">
        <f>IF(AND(C4404&lt;&gt;"", J4404&lt;&gt;""), HYPERLINK("#'" &amp; C4404 &amp; "'!" &amp; J4404, J4404), "")</f>
        <v/>
      </c>
    </row>
    <row r="4405">
      <c r="B4405" s="21">
        <f>IF(AND(C4405&lt;&gt;"", J4405&lt;&gt;""), HYPERLINK("#'" &amp; C4405 &amp; "'!" &amp; J4405, J4405), "")</f>
        <v/>
      </c>
    </row>
    <row r="4406">
      <c r="B4406" s="21">
        <f>IF(AND(C4406&lt;&gt;"", J4406&lt;&gt;""), HYPERLINK("#'" &amp; C4406 &amp; "'!" &amp; J4406, J4406), "")</f>
        <v/>
      </c>
    </row>
    <row r="4407">
      <c r="B4407" s="21">
        <f>IF(AND(C4407&lt;&gt;"", J4407&lt;&gt;""), HYPERLINK("#'" &amp; C4407 &amp; "'!" &amp; J4407, J4407), "")</f>
        <v/>
      </c>
    </row>
    <row r="4408">
      <c r="B4408" s="21">
        <f>IF(AND(C4408&lt;&gt;"", J4408&lt;&gt;""), HYPERLINK("#'" &amp; C4408 &amp; "'!" &amp; J4408, J4408), "")</f>
        <v/>
      </c>
    </row>
    <row r="4409">
      <c r="B4409" s="21">
        <f>IF(AND(C4409&lt;&gt;"", J4409&lt;&gt;""), HYPERLINK("#'" &amp; C4409 &amp; "'!" &amp; J4409, J4409), "")</f>
        <v/>
      </c>
    </row>
    <row r="4410">
      <c r="B4410" s="21">
        <f>IF(AND(C4410&lt;&gt;"", J4410&lt;&gt;""), HYPERLINK("#'" &amp; C4410 &amp; "'!" &amp; J4410, J4410), "")</f>
        <v/>
      </c>
    </row>
    <row r="4411">
      <c r="B4411" s="21">
        <f>IF(AND(C4411&lt;&gt;"", J4411&lt;&gt;""), HYPERLINK("#'" &amp; C4411 &amp; "'!" &amp; J4411, J4411), "")</f>
        <v/>
      </c>
    </row>
    <row r="4412">
      <c r="B4412" s="21">
        <f>IF(AND(C4412&lt;&gt;"", J4412&lt;&gt;""), HYPERLINK("#'" &amp; C4412 &amp; "'!" &amp; J4412, J4412), "")</f>
        <v/>
      </c>
    </row>
    <row r="4413">
      <c r="B4413" s="21">
        <f>IF(AND(C4413&lt;&gt;"", J4413&lt;&gt;""), HYPERLINK("#'" &amp; C4413 &amp; "'!" &amp; J4413, J4413), "")</f>
        <v/>
      </c>
    </row>
    <row r="4414">
      <c r="B4414" s="21">
        <f>IF(AND(C4414&lt;&gt;"", J4414&lt;&gt;""), HYPERLINK("#'" &amp; C4414 &amp; "'!" &amp; J4414, J4414), "")</f>
        <v/>
      </c>
    </row>
    <row r="4415">
      <c r="B4415" s="21">
        <f>IF(AND(C4415&lt;&gt;"", J4415&lt;&gt;""), HYPERLINK("#'" &amp; C4415 &amp; "'!" &amp; J4415, J4415), "")</f>
        <v/>
      </c>
    </row>
    <row r="4416">
      <c r="B4416" s="21">
        <f>IF(AND(C4416&lt;&gt;"", J4416&lt;&gt;""), HYPERLINK("#'" &amp; C4416 &amp; "'!" &amp; J4416, J4416), "")</f>
        <v/>
      </c>
    </row>
    <row r="4417">
      <c r="B4417" s="21">
        <f>IF(AND(C4417&lt;&gt;"", J4417&lt;&gt;""), HYPERLINK("#'" &amp; C4417 &amp; "'!" &amp; J4417, J4417), "")</f>
        <v/>
      </c>
    </row>
    <row r="4418">
      <c r="B4418" s="21">
        <f>IF(AND(C4418&lt;&gt;"", J4418&lt;&gt;""), HYPERLINK("#'" &amp; C4418 &amp; "'!" &amp; J4418, J4418), "")</f>
        <v/>
      </c>
    </row>
    <row r="4419">
      <c r="B4419" s="21">
        <f>IF(AND(C4419&lt;&gt;"", J4419&lt;&gt;""), HYPERLINK("#'" &amp; C4419 &amp; "'!" &amp; J4419, J4419), "")</f>
        <v/>
      </c>
    </row>
    <row r="4420">
      <c r="B4420" s="21">
        <f>IF(AND(C4420&lt;&gt;"", J4420&lt;&gt;""), HYPERLINK("#'" &amp; C4420 &amp; "'!" &amp; J4420, J4420), "")</f>
        <v/>
      </c>
    </row>
    <row r="4421">
      <c r="B4421" s="21">
        <f>IF(AND(C4421&lt;&gt;"", J4421&lt;&gt;""), HYPERLINK("#'" &amp; C4421 &amp; "'!" &amp; J4421, J4421), "")</f>
        <v/>
      </c>
    </row>
    <row r="4422">
      <c r="B4422" s="21">
        <f>IF(AND(C4422&lt;&gt;"", J4422&lt;&gt;""), HYPERLINK("#'" &amp; C4422 &amp; "'!" &amp; J4422, J4422), "")</f>
        <v/>
      </c>
    </row>
    <row r="4423">
      <c r="B4423" s="21">
        <f>IF(AND(C4423&lt;&gt;"", J4423&lt;&gt;""), HYPERLINK("#'" &amp; C4423 &amp; "'!" &amp; J4423, J4423), "")</f>
        <v/>
      </c>
    </row>
    <row r="4424">
      <c r="B4424" s="21">
        <f>IF(AND(C4424&lt;&gt;"", J4424&lt;&gt;""), HYPERLINK("#'" &amp; C4424 &amp; "'!" &amp; J4424, J4424), "")</f>
        <v/>
      </c>
    </row>
    <row r="4425">
      <c r="B4425" s="21">
        <f>IF(AND(C4425&lt;&gt;"", J4425&lt;&gt;""), HYPERLINK("#'" &amp; C4425 &amp; "'!" &amp; J4425, J4425), "")</f>
        <v/>
      </c>
    </row>
    <row r="4426">
      <c r="B4426" s="21">
        <f>IF(AND(C4426&lt;&gt;"", J4426&lt;&gt;""), HYPERLINK("#'" &amp; C4426 &amp; "'!" &amp; J4426, J4426), "")</f>
        <v/>
      </c>
    </row>
    <row r="4427">
      <c r="B4427" s="21">
        <f>IF(AND(C4427&lt;&gt;"", J4427&lt;&gt;""), HYPERLINK("#'" &amp; C4427 &amp; "'!" &amp; J4427, J4427), "")</f>
        <v/>
      </c>
    </row>
    <row r="4428">
      <c r="B4428" s="21">
        <f>IF(AND(C4428&lt;&gt;"", J4428&lt;&gt;""), HYPERLINK("#'" &amp; C4428 &amp; "'!" &amp; J4428, J4428), "")</f>
        <v/>
      </c>
    </row>
    <row r="4429">
      <c r="B4429" s="21">
        <f>IF(AND(C4429&lt;&gt;"", J4429&lt;&gt;""), HYPERLINK("#'" &amp; C4429 &amp; "'!" &amp; J4429, J4429), "")</f>
        <v/>
      </c>
    </row>
    <row r="4430">
      <c r="B4430" s="21">
        <f>IF(AND(C4430&lt;&gt;"", J4430&lt;&gt;""), HYPERLINK("#'" &amp; C4430 &amp; "'!" &amp; J4430, J4430), "")</f>
        <v/>
      </c>
    </row>
    <row r="4431">
      <c r="B4431" s="21">
        <f>IF(AND(C4431&lt;&gt;"", J4431&lt;&gt;""), HYPERLINK("#'" &amp; C4431 &amp; "'!" &amp; J4431, J4431), "")</f>
        <v/>
      </c>
    </row>
    <row r="4432">
      <c r="B4432" s="21">
        <f>IF(AND(C4432&lt;&gt;"", J4432&lt;&gt;""), HYPERLINK("#'" &amp; C4432 &amp; "'!" &amp; J4432, J4432), "")</f>
        <v/>
      </c>
    </row>
    <row r="4433">
      <c r="B4433" s="21">
        <f>IF(AND(C4433&lt;&gt;"", J4433&lt;&gt;""), HYPERLINK("#'" &amp; C4433 &amp; "'!" &amp; J4433, J4433), "")</f>
        <v/>
      </c>
    </row>
    <row r="4434">
      <c r="B4434" s="21">
        <f>IF(AND(C4434&lt;&gt;"", J4434&lt;&gt;""), HYPERLINK("#'" &amp; C4434 &amp; "'!" &amp; J4434, J4434), "")</f>
        <v/>
      </c>
    </row>
    <row r="4435">
      <c r="B4435" s="21">
        <f>IF(AND(C4435&lt;&gt;"", J4435&lt;&gt;""), HYPERLINK("#'" &amp; C4435 &amp; "'!" &amp; J4435, J4435), "")</f>
        <v/>
      </c>
    </row>
    <row r="4436">
      <c r="B4436" s="21">
        <f>IF(AND(C4436&lt;&gt;"", J4436&lt;&gt;""), HYPERLINK("#'" &amp; C4436 &amp; "'!" &amp; J4436, J4436), "")</f>
        <v/>
      </c>
    </row>
    <row r="4437">
      <c r="B4437" s="21">
        <f>IF(AND(C4437&lt;&gt;"", J4437&lt;&gt;""), HYPERLINK("#'" &amp; C4437 &amp; "'!" &amp; J4437, J4437), "")</f>
        <v/>
      </c>
    </row>
    <row r="4438">
      <c r="B4438" s="21">
        <f>IF(AND(C4438&lt;&gt;"", J4438&lt;&gt;""), HYPERLINK("#'" &amp; C4438 &amp; "'!" &amp; J4438, J4438), "")</f>
        <v/>
      </c>
    </row>
    <row r="4439">
      <c r="B4439" s="21">
        <f>IF(AND(C4439&lt;&gt;"", J4439&lt;&gt;""), HYPERLINK("#'" &amp; C4439 &amp; "'!" &amp; J4439, J4439), "")</f>
        <v/>
      </c>
    </row>
    <row r="4440">
      <c r="B4440" s="21">
        <f>IF(AND(C4440&lt;&gt;"", J4440&lt;&gt;""), HYPERLINK("#'" &amp; C4440 &amp; "'!" &amp; J4440, J4440), "")</f>
        <v/>
      </c>
    </row>
    <row r="4441">
      <c r="B4441" s="21">
        <f>IF(AND(C4441&lt;&gt;"", J4441&lt;&gt;""), HYPERLINK("#'" &amp; C4441 &amp; "'!" &amp; J4441, J4441), "")</f>
        <v/>
      </c>
    </row>
    <row r="4442">
      <c r="B4442" s="21">
        <f>IF(AND(C4442&lt;&gt;"", J4442&lt;&gt;""), HYPERLINK("#'" &amp; C4442 &amp; "'!" &amp; J4442, J4442), "")</f>
        <v/>
      </c>
    </row>
    <row r="4443">
      <c r="B4443" s="21">
        <f>IF(AND(C4443&lt;&gt;"", J4443&lt;&gt;""), HYPERLINK("#'" &amp; C4443 &amp; "'!" &amp; J4443, J4443), "")</f>
        <v/>
      </c>
    </row>
    <row r="4444">
      <c r="B4444" s="21">
        <f>IF(AND(C4444&lt;&gt;"", J4444&lt;&gt;""), HYPERLINK("#'" &amp; C4444 &amp; "'!" &amp; J4444, J4444), "")</f>
        <v/>
      </c>
    </row>
    <row r="4445">
      <c r="B4445" s="21">
        <f>IF(AND(C4445&lt;&gt;"", J4445&lt;&gt;""), HYPERLINK("#'" &amp; C4445 &amp; "'!" &amp; J4445, J4445), "")</f>
        <v/>
      </c>
    </row>
    <row r="4446">
      <c r="B4446" s="21">
        <f>IF(AND(C4446&lt;&gt;"", J4446&lt;&gt;""), HYPERLINK("#'" &amp; C4446 &amp; "'!" &amp; J4446, J4446), "")</f>
        <v/>
      </c>
    </row>
    <row r="4447">
      <c r="B4447" s="21">
        <f>IF(AND(C4447&lt;&gt;"", J4447&lt;&gt;""), HYPERLINK("#'" &amp; C4447 &amp; "'!" &amp; J4447, J4447), "")</f>
        <v/>
      </c>
    </row>
    <row r="4448">
      <c r="B4448" s="21">
        <f>IF(AND(C4448&lt;&gt;"", J4448&lt;&gt;""), HYPERLINK("#'" &amp; C4448 &amp; "'!" &amp; J4448, J4448), "")</f>
        <v/>
      </c>
    </row>
    <row r="4449">
      <c r="B4449" s="21">
        <f>IF(AND(C4449&lt;&gt;"", J4449&lt;&gt;""), HYPERLINK("#'" &amp; C4449 &amp; "'!" &amp; J4449, J4449), "")</f>
        <v/>
      </c>
    </row>
    <row r="4450">
      <c r="B4450" s="21">
        <f>IF(AND(C4450&lt;&gt;"", J4450&lt;&gt;""), HYPERLINK("#'" &amp; C4450 &amp; "'!" &amp; J4450, J4450), "")</f>
        <v/>
      </c>
    </row>
    <row r="4451">
      <c r="B4451" s="21">
        <f>IF(AND(C4451&lt;&gt;"", J4451&lt;&gt;""), HYPERLINK("#'" &amp; C4451 &amp; "'!" &amp; J4451, J4451), "")</f>
        <v/>
      </c>
    </row>
    <row r="4452">
      <c r="B4452" s="21">
        <f>IF(AND(C4452&lt;&gt;"", J4452&lt;&gt;""), HYPERLINK("#'" &amp; C4452 &amp; "'!" &amp; J4452, J4452), "")</f>
        <v/>
      </c>
    </row>
    <row r="4453">
      <c r="B4453" s="21">
        <f>IF(AND(C4453&lt;&gt;"", J4453&lt;&gt;""), HYPERLINK("#'" &amp; C4453 &amp; "'!" &amp; J4453, J4453), "")</f>
        <v/>
      </c>
    </row>
    <row r="4454">
      <c r="B4454" s="21">
        <f>IF(AND(C4454&lt;&gt;"", J4454&lt;&gt;""), HYPERLINK("#'" &amp; C4454 &amp; "'!" &amp; J4454, J4454), "")</f>
        <v/>
      </c>
    </row>
    <row r="4455">
      <c r="B4455" s="21">
        <f>IF(AND(C4455&lt;&gt;"", J4455&lt;&gt;""), HYPERLINK("#'" &amp; C4455 &amp; "'!" &amp; J4455, J4455), "")</f>
        <v/>
      </c>
    </row>
    <row r="4456">
      <c r="B4456" s="21">
        <f>IF(AND(C4456&lt;&gt;"", J4456&lt;&gt;""), HYPERLINK("#'" &amp; C4456 &amp; "'!" &amp; J4456, J4456), "")</f>
        <v/>
      </c>
    </row>
    <row r="4457">
      <c r="B4457" s="21">
        <f>IF(AND(C4457&lt;&gt;"", J4457&lt;&gt;""), HYPERLINK("#'" &amp; C4457 &amp; "'!" &amp; J4457, J4457), "")</f>
        <v/>
      </c>
    </row>
    <row r="4458">
      <c r="B4458" s="21">
        <f>IF(AND(C4458&lt;&gt;"", J4458&lt;&gt;""), HYPERLINK("#'" &amp; C4458 &amp; "'!" &amp; J4458, J4458), "")</f>
        <v/>
      </c>
    </row>
    <row r="4459">
      <c r="B4459" s="21">
        <f>IF(AND(C4459&lt;&gt;"", J4459&lt;&gt;""), HYPERLINK("#'" &amp; C4459 &amp; "'!" &amp; J4459, J4459), "")</f>
        <v/>
      </c>
    </row>
    <row r="4460">
      <c r="B4460" s="21">
        <f>IF(AND(C4460&lt;&gt;"", J4460&lt;&gt;""), HYPERLINK("#'" &amp; C4460 &amp; "'!" &amp; J4460, J4460), "")</f>
        <v/>
      </c>
    </row>
    <row r="4461">
      <c r="B4461" s="21">
        <f>IF(AND(C4461&lt;&gt;"", J4461&lt;&gt;""), HYPERLINK("#'" &amp; C4461 &amp; "'!" &amp; J4461, J4461), "")</f>
        <v/>
      </c>
    </row>
    <row r="4462">
      <c r="B4462" s="21">
        <f>IF(AND(C4462&lt;&gt;"", J4462&lt;&gt;""), HYPERLINK("#'" &amp; C4462 &amp; "'!" &amp; J4462, J4462), "")</f>
        <v/>
      </c>
    </row>
    <row r="4463">
      <c r="B4463" s="21">
        <f>IF(AND(C4463&lt;&gt;"", J4463&lt;&gt;""), HYPERLINK("#'" &amp; C4463 &amp; "'!" &amp; J4463, J4463), "")</f>
        <v/>
      </c>
    </row>
    <row r="4464">
      <c r="B4464" s="21">
        <f>IF(AND(C4464&lt;&gt;"", J4464&lt;&gt;""), HYPERLINK("#'" &amp; C4464 &amp; "'!" &amp; J4464, J4464), "")</f>
        <v/>
      </c>
    </row>
    <row r="4465">
      <c r="B4465" s="21">
        <f>IF(AND(C4465&lt;&gt;"", J4465&lt;&gt;""), HYPERLINK("#'" &amp; C4465 &amp; "'!" &amp; J4465, J4465), "")</f>
        <v/>
      </c>
    </row>
    <row r="4466">
      <c r="B4466" s="21">
        <f>IF(AND(C4466&lt;&gt;"", J4466&lt;&gt;""), HYPERLINK("#'" &amp; C4466 &amp; "'!" &amp; J4466, J4466), "")</f>
        <v/>
      </c>
    </row>
    <row r="4467">
      <c r="B4467" s="21">
        <f>IF(AND(C4467&lt;&gt;"", J4467&lt;&gt;""), HYPERLINK("#'" &amp; C4467 &amp; "'!" &amp; J4467, J4467), "")</f>
        <v/>
      </c>
    </row>
    <row r="4468">
      <c r="B4468" s="21">
        <f>IF(AND(C4468&lt;&gt;"", J4468&lt;&gt;""), HYPERLINK("#'" &amp; C4468 &amp; "'!" &amp; J4468, J4468), "")</f>
        <v/>
      </c>
    </row>
    <row r="4469">
      <c r="B4469" s="21">
        <f>IF(AND(C4469&lt;&gt;"", J4469&lt;&gt;""), HYPERLINK("#'" &amp; C4469 &amp; "'!" &amp; J4469, J4469), "")</f>
        <v/>
      </c>
    </row>
    <row r="4470">
      <c r="B4470" s="21">
        <f>IF(AND(C4470&lt;&gt;"", J4470&lt;&gt;""), HYPERLINK("#'" &amp; C4470 &amp; "'!" &amp; J4470, J4470), "")</f>
        <v/>
      </c>
    </row>
    <row r="4471">
      <c r="B4471" s="21">
        <f>IF(AND(C4471&lt;&gt;"", J4471&lt;&gt;""), HYPERLINK("#'" &amp; C4471 &amp; "'!" &amp; J4471, J4471), "")</f>
        <v/>
      </c>
    </row>
    <row r="4472">
      <c r="B4472" s="21">
        <f>IF(AND(C4472&lt;&gt;"", J4472&lt;&gt;""), HYPERLINK("#'" &amp; C4472 &amp; "'!" &amp; J4472, J4472), "")</f>
        <v/>
      </c>
    </row>
    <row r="4473">
      <c r="B4473" s="21">
        <f>IF(AND(C4473&lt;&gt;"", J4473&lt;&gt;""), HYPERLINK("#'" &amp; C4473 &amp; "'!" &amp; J4473, J4473), "")</f>
        <v/>
      </c>
    </row>
    <row r="4474">
      <c r="B4474" s="21">
        <f>IF(AND(C4474&lt;&gt;"", J4474&lt;&gt;""), HYPERLINK("#'" &amp; C4474 &amp; "'!" &amp; J4474, J4474), "")</f>
        <v/>
      </c>
    </row>
    <row r="4475">
      <c r="B4475" s="21">
        <f>IF(AND(C4475&lt;&gt;"", J4475&lt;&gt;""), HYPERLINK("#'" &amp; C4475 &amp; "'!" &amp; J4475, J4475), "")</f>
        <v/>
      </c>
    </row>
    <row r="4476">
      <c r="B4476" s="21">
        <f>IF(AND(C4476&lt;&gt;"", J4476&lt;&gt;""), HYPERLINK("#'" &amp; C4476 &amp; "'!" &amp; J4476, J4476), "")</f>
        <v/>
      </c>
    </row>
    <row r="4477">
      <c r="B4477" s="21">
        <f>IF(AND(C4477&lt;&gt;"", J4477&lt;&gt;""), HYPERLINK("#'" &amp; C4477 &amp; "'!" &amp; J4477, J4477), "")</f>
        <v/>
      </c>
    </row>
    <row r="4478">
      <c r="B4478" s="21">
        <f>IF(AND(C4478&lt;&gt;"", J4478&lt;&gt;""), HYPERLINK("#'" &amp; C4478 &amp; "'!" &amp; J4478, J4478), "")</f>
        <v/>
      </c>
    </row>
    <row r="4479">
      <c r="B4479" s="21">
        <f>IF(AND(C4479&lt;&gt;"", J4479&lt;&gt;""), HYPERLINK("#'" &amp; C4479 &amp; "'!" &amp; J4479, J4479), "")</f>
        <v/>
      </c>
    </row>
    <row r="4480">
      <c r="B4480" s="21">
        <f>IF(AND(C4480&lt;&gt;"", J4480&lt;&gt;""), HYPERLINK("#'" &amp; C4480 &amp; "'!" &amp; J4480, J4480), "")</f>
        <v/>
      </c>
    </row>
    <row r="4481">
      <c r="B4481" s="21">
        <f>IF(AND(C4481&lt;&gt;"", J4481&lt;&gt;""), HYPERLINK("#'" &amp; C4481 &amp; "'!" &amp; J4481, J4481), "")</f>
        <v/>
      </c>
    </row>
    <row r="4482">
      <c r="B4482" s="21">
        <f>IF(AND(C4482&lt;&gt;"", J4482&lt;&gt;""), HYPERLINK("#'" &amp; C4482 &amp; "'!" &amp; J4482, J4482), "")</f>
        <v/>
      </c>
    </row>
    <row r="4483">
      <c r="B4483" s="21">
        <f>IF(AND(C4483&lt;&gt;"", J4483&lt;&gt;""), HYPERLINK("#'" &amp; C4483 &amp; "'!" &amp; J4483, J4483), "")</f>
        <v/>
      </c>
    </row>
    <row r="4484">
      <c r="B4484" s="21">
        <f>IF(AND(C4484&lt;&gt;"", J4484&lt;&gt;""), HYPERLINK("#'" &amp; C4484 &amp; "'!" &amp; J4484, J4484), "")</f>
        <v/>
      </c>
    </row>
    <row r="4485">
      <c r="B4485" s="21">
        <f>IF(AND(C4485&lt;&gt;"", J4485&lt;&gt;""), HYPERLINK("#'" &amp; C4485 &amp; "'!" &amp; J4485, J4485), "")</f>
        <v/>
      </c>
    </row>
    <row r="4486">
      <c r="B4486" s="21">
        <f>IF(AND(C4486&lt;&gt;"", J4486&lt;&gt;""), HYPERLINK("#'" &amp; C4486 &amp; "'!" &amp; J4486, J4486), "")</f>
        <v/>
      </c>
    </row>
    <row r="4487">
      <c r="B4487" s="21">
        <f>IF(AND(C4487&lt;&gt;"", J4487&lt;&gt;""), HYPERLINK("#'" &amp; C4487 &amp; "'!" &amp; J4487, J4487), "")</f>
        <v/>
      </c>
    </row>
    <row r="4488">
      <c r="B4488" s="21">
        <f>IF(AND(C4488&lt;&gt;"", J4488&lt;&gt;""), HYPERLINK("#'" &amp; C4488 &amp; "'!" &amp; J4488, J4488), "")</f>
        <v/>
      </c>
    </row>
    <row r="4489">
      <c r="B4489" s="21">
        <f>IF(AND(C4489&lt;&gt;"", J4489&lt;&gt;""), HYPERLINK("#'" &amp; C4489 &amp; "'!" &amp; J4489, J4489), "")</f>
        <v/>
      </c>
    </row>
    <row r="4490">
      <c r="B4490" s="21">
        <f>IF(AND(C4490&lt;&gt;"", J4490&lt;&gt;""), HYPERLINK("#'" &amp; C4490 &amp; "'!" &amp; J4490, J4490), "")</f>
        <v/>
      </c>
    </row>
    <row r="4491">
      <c r="B4491" s="21">
        <f>IF(AND(C4491&lt;&gt;"", J4491&lt;&gt;""), HYPERLINK("#'" &amp; C4491 &amp; "'!" &amp; J4491, J4491), "")</f>
        <v/>
      </c>
    </row>
    <row r="4492">
      <c r="B4492" s="21">
        <f>IF(AND(C4492&lt;&gt;"", J4492&lt;&gt;""), HYPERLINK("#'" &amp; C4492 &amp; "'!" &amp; J4492, J4492), "")</f>
        <v/>
      </c>
    </row>
    <row r="4493">
      <c r="B4493" s="21">
        <f>IF(AND(C4493&lt;&gt;"", J4493&lt;&gt;""), HYPERLINK("#'" &amp; C4493 &amp; "'!" &amp; J4493, J4493), "")</f>
        <v/>
      </c>
    </row>
    <row r="4494">
      <c r="B4494" s="21">
        <f>IF(AND(C4494&lt;&gt;"", J4494&lt;&gt;""), HYPERLINK("#'" &amp; C4494 &amp; "'!" &amp; J4494, J4494), "")</f>
        <v/>
      </c>
    </row>
    <row r="4495">
      <c r="B4495" s="21">
        <f>IF(AND(C4495&lt;&gt;"", J4495&lt;&gt;""), HYPERLINK("#'" &amp; C4495 &amp; "'!" &amp; J4495, J4495), "")</f>
        <v/>
      </c>
    </row>
    <row r="4496">
      <c r="B4496" s="21">
        <f>IF(AND(C4496&lt;&gt;"", J4496&lt;&gt;""), HYPERLINK("#'" &amp; C4496 &amp; "'!" &amp; J4496, J4496), "")</f>
        <v/>
      </c>
    </row>
    <row r="4497">
      <c r="B4497" s="21">
        <f>IF(AND(C4497&lt;&gt;"", J4497&lt;&gt;""), HYPERLINK("#'" &amp; C4497 &amp; "'!" &amp; J4497, J4497), "")</f>
        <v/>
      </c>
    </row>
    <row r="4498">
      <c r="B4498" s="21">
        <f>IF(AND(C4498&lt;&gt;"", J4498&lt;&gt;""), HYPERLINK("#'" &amp; C4498 &amp; "'!" &amp; J4498, J4498), "")</f>
        <v/>
      </c>
    </row>
    <row r="4499">
      <c r="B4499" s="21">
        <f>IF(AND(C4499&lt;&gt;"", J4499&lt;&gt;""), HYPERLINK("#'" &amp; C4499 &amp; "'!" &amp; J4499, J4499), "")</f>
        <v/>
      </c>
    </row>
    <row r="4500">
      <c r="B4500" s="21">
        <f>IF(AND(C4500&lt;&gt;"", J4500&lt;&gt;""), HYPERLINK("#'" &amp; C4500 &amp; "'!" &amp; J4500, J4500), "")</f>
        <v/>
      </c>
    </row>
    <row r="4501">
      <c r="B4501" s="21">
        <f>IF(AND(C4501&lt;&gt;"", J4501&lt;&gt;""), HYPERLINK("#'" &amp; C4501 &amp; "'!" &amp; J4501, J4501), "")</f>
        <v/>
      </c>
    </row>
    <row r="4502">
      <c r="B4502" s="21">
        <f>IF(AND(C4502&lt;&gt;"", J4502&lt;&gt;""), HYPERLINK("#'" &amp; C4502 &amp; "'!" &amp; J4502, J4502), "")</f>
        <v/>
      </c>
    </row>
    <row r="4503">
      <c r="B4503" s="21">
        <f>IF(AND(C4503&lt;&gt;"", J4503&lt;&gt;""), HYPERLINK("#'" &amp; C4503 &amp; "'!" &amp; J4503, J4503), "")</f>
        <v/>
      </c>
    </row>
    <row r="4504">
      <c r="B4504" s="21">
        <f>IF(AND(C4504&lt;&gt;"", J4504&lt;&gt;""), HYPERLINK("#'" &amp; C4504 &amp; "'!" &amp; J4504, J4504), "")</f>
        <v/>
      </c>
    </row>
    <row r="4505">
      <c r="B4505" s="21">
        <f>IF(AND(C4505&lt;&gt;"", J4505&lt;&gt;""), HYPERLINK("#'" &amp; C4505 &amp; "'!" &amp; J4505, J4505), "")</f>
        <v/>
      </c>
    </row>
    <row r="4506">
      <c r="B4506" s="21">
        <f>IF(AND(C4506&lt;&gt;"", J4506&lt;&gt;""), HYPERLINK("#'" &amp; C4506 &amp; "'!" &amp; J4506, J4506), "")</f>
        <v/>
      </c>
    </row>
    <row r="4507">
      <c r="B4507" s="21">
        <f>IF(AND(C4507&lt;&gt;"", J4507&lt;&gt;""), HYPERLINK("#'" &amp; C4507 &amp; "'!" &amp; J4507, J4507), "")</f>
        <v/>
      </c>
    </row>
    <row r="4508">
      <c r="B4508" s="21">
        <f>IF(AND(C4508&lt;&gt;"", J4508&lt;&gt;""), HYPERLINK("#'" &amp; C4508 &amp; "'!" &amp; J4508, J4508), "")</f>
        <v/>
      </c>
    </row>
    <row r="4509">
      <c r="B4509" s="21">
        <f>IF(AND(C4509&lt;&gt;"", J4509&lt;&gt;""), HYPERLINK("#'" &amp; C4509 &amp; "'!" &amp; J4509, J4509), "")</f>
        <v/>
      </c>
    </row>
    <row r="4510">
      <c r="B4510" s="21">
        <f>IF(AND(C4510&lt;&gt;"", J4510&lt;&gt;""), HYPERLINK("#'" &amp; C4510 &amp; "'!" &amp; J4510, J4510), "")</f>
        <v/>
      </c>
    </row>
    <row r="4511">
      <c r="B4511" s="21">
        <f>IF(AND(C4511&lt;&gt;"", J4511&lt;&gt;""), HYPERLINK("#'" &amp; C4511 &amp; "'!" &amp; J4511, J4511), "")</f>
        <v/>
      </c>
    </row>
    <row r="4512">
      <c r="B4512" s="21">
        <f>IF(AND(C4512&lt;&gt;"", J4512&lt;&gt;""), HYPERLINK("#'" &amp; C4512 &amp; "'!" &amp; J4512, J4512), "")</f>
        <v/>
      </c>
    </row>
    <row r="4513">
      <c r="B4513" s="21">
        <f>IF(AND(C4513&lt;&gt;"", J4513&lt;&gt;""), HYPERLINK("#'" &amp; C4513 &amp; "'!" &amp; J4513, J4513), "")</f>
        <v/>
      </c>
    </row>
    <row r="4514">
      <c r="B4514" s="21">
        <f>IF(AND(C4514&lt;&gt;"", J4514&lt;&gt;""), HYPERLINK("#'" &amp; C4514 &amp; "'!" &amp; J4514, J4514), "")</f>
        <v/>
      </c>
    </row>
    <row r="4515">
      <c r="B4515" s="21">
        <f>IF(AND(C4515&lt;&gt;"", J4515&lt;&gt;""), HYPERLINK("#'" &amp; C4515 &amp; "'!" &amp; J4515, J4515), "")</f>
        <v/>
      </c>
    </row>
    <row r="4516">
      <c r="B4516" s="21">
        <f>IF(AND(C4516&lt;&gt;"", J4516&lt;&gt;""), HYPERLINK("#'" &amp; C4516 &amp; "'!" &amp; J4516, J4516), "")</f>
        <v/>
      </c>
    </row>
    <row r="4517">
      <c r="B4517" s="21">
        <f>IF(AND(C4517&lt;&gt;"", J4517&lt;&gt;""), HYPERLINK("#'" &amp; C4517 &amp; "'!" &amp; J4517, J4517), "")</f>
        <v/>
      </c>
    </row>
    <row r="4518">
      <c r="B4518" s="21">
        <f>IF(AND(C4518&lt;&gt;"", J4518&lt;&gt;""), HYPERLINK("#'" &amp; C4518 &amp; "'!" &amp; J4518, J4518), "")</f>
        <v/>
      </c>
    </row>
    <row r="4519">
      <c r="B4519" s="21">
        <f>IF(AND(C4519&lt;&gt;"", J4519&lt;&gt;""), HYPERLINK("#'" &amp; C4519 &amp; "'!" &amp; J4519, J4519), "")</f>
        <v/>
      </c>
    </row>
    <row r="4520">
      <c r="B4520" s="21">
        <f>IF(AND(C4520&lt;&gt;"", J4520&lt;&gt;""), HYPERLINK("#'" &amp; C4520 &amp; "'!" &amp; J4520, J4520), "")</f>
        <v/>
      </c>
    </row>
    <row r="4521">
      <c r="B4521" s="21">
        <f>IF(AND(C4521&lt;&gt;"", J4521&lt;&gt;""), HYPERLINK("#'" &amp; C4521 &amp; "'!" &amp; J4521, J4521), "")</f>
        <v/>
      </c>
    </row>
    <row r="4522">
      <c r="B4522" s="21">
        <f>IF(AND(C4522&lt;&gt;"", J4522&lt;&gt;""), HYPERLINK("#'" &amp; C4522 &amp; "'!" &amp; J4522, J4522), "")</f>
        <v/>
      </c>
    </row>
    <row r="4523">
      <c r="B4523" s="21">
        <f>IF(AND(C4523&lt;&gt;"", J4523&lt;&gt;""), HYPERLINK("#'" &amp; C4523 &amp; "'!" &amp; J4523, J4523), "")</f>
        <v/>
      </c>
    </row>
    <row r="4524">
      <c r="B4524" s="21">
        <f>IF(AND(C4524&lt;&gt;"", J4524&lt;&gt;""), HYPERLINK("#'" &amp; C4524 &amp; "'!" &amp; J4524, J4524), "")</f>
        <v/>
      </c>
    </row>
    <row r="4525">
      <c r="B4525" s="21">
        <f>IF(AND(C4525&lt;&gt;"", J4525&lt;&gt;""), HYPERLINK("#'" &amp; C4525 &amp; "'!" &amp; J4525, J4525), "")</f>
        <v/>
      </c>
    </row>
    <row r="4526">
      <c r="B4526" s="21">
        <f>IF(AND(C4526&lt;&gt;"", J4526&lt;&gt;""), HYPERLINK("#'" &amp; C4526 &amp; "'!" &amp; J4526, J4526), "")</f>
        <v/>
      </c>
    </row>
    <row r="4527">
      <c r="B4527" s="21">
        <f>IF(AND(C4527&lt;&gt;"", J4527&lt;&gt;""), HYPERLINK("#'" &amp; C4527 &amp; "'!" &amp; J4527, J4527), "")</f>
        <v/>
      </c>
    </row>
    <row r="4528">
      <c r="B4528" s="21">
        <f>IF(AND(C4528&lt;&gt;"", J4528&lt;&gt;""), HYPERLINK("#'" &amp; C4528 &amp; "'!" &amp; J4528, J4528), "")</f>
        <v/>
      </c>
    </row>
    <row r="4529">
      <c r="B4529" s="21">
        <f>IF(AND(C4529&lt;&gt;"", J4529&lt;&gt;""), HYPERLINK("#'" &amp; C4529 &amp; "'!" &amp; J4529, J4529), "")</f>
        <v/>
      </c>
    </row>
    <row r="4530">
      <c r="B4530" s="21">
        <f>IF(AND(C4530&lt;&gt;"", J4530&lt;&gt;""), HYPERLINK("#'" &amp; C4530 &amp; "'!" &amp; J4530, J4530), "")</f>
        <v/>
      </c>
    </row>
    <row r="4531">
      <c r="B4531" s="21">
        <f>IF(AND(C4531&lt;&gt;"", J4531&lt;&gt;""), HYPERLINK("#'" &amp; C4531 &amp; "'!" &amp; J4531, J4531), "")</f>
        <v/>
      </c>
    </row>
    <row r="4532">
      <c r="B4532" s="21">
        <f>IF(AND(C4532&lt;&gt;"", J4532&lt;&gt;""), HYPERLINK("#'" &amp; C4532 &amp; "'!" &amp; J4532, J4532), "")</f>
        <v/>
      </c>
    </row>
    <row r="4533">
      <c r="B4533" s="21">
        <f>IF(AND(C4533&lt;&gt;"", J4533&lt;&gt;""), HYPERLINK("#'" &amp; C4533 &amp; "'!" &amp; J4533, J4533), "")</f>
        <v/>
      </c>
    </row>
    <row r="4534">
      <c r="B4534" s="21">
        <f>IF(AND(C4534&lt;&gt;"", J4534&lt;&gt;""), HYPERLINK("#'" &amp; C4534 &amp; "'!" &amp; J4534, J4534), "")</f>
        <v/>
      </c>
    </row>
    <row r="4535">
      <c r="B4535" s="21">
        <f>IF(AND(C4535&lt;&gt;"", J4535&lt;&gt;""), HYPERLINK("#'" &amp; C4535 &amp; "'!" &amp; J4535, J4535), "")</f>
        <v/>
      </c>
    </row>
    <row r="4536">
      <c r="B4536" s="21">
        <f>IF(AND(C4536&lt;&gt;"", J4536&lt;&gt;""), HYPERLINK("#'" &amp; C4536 &amp; "'!" &amp; J4536, J4536), "")</f>
        <v/>
      </c>
    </row>
    <row r="4537">
      <c r="B4537" s="21">
        <f>IF(AND(C4537&lt;&gt;"", J4537&lt;&gt;""), HYPERLINK("#'" &amp; C4537 &amp; "'!" &amp; J4537, J4537), "")</f>
        <v/>
      </c>
    </row>
    <row r="4538">
      <c r="B4538" s="21">
        <f>IF(AND(C4538&lt;&gt;"", J4538&lt;&gt;""), HYPERLINK("#'" &amp; C4538 &amp; "'!" &amp; J4538, J4538), "")</f>
        <v/>
      </c>
    </row>
    <row r="4539">
      <c r="B4539" s="21">
        <f>IF(AND(C4539&lt;&gt;"", J4539&lt;&gt;""), HYPERLINK("#'" &amp; C4539 &amp; "'!" &amp; J4539, J4539), "")</f>
        <v/>
      </c>
    </row>
    <row r="4540">
      <c r="B4540" s="21">
        <f>IF(AND(C4540&lt;&gt;"", J4540&lt;&gt;""), HYPERLINK("#'" &amp; C4540 &amp; "'!" &amp; J4540, J4540), "")</f>
        <v/>
      </c>
    </row>
    <row r="4541">
      <c r="B4541" s="21">
        <f>IF(AND(C4541&lt;&gt;"", J4541&lt;&gt;""), HYPERLINK("#'" &amp; C4541 &amp; "'!" &amp; J4541, J4541), "")</f>
        <v/>
      </c>
    </row>
    <row r="4542">
      <c r="B4542" s="21">
        <f>IF(AND(C4542&lt;&gt;"", J4542&lt;&gt;""), HYPERLINK("#'" &amp; C4542 &amp; "'!" &amp; J4542, J4542), "")</f>
        <v/>
      </c>
    </row>
    <row r="4543">
      <c r="B4543" s="21">
        <f>IF(AND(C4543&lt;&gt;"", J4543&lt;&gt;""), HYPERLINK("#'" &amp; C4543 &amp; "'!" &amp; J4543, J4543), "")</f>
        <v/>
      </c>
    </row>
    <row r="4544">
      <c r="B4544" s="21">
        <f>IF(AND(C4544&lt;&gt;"", J4544&lt;&gt;""), HYPERLINK("#'" &amp; C4544 &amp; "'!" &amp; J4544, J4544), "")</f>
        <v/>
      </c>
    </row>
    <row r="4545">
      <c r="B4545" s="21">
        <f>IF(AND(C4545&lt;&gt;"", J4545&lt;&gt;""), HYPERLINK("#'" &amp; C4545 &amp; "'!" &amp; J4545, J4545), "")</f>
        <v/>
      </c>
    </row>
    <row r="4546">
      <c r="B4546" s="21">
        <f>IF(AND(C4546&lt;&gt;"", J4546&lt;&gt;""), HYPERLINK("#'" &amp; C4546 &amp; "'!" &amp; J4546, J4546), "")</f>
        <v/>
      </c>
    </row>
    <row r="4547">
      <c r="B4547" s="21">
        <f>IF(AND(C4547&lt;&gt;"", J4547&lt;&gt;""), HYPERLINK("#'" &amp; C4547 &amp; "'!" &amp; J4547, J4547), "")</f>
        <v/>
      </c>
    </row>
    <row r="4548">
      <c r="B4548" s="21">
        <f>IF(AND(C4548&lt;&gt;"", J4548&lt;&gt;""), HYPERLINK("#'" &amp; C4548 &amp; "'!" &amp; J4548, J4548), "")</f>
        <v/>
      </c>
    </row>
    <row r="4549">
      <c r="B4549" s="21">
        <f>IF(AND(C4549&lt;&gt;"", J4549&lt;&gt;""), HYPERLINK("#'" &amp; C4549 &amp; "'!" &amp; J4549, J4549), "")</f>
        <v/>
      </c>
    </row>
    <row r="4550">
      <c r="B4550" s="21">
        <f>IF(AND(C4550&lt;&gt;"", J4550&lt;&gt;""), HYPERLINK("#'" &amp; C4550 &amp; "'!" &amp; J4550, J4550), "")</f>
        <v/>
      </c>
    </row>
    <row r="4551">
      <c r="B4551" s="21">
        <f>IF(AND(C4551&lt;&gt;"", J4551&lt;&gt;""), HYPERLINK("#'" &amp; C4551 &amp; "'!" &amp; J4551, J4551), "")</f>
        <v/>
      </c>
    </row>
    <row r="4552">
      <c r="B4552" s="21">
        <f>IF(AND(C4552&lt;&gt;"", J4552&lt;&gt;""), HYPERLINK("#'" &amp; C4552 &amp; "'!" &amp; J4552, J4552), "")</f>
        <v/>
      </c>
    </row>
    <row r="4553">
      <c r="B4553" s="21">
        <f>IF(AND(C4553&lt;&gt;"", J4553&lt;&gt;""), HYPERLINK("#'" &amp; C4553 &amp; "'!" &amp; J4553, J4553), "")</f>
        <v/>
      </c>
    </row>
    <row r="4554">
      <c r="B4554" s="21">
        <f>IF(AND(C4554&lt;&gt;"", J4554&lt;&gt;""), HYPERLINK("#'" &amp; C4554 &amp; "'!" &amp; J4554, J4554), "")</f>
        <v/>
      </c>
    </row>
    <row r="4555">
      <c r="B4555" s="21">
        <f>IF(AND(C4555&lt;&gt;"", J4555&lt;&gt;""), HYPERLINK("#'" &amp; C4555 &amp; "'!" &amp; J4555, J4555), "")</f>
        <v/>
      </c>
    </row>
    <row r="4556">
      <c r="B4556" s="21">
        <f>IF(AND(C4556&lt;&gt;"", J4556&lt;&gt;""), HYPERLINK("#'" &amp; C4556 &amp; "'!" &amp; J4556, J4556), "")</f>
        <v/>
      </c>
    </row>
    <row r="4557">
      <c r="B4557" s="21">
        <f>IF(AND(C4557&lt;&gt;"", J4557&lt;&gt;""), HYPERLINK("#'" &amp; C4557 &amp; "'!" &amp; J4557, J4557), "")</f>
        <v/>
      </c>
    </row>
    <row r="4558">
      <c r="B4558" s="21">
        <f>IF(AND(C4558&lt;&gt;"", J4558&lt;&gt;""), HYPERLINK("#'" &amp; C4558 &amp; "'!" &amp; J4558, J4558), "")</f>
        <v/>
      </c>
    </row>
    <row r="4559">
      <c r="B4559" s="21">
        <f>IF(AND(C4559&lt;&gt;"", J4559&lt;&gt;""), HYPERLINK("#'" &amp; C4559 &amp; "'!" &amp; J4559, J4559), "")</f>
        <v/>
      </c>
    </row>
    <row r="4560">
      <c r="B4560" s="21">
        <f>IF(AND(C4560&lt;&gt;"", J4560&lt;&gt;""), HYPERLINK("#'" &amp; C4560 &amp; "'!" &amp; J4560, J4560), "")</f>
        <v/>
      </c>
    </row>
    <row r="4561">
      <c r="B4561" s="21">
        <f>IF(AND(C4561&lt;&gt;"", J4561&lt;&gt;""), HYPERLINK("#'" &amp; C4561 &amp; "'!" &amp; J4561, J4561), "")</f>
        <v/>
      </c>
    </row>
    <row r="4562">
      <c r="B4562" s="21">
        <f>IF(AND(C4562&lt;&gt;"", J4562&lt;&gt;""), HYPERLINK("#'" &amp; C4562 &amp; "'!" &amp; J4562, J4562), "")</f>
        <v/>
      </c>
    </row>
    <row r="4563">
      <c r="B4563" s="21">
        <f>IF(AND(C4563&lt;&gt;"", J4563&lt;&gt;""), HYPERLINK("#'" &amp; C4563 &amp; "'!" &amp; J4563, J4563), "")</f>
        <v/>
      </c>
    </row>
    <row r="4564">
      <c r="B4564" s="21">
        <f>IF(AND(C4564&lt;&gt;"", J4564&lt;&gt;""), HYPERLINK("#'" &amp; C4564 &amp; "'!" &amp; J4564, J4564), "")</f>
        <v/>
      </c>
    </row>
    <row r="4565">
      <c r="B4565" s="21">
        <f>IF(AND(C4565&lt;&gt;"", J4565&lt;&gt;""), HYPERLINK("#'" &amp; C4565 &amp; "'!" &amp; J4565, J4565), "")</f>
        <v/>
      </c>
    </row>
    <row r="4566">
      <c r="B4566" s="21">
        <f>IF(AND(C4566&lt;&gt;"", J4566&lt;&gt;""), HYPERLINK("#'" &amp; C4566 &amp; "'!" &amp; J4566, J4566), "")</f>
        <v/>
      </c>
    </row>
    <row r="4567">
      <c r="B4567" s="21">
        <f>IF(AND(C4567&lt;&gt;"", J4567&lt;&gt;""), HYPERLINK("#'" &amp; C4567 &amp; "'!" &amp; J4567, J4567), "")</f>
        <v/>
      </c>
    </row>
    <row r="4568">
      <c r="B4568" s="21">
        <f>IF(AND(C4568&lt;&gt;"", J4568&lt;&gt;""), HYPERLINK("#'" &amp; C4568 &amp; "'!" &amp; J4568, J4568), "")</f>
        <v/>
      </c>
    </row>
    <row r="4569">
      <c r="B4569" s="21">
        <f>IF(AND(C4569&lt;&gt;"", J4569&lt;&gt;""), HYPERLINK("#'" &amp; C4569 &amp; "'!" &amp; J4569, J4569), "")</f>
        <v/>
      </c>
    </row>
    <row r="4570">
      <c r="B4570" s="21">
        <f>IF(AND(C4570&lt;&gt;"", J4570&lt;&gt;""), HYPERLINK("#'" &amp; C4570 &amp; "'!" &amp; J4570, J4570), "")</f>
        <v/>
      </c>
    </row>
    <row r="4571">
      <c r="B4571" s="21">
        <f>IF(AND(C4571&lt;&gt;"", J4571&lt;&gt;""), HYPERLINK("#'" &amp; C4571 &amp; "'!" &amp; J4571, J4571), "")</f>
        <v/>
      </c>
    </row>
    <row r="4572">
      <c r="B4572" s="21">
        <f>IF(AND(C4572&lt;&gt;"", J4572&lt;&gt;""), HYPERLINK("#'" &amp; C4572 &amp; "'!" &amp; J4572, J4572), "")</f>
        <v/>
      </c>
    </row>
    <row r="4573">
      <c r="B4573" s="21">
        <f>IF(AND(C4573&lt;&gt;"", J4573&lt;&gt;""), HYPERLINK("#'" &amp; C4573 &amp; "'!" &amp; J4573, J4573), "")</f>
        <v/>
      </c>
    </row>
    <row r="4574">
      <c r="B4574" s="21">
        <f>IF(AND(C4574&lt;&gt;"", J4574&lt;&gt;""), HYPERLINK("#'" &amp; C4574 &amp; "'!" &amp; J4574, J4574), "")</f>
        <v/>
      </c>
    </row>
    <row r="4575">
      <c r="B4575" s="21">
        <f>IF(AND(C4575&lt;&gt;"", J4575&lt;&gt;""), HYPERLINK("#'" &amp; C4575 &amp; "'!" &amp; J4575, J4575), "")</f>
        <v/>
      </c>
    </row>
    <row r="4576">
      <c r="B4576" s="21">
        <f>IF(AND(C4576&lt;&gt;"", J4576&lt;&gt;""), HYPERLINK("#'" &amp; C4576 &amp; "'!" &amp; J4576, J4576), "")</f>
        <v/>
      </c>
    </row>
    <row r="4577">
      <c r="B4577" s="21">
        <f>IF(AND(C4577&lt;&gt;"", J4577&lt;&gt;""), HYPERLINK("#'" &amp; C4577 &amp; "'!" &amp; J4577, J4577), "")</f>
        <v/>
      </c>
    </row>
    <row r="4578">
      <c r="B4578" s="21">
        <f>IF(AND(C4578&lt;&gt;"", J4578&lt;&gt;""), HYPERLINK("#'" &amp; C4578 &amp; "'!" &amp; J4578, J4578), "")</f>
        <v/>
      </c>
    </row>
    <row r="4579">
      <c r="B4579" s="21">
        <f>IF(AND(C4579&lt;&gt;"", J4579&lt;&gt;""), HYPERLINK("#'" &amp; C4579 &amp; "'!" &amp; J4579, J4579), "")</f>
        <v/>
      </c>
    </row>
    <row r="4580">
      <c r="B4580" s="21">
        <f>IF(AND(C4580&lt;&gt;"", J4580&lt;&gt;""), HYPERLINK("#'" &amp; C4580 &amp; "'!" &amp; J4580, J4580), "")</f>
        <v/>
      </c>
    </row>
    <row r="4581">
      <c r="B4581" s="21">
        <f>IF(AND(C4581&lt;&gt;"", J4581&lt;&gt;""), HYPERLINK("#'" &amp; C4581 &amp; "'!" &amp; J4581, J4581), "")</f>
        <v/>
      </c>
    </row>
    <row r="4582">
      <c r="B4582" s="21">
        <f>IF(AND(C4582&lt;&gt;"", J4582&lt;&gt;""), HYPERLINK("#'" &amp; C4582 &amp; "'!" &amp; J4582, J4582), "")</f>
        <v/>
      </c>
    </row>
    <row r="4583">
      <c r="B4583" s="21">
        <f>IF(AND(C4583&lt;&gt;"", J4583&lt;&gt;""), HYPERLINK("#'" &amp; C4583 &amp; "'!" &amp; J4583, J4583), "")</f>
        <v/>
      </c>
    </row>
    <row r="4584">
      <c r="B4584" s="21">
        <f>IF(AND(C4584&lt;&gt;"", J4584&lt;&gt;""), HYPERLINK("#'" &amp; C4584 &amp; "'!" &amp; J4584, J4584), "")</f>
        <v/>
      </c>
    </row>
    <row r="4585">
      <c r="B4585" s="21">
        <f>IF(AND(C4585&lt;&gt;"", J4585&lt;&gt;""), HYPERLINK("#'" &amp; C4585 &amp; "'!" &amp; J4585, J4585), "")</f>
        <v/>
      </c>
    </row>
    <row r="4586">
      <c r="B4586" s="21">
        <f>IF(AND(C4586&lt;&gt;"", J4586&lt;&gt;""), HYPERLINK("#'" &amp; C4586 &amp; "'!" &amp; J4586, J4586), "")</f>
        <v/>
      </c>
    </row>
    <row r="4587">
      <c r="B4587" s="21">
        <f>IF(AND(C4587&lt;&gt;"", J4587&lt;&gt;""), HYPERLINK("#'" &amp; C4587 &amp; "'!" &amp; J4587, J4587), "")</f>
        <v/>
      </c>
    </row>
    <row r="4588">
      <c r="B4588" s="21">
        <f>IF(AND(C4588&lt;&gt;"", J4588&lt;&gt;""), HYPERLINK("#'" &amp; C4588 &amp; "'!" &amp; J4588, J4588), "")</f>
        <v/>
      </c>
    </row>
    <row r="4589">
      <c r="B4589" s="21">
        <f>IF(AND(C4589&lt;&gt;"", J4589&lt;&gt;""), HYPERLINK("#'" &amp; C4589 &amp; "'!" &amp; J4589, J4589), "")</f>
        <v/>
      </c>
    </row>
    <row r="4590">
      <c r="B4590" s="21">
        <f>IF(AND(C4590&lt;&gt;"", J4590&lt;&gt;""), HYPERLINK("#'" &amp; C4590 &amp; "'!" &amp; J4590, J4590), "")</f>
        <v/>
      </c>
    </row>
    <row r="4591">
      <c r="B4591" s="21">
        <f>IF(AND(C4591&lt;&gt;"", J4591&lt;&gt;""), HYPERLINK("#'" &amp; C4591 &amp; "'!" &amp; J4591, J4591), "")</f>
        <v/>
      </c>
    </row>
    <row r="4592">
      <c r="B4592" s="21">
        <f>IF(AND(C4592&lt;&gt;"", J4592&lt;&gt;""), HYPERLINK("#'" &amp; C4592 &amp; "'!" &amp; J4592, J4592), "")</f>
        <v/>
      </c>
    </row>
    <row r="4593">
      <c r="B4593" s="21">
        <f>IF(AND(C4593&lt;&gt;"", J4593&lt;&gt;""), HYPERLINK("#'" &amp; C4593 &amp; "'!" &amp; J4593, J4593), "")</f>
        <v/>
      </c>
    </row>
    <row r="4594">
      <c r="B4594" s="21">
        <f>IF(AND(C4594&lt;&gt;"", J4594&lt;&gt;""), HYPERLINK("#'" &amp; C4594 &amp; "'!" &amp; J4594, J4594), "")</f>
        <v/>
      </c>
    </row>
    <row r="4595">
      <c r="B4595" s="21">
        <f>IF(AND(C4595&lt;&gt;"", J4595&lt;&gt;""), HYPERLINK("#'" &amp; C4595 &amp; "'!" &amp; J4595, J4595), "")</f>
        <v/>
      </c>
    </row>
    <row r="4596">
      <c r="B4596" s="21">
        <f>IF(AND(C4596&lt;&gt;"", J4596&lt;&gt;""), HYPERLINK("#'" &amp; C4596 &amp; "'!" &amp; J4596, J4596), "")</f>
        <v/>
      </c>
    </row>
    <row r="4597">
      <c r="B4597" s="21">
        <f>IF(AND(C4597&lt;&gt;"", J4597&lt;&gt;""), HYPERLINK("#'" &amp; C4597 &amp; "'!" &amp; J4597, J4597), "")</f>
        <v/>
      </c>
    </row>
    <row r="4598">
      <c r="B4598" s="21">
        <f>IF(AND(C4598&lt;&gt;"", J4598&lt;&gt;""), HYPERLINK("#'" &amp; C4598 &amp; "'!" &amp; J4598, J4598), "")</f>
        <v/>
      </c>
    </row>
    <row r="4599">
      <c r="B4599" s="21">
        <f>IF(AND(C4599&lt;&gt;"", J4599&lt;&gt;""), HYPERLINK("#'" &amp; C4599 &amp; "'!" &amp; J4599, J4599), "")</f>
        <v/>
      </c>
    </row>
    <row r="4600">
      <c r="B4600" s="21">
        <f>IF(AND(C4600&lt;&gt;"", J4600&lt;&gt;""), HYPERLINK("#'" &amp; C4600 &amp; "'!" &amp; J4600, J4600), "")</f>
        <v/>
      </c>
    </row>
    <row r="4601">
      <c r="B4601" s="21">
        <f>IF(AND(C4601&lt;&gt;"", J4601&lt;&gt;""), HYPERLINK("#'" &amp; C4601 &amp; "'!" &amp; J4601, J4601), "")</f>
        <v/>
      </c>
    </row>
    <row r="4602">
      <c r="B4602" s="21">
        <f>IF(AND(C4602&lt;&gt;"", J4602&lt;&gt;""), HYPERLINK("#'" &amp; C4602 &amp; "'!" &amp; J4602, J4602), "")</f>
        <v/>
      </c>
    </row>
    <row r="4603">
      <c r="B4603" s="21">
        <f>IF(AND(C4603&lt;&gt;"", J4603&lt;&gt;""), HYPERLINK("#'" &amp; C4603 &amp; "'!" &amp; J4603, J4603), "")</f>
        <v/>
      </c>
    </row>
    <row r="4604">
      <c r="B4604" s="21">
        <f>IF(AND(C4604&lt;&gt;"", J4604&lt;&gt;""), HYPERLINK("#'" &amp; C4604 &amp; "'!" &amp; J4604, J4604), "")</f>
        <v/>
      </c>
    </row>
    <row r="4605">
      <c r="B4605" s="21">
        <f>IF(AND(C4605&lt;&gt;"", J4605&lt;&gt;""), HYPERLINK("#'" &amp; C4605 &amp; "'!" &amp; J4605, J4605), "")</f>
        <v/>
      </c>
    </row>
    <row r="4606">
      <c r="B4606" s="21">
        <f>IF(AND(C4606&lt;&gt;"", J4606&lt;&gt;""), HYPERLINK("#'" &amp; C4606 &amp; "'!" &amp; J4606, J4606), "")</f>
        <v/>
      </c>
    </row>
    <row r="4607">
      <c r="B4607" s="21">
        <f>IF(AND(C4607&lt;&gt;"", J4607&lt;&gt;""), HYPERLINK("#'" &amp; C4607 &amp; "'!" &amp; J4607, J4607), "")</f>
        <v/>
      </c>
    </row>
    <row r="4608">
      <c r="B4608" s="21">
        <f>IF(AND(C4608&lt;&gt;"", J4608&lt;&gt;""), HYPERLINK("#'" &amp; C4608 &amp; "'!" &amp; J4608, J4608), "")</f>
        <v/>
      </c>
    </row>
    <row r="4609">
      <c r="B4609" s="21">
        <f>IF(AND(C4609&lt;&gt;"", J4609&lt;&gt;""), HYPERLINK("#'" &amp; C4609 &amp; "'!" &amp; J4609, J4609), "")</f>
        <v/>
      </c>
    </row>
    <row r="4610">
      <c r="B4610" s="21">
        <f>IF(AND(C4610&lt;&gt;"", J4610&lt;&gt;""), HYPERLINK("#'" &amp; C4610 &amp; "'!" &amp; J4610, J4610), "")</f>
        <v/>
      </c>
    </row>
    <row r="4611">
      <c r="B4611" s="21">
        <f>IF(AND(C4611&lt;&gt;"", J4611&lt;&gt;""), HYPERLINK("#'" &amp; C4611 &amp; "'!" &amp; J4611, J4611), "")</f>
        <v/>
      </c>
    </row>
    <row r="4612">
      <c r="B4612" s="21">
        <f>IF(AND(C4612&lt;&gt;"", J4612&lt;&gt;""), HYPERLINK("#'" &amp; C4612 &amp; "'!" &amp; J4612, J4612), "")</f>
        <v/>
      </c>
    </row>
    <row r="4613">
      <c r="B4613" s="21">
        <f>IF(AND(C4613&lt;&gt;"", J4613&lt;&gt;""), HYPERLINK("#'" &amp; C4613 &amp; "'!" &amp; J4613, J4613), "")</f>
        <v/>
      </c>
    </row>
    <row r="4614">
      <c r="B4614" s="21">
        <f>IF(AND(C4614&lt;&gt;"", J4614&lt;&gt;""), HYPERLINK("#'" &amp; C4614 &amp; "'!" &amp; J4614, J4614), "")</f>
        <v/>
      </c>
    </row>
    <row r="4615">
      <c r="B4615" s="21">
        <f>IF(AND(C4615&lt;&gt;"", J4615&lt;&gt;""), HYPERLINK("#'" &amp; C4615 &amp; "'!" &amp; J4615, J4615), "")</f>
        <v/>
      </c>
    </row>
    <row r="4616">
      <c r="B4616" s="21">
        <f>IF(AND(C4616&lt;&gt;"", J4616&lt;&gt;""), HYPERLINK("#'" &amp; C4616 &amp; "'!" &amp; J4616, J4616), "")</f>
        <v/>
      </c>
    </row>
    <row r="4617">
      <c r="B4617" s="21">
        <f>IF(AND(C4617&lt;&gt;"", J4617&lt;&gt;""), HYPERLINK("#'" &amp; C4617 &amp; "'!" &amp; J4617, J4617), "")</f>
        <v/>
      </c>
    </row>
    <row r="4618">
      <c r="B4618" s="21">
        <f>IF(AND(C4618&lt;&gt;"", J4618&lt;&gt;""), HYPERLINK("#'" &amp; C4618 &amp; "'!" &amp; J4618, J4618), "")</f>
        <v/>
      </c>
    </row>
    <row r="4619">
      <c r="B4619" s="21">
        <f>IF(AND(C4619&lt;&gt;"", J4619&lt;&gt;""), HYPERLINK("#'" &amp; C4619 &amp; "'!" &amp; J4619, J4619), "")</f>
        <v/>
      </c>
    </row>
    <row r="4620">
      <c r="B4620" s="21">
        <f>IF(AND(C4620&lt;&gt;"", J4620&lt;&gt;""), HYPERLINK("#'" &amp; C4620 &amp; "'!" &amp; J4620, J4620), "")</f>
        <v/>
      </c>
    </row>
    <row r="4621">
      <c r="B4621" s="21">
        <f>IF(AND(C4621&lt;&gt;"", J4621&lt;&gt;""), HYPERLINK("#'" &amp; C4621 &amp; "'!" &amp; J4621, J4621), "")</f>
        <v/>
      </c>
    </row>
    <row r="4622">
      <c r="B4622" s="21">
        <f>IF(AND(C4622&lt;&gt;"", J4622&lt;&gt;""), HYPERLINK("#'" &amp; C4622 &amp; "'!" &amp; J4622, J4622), "")</f>
        <v/>
      </c>
    </row>
    <row r="4623">
      <c r="B4623" s="21">
        <f>IF(AND(C4623&lt;&gt;"", J4623&lt;&gt;""), HYPERLINK("#'" &amp; C4623 &amp; "'!" &amp; J4623, J4623), "")</f>
        <v/>
      </c>
    </row>
    <row r="4624">
      <c r="B4624" s="21">
        <f>IF(AND(C4624&lt;&gt;"", J4624&lt;&gt;""), HYPERLINK("#'" &amp; C4624 &amp; "'!" &amp; J4624, J4624), "")</f>
        <v/>
      </c>
    </row>
    <row r="4625">
      <c r="B4625" s="21">
        <f>IF(AND(C4625&lt;&gt;"", J4625&lt;&gt;""), HYPERLINK("#'" &amp; C4625 &amp; "'!" &amp; J4625, J4625), "")</f>
        <v/>
      </c>
    </row>
    <row r="4626">
      <c r="B4626" s="21">
        <f>IF(AND(C4626&lt;&gt;"", J4626&lt;&gt;""), HYPERLINK("#'" &amp; C4626 &amp; "'!" &amp; J4626, J4626), "")</f>
        <v/>
      </c>
    </row>
    <row r="4627">
      <c r="B4627" s="21">
        <f>IF(AND(C4627&lt;&gt;"", J4627&lt;&gt;""), HYPERLINK("#'" &amp; C4627 &amp; "'!" &amp; J4627, J4627), "")</f>
        <v/>
      </c>
    </row>
    <row r="4628">
      <c r="B4628" s="21">
        <f>IF(AND(C4628&lt;&gt;"", J4628&lt;&gt;""), HYPERLINK("#'" &amp; C4628 &amp; "'!" &amp; J4628, J4628), "")</f>
        <v/>
      </c>
    </row>
    <row r="4629">
      <c r="B4629" s="21">
        <f>IF(AND(C4629&lt;&gt;"", J4629&lt;&gt;""), HYPERLINK("#'" &amp; C4629 &amp; "'!" &amp; J4629, J4629), "")</f>
        <v/>
      </c>
    </row>
    <row r="4630">
      <c r="B4630" s="21">
        <f>IF(AND(C4630&lt;&gt;"", J4630&lt;&gt;""), HYPERLINK("#'" &amp; C4630 &amp; "'!" &amp; J4630, J4630), "")</f>
        <v/>
      </c>
    </row>
    <row r="4631">
      <c r="B4631" s="21">
        <f>IF(AND(C4631&lt;&gt;"", J4631&lt;&gt;""), HYPERLINK("#'" &amp; C4631 &amp; "'!" &amp; J4631, J4631), "")</f>
        <v/>
      </c>
    </row>
    <row r="4632">
      <c r="B4632" s="21">
        <f>IF(AND(C4632&lt;&gt;"", J4632&lt;&gt;""), HYPERLINK("#'" &amp; C4632 &amp; "'!" &amp; J4632, J4632), "")</f>
        <v/>
      </c>
    </row>
    <row r="4633">
      <c r="B4633" s="21">
        <f>IF(AND(C4633&lt;&gt;"", J4633&lt;&gt;""), HYPERLINK("#'" &amp; C4633 &amp; "'!" &amp; J4633, J4633), "")</f>
        <v/>
      </c>
    </row>
    <row r="4634">
      <c r="B4634" s="21">
        <f>IF(AND(C4634&lt;&gt;"", J4634&lt;&gt;""), HYPERLINK("#'" &amp; C4634 &amp; "'!" &amp; J4634, J4634), "")</f>
        <v/>
      </c>
    </row>
    <row r="4635">
      <c r="B4635" s="21">
        <f>IF(AND(C4635&lt;&gt;"", J4635&lt;&gt;""), HYPERLINK("#'" &amp; C4635 &amp; "'!" &amp; J4635, J4635), "")</f>
        <v/>
      </c>
    </row>
    <row r="4636">
      <c r="B4636" s="21">
        <f>IF(AND(C4636&lt;&gt;"", J4636&lt;&gt;""), HYPERLINK("#'" &amp; C4636 &amp; "'!" &amp; J4636, J4636), "")</f>
        <v/>
      </c>
    </row>
    <row r="4637">
      <c r="B4637" s="21">
        <f>IF(AND(C4637&lt;&gt;"", J4637&lt;&gt;""), HYPERLINK("#'" &amp; C4637 &amp; "'!" &amp; J4637, J4637), "")</f>
        <v/>
      </c>
    </row>
    <row r="4638">
      <c r="B4638" s="21">
        <f>IF(AND(C4638&lt;&gt;"", J4638&lt;&gt;""), HYPERLINK("#'" &amp; C4638 &amp; "'!" &amp; J4638, J4638), "")</f>
        <v/>
      </c>
    </row>
    <row r="4639">
      <c r="B4639" s="21">
        <f>IF(AND(C4639&lt;&gt;"", J4639&lt;&gt;""), HYPERLINK("#'" &amp; C4639 &amp; "'!" &amp; J4639, J4639), "")</f>
        <v/>
      </c>
    </row>
    <row r="4640">
      <c r="B4640" s="21">
        <f>IF(AND(C4640&lt;&gt;"", J4640&lt;&gt;""), HYPERLINK("#'" &amp; C4640 &amp; "'!" &amp; J4640, J4640), "")</f>
        <v/>
      </c>
    </row>
    <row r="4641">
      <c r="B4641" s="21">
        <f>IF(AND(C4641&lt;&gt;"", J4641&lt;&gt;""), HYPERLINK("#'" &amp; C4641 &amp; "'!" &amp; J4641, J4641), "")</f>
        <v/>
      </c>
    </row>
    <row r="4642">
      <c r="B4642" s="21">
        <f>IF(AND(C4642&lt;&gt;"", J4642&lt;&gt;""), HYPERLINK("#'" &amp; C4642 &amp; "'!" &amp; J4642, J4642), "")</f>
        <v/>
      </c>
    </row>
    <row r="4643">
      <c r="B4643" s="21">
        <f>IF(AND(C4643&lt;&gt;"", J4643&lt;&gt;""), HYPERLINK("#'" &amp; C4643 &amp; "'!" &amp; J4643, J4643), "")</f>
        <v/>
      </c>
    </row>
    <row r="4644">
      <c r="B4644" s="21">
        <f>IF(AND(C4644&lt;&gt;"", J4644&lt;&gt;""), HYPERLINK("#'" &amp; C4644 &amp; "'!" &amp; J4644, J4644), "")</f>
        <v/>
      </c>
    </row>
    <row r="4645">
      <c r="B4645" s="21">
        <f>IF(AND(C4645&lt;&gt;"", J4645&lt;&gt;""), HYPERLINK("#'" &amp; C4645 &amp; "'!" &amp; J4645, J4645), "")</f>
        <v/>
      </c>
    </row>
    <row r="4646">
      <c r="B4646" s="21">
        <f>IF(AND(C4646&lt;&gt;"", J4646&lt;&gt;""), HYPERLINK("#'" &amp; C4646 &amp; "'!" &amp; J4646, J4646), "")</f>
        <v/>
      </c>
    </row>
    <row r="4647">
      <c r="B4647" s="21">
        <f>IF(AND(C4647&lt;&gt;"", J4647&lt;&gt;""), HYPERLINK("#'" &amp; C4647 &amp; "'!" &amp; J4647, J4647), "")</f>
        <v/>
      </c>
    </row>
    <row r="4648">
      <c r="B4648" s="21">
        <f>IF(AND(C4648&lt;&gt;"", J4648&lt;&gt;""), HYPERLINK("#'" &amp; C4648 &amp; "'!" &amp; J4648, J4648), "")</f>
        <v/>
      </c>
    </row>
    <row r="4649">
      <c r="B4649" s="21">
        <f>IF(AND(C4649&lt;&gt;"", J4649&lt;&gt;""), HYPERLINK("#'" &amp; C4649 &amp; "'!" &amp; J4649, J4649), "")</f>
        <v/>
      </c>
    </row>
    <row r="4650">
      <c r="B4650" s="21">
        <f>IF(AND(C4650&lt;&gt;"", J4650&lt;&gt;""), HYPERLINK("#'" &amp; C4650 &amp; "'!" &amp; J4650, J4650), "")</f>
        <v/>
      </c>
    </row>
    <row r="4651">
      <c r="B4651" s="21">
        <f>IF(AND(C4651&lt;&gt;"", J4651&lt;&gt;""), HYPERLINK("#'" &amp; C4651 &amp; "'!" &amp; J4651, J4651), "")</f>
        <v/>
      </c>
    </row>
    <row r="4652">
      <c r="B4652" s="21">
        <f>IF(AND(C4652&lt;&gt;"", J4652&lt;&gt;""), HYPERLINK("#'" &amp; C4652 &amp; "'!" &amp; J4652, J4652), "")</f>
        <v/>
      </c>
    </row>
    <row r="4653">
      <c r="B4653" s="21">
        <f>IF(AND(C4653&lt;&gt;"", J4653&lt;&gt;""), HYPERLINK("#'" &amp; C4653 &amp; "'!" &amp; J4653, J4653), "")</f>
        <v/>
      </c>
    </row>
    <row r="4654">
      <c r="B4654" s="21">
        <f>IF(AND(C4654&lt;&gt;"", J4654&lt;&gt;""), HYPERLINK("#'" &amp; C4654 &amp; "'!" &amp; J4654, J4654), "")</f>
        <v/>
      </c>
    </row>
    <row r="4655">
      <c r="B4655" s="21">
        <f>IF(AND(C4655&lt;&gt;"", J4655&lt;&gt;""), HYPERLINK("#'" &amp; C4655 &amp; "'!" &amp; J4655, J4655), "")</f>
        <v/>
      </c>
    </row>
    <row r="4656">
      <c r="B4656" s="21">
        <f>IF(AND(C4656&lt;&gt;"", J4656&lt;&gt;""), HYPERLINK("#'" &amp; C4656 &amp; "'!" &amp; J4656, J4656), "")</f>
        <v/>
      </c>
    </row>
    <row r="4657">
      <c r="B4657" s="21">
        <f>IF(AND(C4657&lt;&gt;"", J4657&lt;&gt;""), HYPERLINK("#'" &amp; C4657 &amp; "'!" &amp; J4657, J4657), "")</f>
        <v/>
      </c>
    </row>
    <row r="4658">
      <c r="B4658" s="21">
        <f>IF(AND(C4658&lt;&gt;"", J4658&lt;&gt;""), HYPERLINK("#'" &amp; C4658 &amp; "'!" &amp; J4658, J4658), "")</f>
        <v/>
      </c>
    </row>
    <row r="4659">
      <c r="B4659" s="21">
        <f>IF(AND(C4659&lt;&gt;"", J4659&lt;&gt;""), HYPERLINK("#'" &amp; C4659 &amp; "'!" &amp; J4659, J4659), "")</f>
        <v/>
      </c>
    </row>
    <row r="4660">
      <c r="B4660" s="21">
        <f>IF(AND(C4660&lt;&gt;"", J4660&lt;&gt;""), HYPERLINK("#'" &amp; C4660 &amp; "'!" &amp; J4660, J4660), "")</f>
        <v/>
      </c>
    </row>
    <row r="4661">
      <c r="B4661" s="21">
        <f>IF(AND(C4661&lt;&gt;"", J4661&lt;&gt;""), HYPERLINK("#'" &amp; C4661 &amp; "'!" &amp; J4661, J4661), "")</f>
        <v/>
      </c>
    </row>
    <row r="4662">
      <c r="B4662" s="21">
        <f>IF(AND(C4662&lt;&gt;"", J4662&lt;&gt;""), HYPERLINK("#'" &amp; C4662 &amp; "'!" &amp; J4662, J4662), "")</f>
        <v/>
      </c>
    </row>
    <row r="4663">
      <c r="B4663" s="21">
        <f>IF(AND(C4663&lt;&gt;"", J4663&lt;&gt;""), HYPERLINK("#'" &amp; C4663 &amp; "'!" &amp; J4663, J4663), "")</f>
        <v/>
      </c>
    </row>
    <row r="4664">
      <c r="B4664" s="21">
        <f>IF(AND(C4664&lt;&gt;"", J4664&lt;&gt;""), HYPERLINK("#'" &amp; C4664 &amp; "'!" &amp; J4664, J4664), "")</f>
        <v/>
      </c>
    </row>
    <row r="4665">
      <c r="B4665" s="21">
        <f>IF(AND(C4665&lt;&gt;"", J4665&lt;&gt;""), HYPERLINK("#'" &amp; C4665 &amp; "'!" &amp; J4665, J4665), "")</f>
        <v/>
      </c>
    </row>
    <row r="4666">
      <c r="B4666" s="21">
        <f>IF(AND(C4666&lt;&gt;"", J4666&lt;&gt;""), HYPERLINK("#'" &amp; C4666 &amp; "'!" &amp; J4666, J4666), "")</f>
        <v/>
      </c>
    </row>
    <row r="4667">
      <c r="B4667" s="21">
        <f>IF(AND(C4667&lt;&gt;"", J4667&lt;&gt;""), HYPERLINK("#'" &amp; C4667 &amp; "'!" &amp; J4667, J4667), "")</f>
        <v/>
      </c>
    </row>
    <row r="4668">
      <c r="B4668" s="21">
        <f>IF(AND(C4668&lt;&gt;"", J4668&lt;&gt;""), HYPERLINK("#'" &amp; C4668 &amp; "'!" &amp; J4668, J4668), "")</f>
        <v/>
      </c>
    </row>
    <row r="4669">
      <c r="B4669" s="21">
        <f>IF(AND(C4669&lt;&gt;"", J4669&lt;&gt;""), HYPERLINK("#'" &amp; C4669 &amp; "'!" &amp; J4669, J4669), "")</f>
        <v/>
      </c>
    </row>
    <row r="4670">
      <c r="B4670" s="21">
        <f>IF(AND(C4670&lt;&gt;"", J4670&lt;&gt;""), HYPERLINK("#'" &amp; C4670 &amp; "'!" &amp; J4670, J4670), "")</f>
        <v/>
      </c>
    </row>
    <row r="4671">
      <c r="B4671" s="21">
        <f>IF(AND(C4671&lt;&gt;"", J4671&lt;&gt;""), HYPERLINK("#'" &amp; C4671 &amp; "'!" &amp; J4671, J4671), "")</f>
        <v/>
      </c>
    </row>
    <row r="4672">
      <c r="B4672" s="21">
        <f>IF(AND(C4672&lt;&gt;"", J4672&lt;&gt;""), HYPERLINK("#'" &amp; C4672 &amp; "'!" &amp; J4672, J4672), "")</f>
        <v/>
      </c>
    </row>
    <row r="4673">
      <c r="B4673" s="21">
        <f>IF(AND(C4673&lt;&gt;"", J4673&lt;&gt;""), HYPERLINK("#'" &amp; C4673 &amp; "'!" &amp; J4673, J4673), "")</f>
        <v/>
      </c>
    </row>
    <row r="4674">
      <c r="B4674" s="21">
        <f>IF(AND(C4674&lt;&gt;"", J4674&lt;&gt;""), HYPERLINK("#'" &amp; C4674 &amp; "'!" &amp; J4674, J4674), "")</f>
        <v/>
      </c>
    </row>
    <row r="4675">
      <c r="B4675" s="21">
        <f>IF(AND(C4675&lt;&gt;"", J4675&lt;&gt;""), HYPERLINK("#'" &amp; C4675 &amp; "'!" &amp; J4675, J4675), "")</f>
        <v/>
      </c>
    </row>
    <row r="4676">
      <c r="B4676" s="21">
        <f>IF(AND(C4676&lt;&gt;"", J4676&lt;&gt;""), HYPERLINK("#'" &amp; C4676 &amp; "'!" &amp; J4676, J4676), "")</f>
        <v/>
      </c>
    </row>
    <row r="4677">
      <c r="B4677" s="21">
        <f>IF(AND(C4677&lt;&gt;"", J4677&lt;&gt;""), HYPERLINK("#'" &amp; C4677 &amp; "'!" &amp; J4677, J4677), "")</f>
        <v/>
      </c>
    </row>
    <row r="4678">
      <c r="B4678" s="21">
        <f>IF(AND(C4678&lt;&gt;"", J4678&lt;&gt;""), HYPERLINK("#'" &amp; C4678 &amp; "'!" &amp; J4678, J4678), "")</f>
        <v/>
      </c>
    </row>
    <row r="4679">
      <c r="B4679" s="21">
        <f>IF(AND(C4679&lt;&gt;"", J4679&lt;&gt;""), HYPERLINK("#'" &amp; C4679 &amp; "'!" &amp; J4679, J4679), "")</f>
        <v/>
      </c>
    </row>
    <row r="4680">
      <c r="B4680" s="21">
        <f>IF(AND(C4680&lt;&gt;"", J4680&lt;&gt;""), HYPERLINK("#'" &amp; C4680 &amp; "'!" &amp; J4680, J4680), "")</f>
        <v/>
      </c>
    </row>
    <row r="4681">
      <c r="B4681" s="21">
        <f>IF(AND(C4681&lt;&gt;"", J4681&lt;&gt;""), HYPERLINK("#'" &amp; C4681 &amp; "'!" &amp; J4681, J4681), "")</f>
        <v/>
      </c>
    </row>
    <row r="4682">
      <c r="B4682" s="21">
        <f>IF(AND(C4682&lt;&gt;"", J4682&lt;&gt;""), HYPERLINK("#'" &amp; C4682 &amp; "'!" &amp; J4682, J4682), "")</f>
        <v/>
      </c>
    </row>
    <row r="4683">
      <c r="B4683" s="21">
        <f>IF(AND(C4683&lt;&gt;"", J4683&lt;&gt;""), HYPERLINK("#'" &amp; C4683 &amp; "'!" &amp; J4683, J4683), "")</f>
        <v/>
      </c>
    </row>
    <row r="4684">
      <c r="B4684" s="21">
        <f>IF(AND(C4684&lt;&gt;"", J4684&lt;&gt;""), HYPERLINK("#'" &amp; C4684 &amp; "'!" &amp; J4684, J4684), "")</f>
        <v/>
      </c>
    </row>
    <row r="4685">
      <c r="B4685" s="21">
        <f>IF(AND(C4685&lt;&gt;"", J4685&lt;&gt;""), HYPERLINK("#'" &amp; C4685 &amp; "'!" &amp; J4685, J4685), "")</f>
        <v/>
      </c>
    </row>
    <row r="4686">
      <c r="B4686" s="21">
        <f>IF(AND(C4686&lt;&gt;"", J4686&lt;&gt;""), HYPERLINK("#'" &amp; C4686 &amp; "'!" &amp; J4686, J4686), "")</f>
        <v/>
      </c>
    </row>
    <row r="4687">
      <c r="B4687" s="21">
        <f>IF(AND(C4687&lt;&gt;"", J4687&lt;&gt;""), HYPERLINK("#'" &amp; C4687 &amp; "'!" &amp; J4687, J4687), "")</f>
        <v/>
      </c>
    </row>
    <row r="4688">
      <c r="B4688" s="21">
        <f>IF(AND(C4688&lt;&gt;"", J4688&lt;&gt;""), HYPERLINK("#'" &amp; C4688 &amp; "'!" &amp; J4688, J4688), "")</f>
        <v/>
      </c>
    </row>
    <row r="4689">
      <c r="B4689" s="21">
        <f>IF(AND(C4689&lt;&gt;"", J4689&lt;&gt;""), HYPERLINK("#'" &amp; C4689 &amp; "'!" &amp; J4689, J4689), "")</f>
        <v/>
      </c>
    </row>
    <row r="4690">
      <c r="B4690" s="21">
        <f>IF(AND(C4690&lt;&gt;"", J4690&lt;&gt;""), HYPERLINK("#'" &amp; C4690 &amp; "'!" &amp; J4690, J4690), "")</f>
        <v/>
      </c>
    </row>
    <row r="4691">
      <c r="B4691" s="21">
        <f>IF(AND(C4691&lt;&gt;"", J4691&lt;&gt;""), HYPERLINK("#'" &amp; C4691 &amp; "'!" &amp; J4691, J4691), "")</f>
        <v/>
      </c>
    </row>
    <row r="4692">
      <c r="B4692" s="21">
        <f>IF(AND(C4692&lt;&gt;"", J4692&lt;&gt;""), HYPERLINK("#'" &amp; C4692 &amp; "'!" &amp; J4692, J4692), "")</f>
        <v/>
      </c>
    </row>
    <row r="4693">
      <c r="B4693" s="21">
        <f>IF(AND(C4693&lt;&gt;"", J4693&lt;&gt;""), HYPERLINK("#'" &amp; C4693 &amp; "'!" &amp; J4693, J4693), "")</f>
        <v/>
      </c>
    </row>
    <row r="4694">
      <c r="B4694" s="21">
        <f>IF(AND(C4694&lt;&gt;"", J4694&lt;&gt;""), HYPERLINK("#'" &amp; C4694 &amp; "'!" &amp; J4694, J4694), "")</f>
        <v/>
      </c>
    </row>
    <row r="4695">
      <c r="B4695" s="21">
        <f>IF(AND(C4695&lt;&gt;"", J4695&lt;&gt;""), HYPERLINK("#'" &amp; C4695 &amp; "'!" &amp; J4695, J4695), "")</f>
        <v/>
      </c>
    </row>
    <row r="4696">
      <c r="B4696" s="21">
        <f>IF(AND(C4696&lt;&gt;"", J4696&lt;&gt;""), HYPERLINK("#'" &amp; C4696 &amp; "'!" &amp; J4696, J4696), "")</f>
        <v/>
      </c>
    </row>
    <row r="4697">
      <c r="B4697" s="21">
        <f>IF(AND(C4697&lt;&gt;"", J4697&lt;&gt;""), HYPERLINK("#'" &amp; C4697 &amp; "'!" &amp; J4697, J4697), "")</f>
        <v/>
      </c>
    </row>
    <row r="4698">
      <c r="B4698" s="21">
        <f>IF(AND(C4698&lt;&gt;"", J4698&lt;&gt;""), HYPERLINK("#'" &amp; C4698 &amp; "'!" &amp; J4698, J4698), "")</f>
        <v/>
      </c>
    </row>
    <row r="4699">
      <c r="B4699" s="21">
        <f>IF(AND(C4699&lt;&gt;"", J4699&lt;&gt;""), HYPERLINK("#'" &amp; C4699 &amp; "'!" &amp; J4699, J4699), "")</f>
        <v/>
      </c>
    </row>
    <row r="4700">
      <c r="B4700" s="21">
        <f>IF(AND(C4700&lt;&gt;"", J4700&lt;&gt;""), HYPERLINK("#'" &amp; C4700 &amp; "'!" &amp; J4700, J4700), "")</f>
        <v/>
      </c>
    </row>
    <row r="4701">
      <c r="B4701" s="21">
        <f>IF(AND(C4701&lt;&gt;"", J4701&lt;&gt;""), HYPERLINK("#'" &amp; C4701 &amp; "'!" &amp; J4701, J4701), "")</f>
        <v/>
      </c>
    </row>
    <row r="4702">
      <c r="B4702" s="21">
        <f>IF(AND(C4702&lt;&gt;"", J4702&lt;&gt;""), HYPERLINK("#'" &amp; C4702 &amp; "'!" &amp; J4702, J4702), "")</f>
        <v/>
      </c>
    </row>
    <row r="4703">
      <c r="B4703" s="21">
        <f>IF(AND(C4703&lt;&gt;"", J4703&lt;&gt;""), HYPERLINK("#'" &amp; C4703 &amp; "'!" &amp; J4703, J4703), "")</f>
        <v/>
      </c>
    </row>
    <row r="4704">
      <c r="B4704" s="21">
        <f>IF(AND(C4704&lt;&gt;"", J4704&lt;&gt;""), HYPERLINK("#'" &amp; C4704 &amp; "'!" &amp; J4704, J4704), "")</f>
        <v/>
      </c>
    </row>
    <row r="4705">
      <c r="B4705" s="21">
        <f>IF(AND(C4705&lt;&gt;"", J4705&lt;&gt;""), HYPERLINK("#'" &amp; C4705 &amp; "'!" &amp; J4705, J4705), "")</f>
        <v/>
      </c>
    </row>
    <row r="4706">
      <c r="B4706" s="21">
        <f>IF(AND(C4706&lt;&gt;"", J4706&lt;&gt;""), HYPERLINK("#'" &amp; C4706 &amp; "'!" &amp; J4706, J4706), "")</f>
        <v/>
      </c>
    </row>
    <row r="4707">
      <c r="B4707" s="21">
        <f>IF(AND(C4707&lt;&gt;"", J4707&lt;&gt;""), HYPERLINK("#'" &amp; C4707 &amp; "'!" &amp; J4707, J4707), "")</f>
        <v/>
      </c>
    </row>
    <row r="4708">
      <c r="B4708" s="21">
        <f>IF(AND(C4708&lt;&gt;"", J4708&lt;&gt;""), HYPERLINK("#'" &amp; C4708 &amp; "'!" &amp; J4708, J4708), "")</f>
        <v/>
      </c>
    </row>
    <row r="4709">
      <c r="B4709" s="21">
        <f>IF(AND(C4709&lt;&gt;"", J4709&lt;&gt;""), HYPERLINK("#'" &amp; C4709 &amp; "'!" &amp; J4709, J4709), "")</f>
        <v/>
      </c>
    </row>
    <row r="4710">
      <c r="B4710" s="21">
        <f>IF(AND(C4710&lt;&gt;"", J4710&lt;&gt;""), HYPERLINK("#'" &amp; C4710 &amp; "'!" &amp; J4710, J4710), "")</f>
        <v/>
      </c>
    </row>
    <row r="4711">
      <c r="B4711" s="21">
        <f>IF(AND(C4711&lt;&gt;"", J4711&lt;&gt;""), HYPERLINK("#'" &amp; C4711 &amp; "'!" &amp; J4711, J4711), "")</f>
        <v/>
      </c>
    </row>
    <row r="4712">
      <c r="B4712" s="21">
        <f>IF(AND(C4712&lt;&gt;"", J4712&lt;&gt;""), HYPERLINK("#'" &amp; C4712 &amp; "'!" &amp; J4712, J4712), "")</f>
        <v/>
      </c>
    </row>
    <row r="4713">
      <c r="B4713" s="21">
        <f>IF(AND(C4713&lt;&gt;"", J4713&lt;&gt;""), HYPERLINK("#'" &amp; C4713 &amp; "'!" &amp; J4713, J4713), "")</f>
        <v/>
      </c>
    </row>
    <row r="4714">
      <c r="B4714" s="21">
        <f>IF(AND(C4714&lt;&gt;"", J4714&lt;&gt;""), HYPERLINK("#'" &amp; C4714 &amp; "'!" &amp; J4714, J4714), "")</f>
        <v/>
      </c>
    </row>
    <row r="4715">
      <c r="B4715" s="21">
        <f>IF(AND(C4715&lt;&gt;"", J4715&lt;&gt;""), HYPERLINK("#'" &amp; C4715 &amp; "'!" &amp; J4715, J4715), "")</f>
        <v/>
      </c>
    </row>
    <row r="4716">
      <c r="B4716" s="21">
        <f>IF(AND(C4716&lt;&gt;"", J4716&lt;&gt;""), HYPERLINK("#'" &amp; C4716 &amp; "'!" &amp; J4716, J4716), "")</f>
        <v/>
      </c>
    </row>
    <row r="4717">
      <c r="B4717" s="21">
        <f>IF(AND(C4717&lt;&gt;"", J4717&lt;&gt;""), HYPERLINK("#'" &amp; C4717 &amp; "'!" &amp; J4717, J4717), "")</f>
        <v/>
      </c>
    </row>
    <row r="4718">
      <c r="B4718" s="21">
        <f>IF(AND(C4718&lt;&gt;"", J4718&lt;&gt;""), HYPERLINK("#'" &amp; C4718 &amp; "'!" &amp; J4718, J4718), "")</f>
        <v/>
      </c>
    </row>
    <row r="4719">
      <c r="B4719" s="21">
        <f>IF(AND(C4719&lt;&gt;"", J4719&lt;&gt;""), HYPERLINK("#'" &amp; C4719 &amp; "'!" &amp; J4719, J4719), "")</f>
        <v/>
      </c>
    </row>
    <row r="4720">
      <c r="B4720" s="21">
        <f>IF(AND(C4720&lt;&gt;"", J4720&lt;&gt;""), HYPERLINK("#'" &amp; C4720 &amp; "'!" &amp; J4720, J4720), "")</f>
        <v/>
      </c>
    </row>
    <row r="4721">
      <c r="B4721" s="21">
        <f>IF(AND(C4721&lt;&gt;"", J4721&lt;&gt;""), HYPERLINK("#'" &amp; C4721 &amp; "'!" &amp; J4721, J4721), "")</f>
        <v/>
      </c>
    </row>
    <row r="4722">
      <c r="B4722" s="21">
        <f>IF(AND(C4722&lt;&gt;"", J4722&lt;&gt;""), HYPERLINK("#'" &amp; C4722 &amp; "'!" &amp; J4722, J4722), "")</f>
        <v/>
      </c>
    </row>
    <row r="4723">
      <c r="B4723" s="21">
        <f>IF(AND(C4723&lt;&gt;"", J4723&lt;&gt;""), HYPERLINK("#'" &amp; C4723 &amp; "'!" &amp; J4723, J4723), "")</f>
        <v/>
      </c>
    </row>
    <row r="4724">
      <c r="B4724" s="21">
        <f>IF(AND(C4724&lt;&gt;"", J4724&lt;&gt;""), HYPERLINK("#'" &amp; C4724 &amp; "'!" &amp; J4724, J4724), "")</f>
        <v/>
      </c>
    </row>
    <row r="4725">
      <c r="B4725" s="21">
        <f>IF(AND(C4725&lt;&gt;"", J4725&lt;&gt;""), HYPERLINK("#'" &amp; C4725 &amp; "'!" &amp; J4725, J4725), "")</f>
        <v/>
      </c>
    </row>
    <row r="4726">
      <c r="B4726" s="21">
        <f>IF(AND(C4726&lt;&gt;"", J4726&lt;&gt;""), HYPERLINK("#'" &amp; C4726 &amp; "'!" &amp; J4726, J4726), "")</f>
        <v/>
      </c>
    </row>
    <row r="4727">
      <c r="B4727" s="21">
        <f>IF(AND(C4727&lt;&gt;"", J4727&lt;&gt;""), HYPERLINK("#'" &amp; C4727 &amp; "'!" &amp; J4727, J4727), "")</f>
        <v/>
      </c>
    </row>
    <row r="4728">
      <c r="B4728" s="21">
        <f>IF(AND(C4728&lt;&gt;"", J4728&lt;&gt;""), HYPERLINK("#'" &amp; C4728 &amp; "'!" &amp; J4728, J4728), "")</f>
        <v/>
      </c>
    </row>
    <row r="4729">
      <c r="B4729" s="21">
        <f>IF(AND(C4729&lt;&gt;"", J4729&lt;&gt;""), HYPERLINK("#'" &amp; C4729 &amp; "'!" &amp; J4729, J4729), "")</f>
        <v/>
      </c>
    </row>
    <row r="4730">
      <c r="B4730" s="21">
        <f>IF(AND(C4730&lt;&gt;"", J4730&lt;&gt;""), HYPERLINK("#'" &amp; C4730 &amp; "'!" &amp; J4730, J4730), "")</f>
        <v/>
      </c>
    </row>
    <row r="4731">
      <c r="B4731" s="21">
        <f>IF(AND(C4731&lt;&gt;"", J4731&lt;&gt;""), HYPERLINK("#'" &amp; C4731 &amp; "'!" &amp; J4731, J4731), "")</f>
        <v/>
      </c>
    </row>
    <row r="4732">
      <c r="B4732" s="21">
        <f>IF(AND(C4732&lt;&gt;"", J4732&lt;&gt;""), HYPERLINK("#'" &amp; C4732 &amp; "'!" &amp; J4732, J4732), "")</f>
        <v/>
      </c>
    </row>
    <row r="4733">
      <c r="B4733" s="21">
        <f>IF(AND(C4733&lt;&gt;"", J4733&lt;&gt;""), HYPERLINK("#'" &amp; C4733 &amp; "'!" &amp; J4733, J4733), "")</f>
        <v/>
      </c>
    </row>
    <row r="4734">
      <c r="B4734" s="21">
        <f>IF(AND(C4734&lt;&gt;"", J4734&lt;&gt;""), HYPERLINK("#'" &amp; C4734 &amp; "'!" &amp; J4734, J4734), "")</f>
        <v/>
      </c>
    </row>
    <row r="4735">
      <c r="B4735" s="21">
        <f>IF(AND(C4735&lt;&gt;"", J4735&lt;&gt;""), HYPERLINK("#'" &amp; C4735 &amp; "'!" &amp; J4735, J4735), "")</f>
        <v/>
      </c>
    </row>
    <row r="4736">
      <c r="B4736" s="21">
        <f>IF(AND(C4736&lt;&gt;"", J4736&lt;&gt;""), HYPERLINK("#'" &amp; C4736 &amp; "'!" &amp; J4736, J4736), "")</f>
        <v/>
      </c>
    </row>
    <row r="4737">
      <c r="B4737" s="21">
        <f>IF(AND(C4737&lt;&gt;"", J4737&lt;&gt;""), HYPERLINK("#'" &amp; C4737 &amp; "'!" &amp; J4737, J4737), "")</f>
        <v/>
      </c>
    </row>
    <row r="4738">
      <c r="B4738" s="21">
        <f>IF(AND(C4738&lt;&gt;"", J4738&lt;&gt;""), HYPERLINK("#'" &amp; C4738 &amp; "'!" &amp; J4738, J4738), "")</f>
        <v/>
      </c>
    </row>
    <row r="4739">
      <c r="B4739" s="21">
        <f>IF(AND(C4739&lt;&gt;"", J4739&lt;&gt;""), HYPERLINK("#'" &amp; C4739 &amp; "'!" &amp; J4739, J4739), "")</f>
        <v/>
      </c>
    </row>
    <row r="4740">
      <c r="B4740" s="21">
        <f>IF(AND(C4740&lt;&gt;"", J4740&lt;&gt;""), HYPERLINK("#'" &amp; C4740 &amp; "'!" &amp; J4740, J4740), "")</f>
        <v/>
      </c>
    </row>
    <row r="4741">
      <c r="B4741" s="21">
        <f>IF(AND(C4741&lt;&gt;"", J4741&lt;&gt;""), HYPERLINK("#'" &amp; C4741 &amp; "'!" &amp; J4741, J4741), "")</f>
        <v/>
      </c>
    </row>
    <row r="4742">
      <c r="B4742" s="21">
        <f>IF(AND(C4742&lt;&gt;"", J4742&lt;&gt;""), HYPERLINK("#'" &amp; C4742 &amp; "'!" &amp; J4742, J4742), "")</f>
        <v/>
      </c>
    </row>
    <row r="4743">
      <c r="B4743" s="21">
        <f>IF(AND(C4743&lt;&gt;"", J4743&lt;&gt;""), HYPERLINK("#'" &amp; C4743 &amp; "'!" &amp; J4743, J4743), "")</f>
        <v/>
      </c>
    </row>
    <row r="4744">
      <c r="B4744" s="21">
        <f>IF(AND(C4744&lt;&gt;"", J4744&lt;&gt;""), HYPERLINK("#'" &amp; C4744 &amp; "'!" &amp; J4744, J4744), "")</f>
        <v/>
      </c>
    </row>
    <row r="4745">
      <c r="B4745" s="21">
        <f>IF(AND(C4745&lt;&gt;"", J4745&lt;&gt;""), HYPERLINK("#'" &amp; C4745 &amp; "'!" &amp; J4745, J4745), "")</f>
        <v/>
      </c>
    </row>
    <row r="4746">
      <c r="B4746" s="21">
        <f>IF(AND(C4746&lt;&gt;"", J4746&lt;&gt;""), HYPERLINK("#'" &amp; C4746 &amp; "'!" &amp; J4746, J4746), "")</f>
        <v/>
      </c>
    </row>
    <row r="4747">
      <c r="B4747" s="21">
        <f>IF(AND(C4747&lt;&gt;"", J4747&lt;&gt;""), HYPERLINK("#'" &amp; C4747 &amp; "'!" &amp; J4747, J4747), "")</f>
        <v/>
      </c>
    </row>
    <row r="4748">
      <c r="B4748" s="21">
        <f>IF(AND(C4748&lt;&gt;"", J4748&lt;&gt;""), HYPERLINK("#'" &amp; C4748 &amp; "'!" &amp; J4748, J4748), "")</f>
        <v/>
      </c>
    </row>
    <row r="4749">
      <c r="B4749" s="21">
        <f>IF(AND(C4749&lt;&gt;"", J4749&lt;&gt;""), HYPERLINK("#'" &amp; C4749 &amp; "'!" &amp; J4749, J4749), "")</f>
        <v/>
      </c>
    </row>
    <row r="4750">
      <c r="B4750" s="21">
        <f>IF(AND(C4750&lt;&gt;"", J4750&lt;&gt;""), HYPERLINK("#'" &amp; C4750 &amp; "'!" &amp; J4750, J4750), "")</f>
        <v/>
      </c>
    </row>
    <row r="4751">
      <c r="B4751" s="21">
        <f>IF(AND(C4751&lt;&gt;"", J4751&lt;&gt;""), HYPERLINK("#'" &amp; C4751 &amp; "'!" &amp; J4751, J4751), "")</f>
        <v/>
      </c>
    </row>
    <row r="4752">
      <c r="B4752" s="21">
        <f>IF(AND(C4752&lt;&gt;"", J4752&lt;&gt;""), HYPERLINK("#'" &amp; C4752 &amp; "'!" &amp; J4752, J4752), "")</f>
        <v/>
      </c>
    </row>
    <row r="4753">
      <c r="B4753" s="21">
        <f>IF(AND(C4753&lt;&gt;"", J4753&lt;&gt;""), HYPERLINK("#'" &amp; C4753 &amp; "'!" &amp; J4753, J4753), "")</f>
        <v/>
      </c>
    </row>
    <row r="4754">
      <c r="B4754" s="21">
        <f>IF(AND(C4754&lt;&gt;"", J4754&lt;&gt;""), HYPERLINK("#'" &amp; C4754 &amp; "'!" &amp; J4754, J4754), "")</f>
        <v/>
      </c>
    </row>
    <row r="4755">
      <c r="B4755" s="21">
        <f>IF(AND(C4755&lt;&gt;"", J4755&lt;&gt;""), HYPERLINK("#'" &amp; C4755 &amp; "'!" &amp; J4755, J4755), "")</f>
        <v/>
      </c>
    </row>
    <row r="4756">
      <c r="B4756" s="21">
        <f>IF(AND(C4756&lt;&gt;"", J4756&lt;&gt;""), HYPERLINK("#'" &amp; C4756 &amp; "'!" &amp; J4756, J4756), "")</f>
        <v/>
      </c>
    </row>
    <row r="4757">
      <c r="B4757" s="21">
        <f>IF(AND(C4757&lt;&gt;"", J4757&lt;&gt;""), HYPERLINK("#'" &amp; C4757 &amp; "'!" &amp; J4757, J4757), "")</f>
        <v/>
      </c>
    </row>
    <row r="4758">
      <c r="B4758" s="21">
        <f>IF(AND(C4758&lt;&gt;"", J4758&lt;&gt;""), HYPERLINK("#'" &amp; C4758 &amp; "'!" &amp; J4758, J4758), "")</f>
        <v/>
      </c>
    </row>
    <row r="4759">
      <c r="B4759" s="21">
        <f>IF(AND(C4759&lt;&gt;"", J4759&lt;&gt;""), HYPERLINK("#'" &amp; C4759 &amp; "'!" &amp; J4759, J4759), "")</f>
        <v/>
      </c>
    </row>
    <row r="4760">
      <c r="B4760" s="21">
        <f>IF(AND(C4760&lt;&gt;"", J4760&lt;&gt;""), HYPERLINK("#'" &amp; C4760 &amp; "'!" &amp; J4760, J4760), "")</f>
        <v/>
      </c>
    </row>
    <row r="4761">
      <c r="B4761" s="21">
        <f>IF(AND(C4761&lt;&gt;"", J4761&lt;&gt;""), HYPERLINK("#'" &amp; C4761 &amp; "'!" &amp; J4761, J4761), "")</f>
        <v/>
      </c>
    </row>
    <row r="4762">
      <c r="B4762" s="21">
        <f>IF(AND(C4762&lt;&gt;"", J4762&lt;&gt;""), HYPERLINK("#'" &amp; C4762 &amp; "'!" &amp; J4762, J4762), "")</f>
        <v/>
      </c>
    </row>
    <row r="4763">
      <c r="B4763" s="21">
        <f>IF(AND(C4763&lt;&gt;"", J4763&lt;&gt;""), HYPERLINK("#'" &amp; C4763 &amp; "'!" &amp; J4763, J4763), "")</f>
        <v/>
      </c>
    </row>
    <row r="4764">
      <c r="B4764" s="21">
        <f>IF(AND(C4764&lt;&gt;"", J4764&lt;&gt;""), HYPERLINK("#'" &amp; C4764 &amp; "'!" &amp; J4764, J4764), "")</f>
        <v/>
      </c>
    </row>
    <row r="4765">
      <c r="B4765" s="21">
        <f>IF(AND(C4765&lt;&gt;"", J4765&lt;&gt;""), HYPERLINK("#'" &amp; C4765 &amp; "'!" &amp; J4765, J4765), "")</f>
        <v/>
      </c>
    </row>
    <row r="4766">
      <c r="B4766" s="21">
        <f>IF(AND(C4766&lt;&gt;"", J4766&lt;&gt;""), HYPERLINK("#'" &amp; C4766 &amp; "'!" &amp; J4766, J4766), "")</f>
        <v/>
      </c>
    </row>
    <row r="4767">
      <c r="B4767" s="21">
        <f>IF(AND(C4767&lt;&gt;"", J4767&lt;&gt;""), HYPERLINK("#'" &amp; C4767 &amp; "'!" &amp; J4767, J4767), "")</f>
        <v/>
      </c>
    </row>
    <row r="4768">
      <c r="B4768" s="21">
        <f>IF(AND(C4768&lt;&gt;"", J4768&lt;&gt;""), HYPERLINK("#'" &amp; C4768 &amp; "'!" &amp; J4768, J4768), "")</f>
        <v/>
      </c>
    </row>
    <row r="4769">
      <c r="B4769" s="21">
        <f>IF(AND(C4769&lt;&gt;"", J4769&lt;&gt;""), HYPERLINK("#'" &amp; C4769 &amp; "'!" &amp; J4769, J4769), "")</f>
        <v/>
      </c>
    </row>
    <row r="4770">
      <c r="B4770" s="21">
        <f>IF(AND(C4770&lt;&gt;"", J4770&lt;&gt;""), HYPERLINK("#'" &amp; C4770 &amp; "'!" &amp; J4770, J4770), "")</f>
        <v/>
      </c>
    </row>
    <row r="4771">
      <c r="B4771" s="21">
        <f>IF(AND(C4771&lt;&gt;"", J4771&lt;&gt;""), HYPERLINK("#'" &amp; C4771 &amp; "'!" &amp; J4771, J4771), "")</f>
        <v/>
      </c>
    </row>
    <row r="4772">
      <c r="B4772" s="21">
        <f>IF(AND(C4772&lt;&gt;"", J4772&lt;&gt;""), HYPERLINK("#'" &amp; C4772 &amp; "'!" &amp; J4772, J4772), "")</f>
        <v/>
      </c>
    </row>
    <row r="4773">
      <c r="B4773" s="21">
        <f>IF(AND(C4773&lt;&gt;"", J4773&lt;&gt;""), HYPERLINK("#'" &amp; C4773 &amp; "'!" &amp; J4773, J4773), "")</f>
        <v/>
      </c>
    </row>
    <row r="4774">
      <c r="B4774" s="21">
        <f>IF(AND(C4774&lt;&gt;"", J4774&lt;&gt;""), HYPERLINK("#'" &amp; C4774 &amp; "'!" &amp; J4774, J4774), "")</f>
        <v/>
      </c>
    </row>
    <row r="4775">
      <c r="B4775" s="21">
        <f>IF(AND(C4775&lt;&gt;"", J4775&lt;&gt;""), HYPERLINK("#'" &amp; C4775 &amp; "'!" &amp; J4775, J4775), "")</f>
        <v/>
      </c>
    </row>
    <row r="4776">
      <c r="B4776" s="21">
        <f>IF(AND(C4776&lt;&gt;"", J4776&lt;&gt;""), HYPERLINK("#'" &amp; C4776 &amp; "'!" &amp; J4776, J4776), "")</f>
        <v/>
      </c>
    </row>
    <row r="4777">
      <c r="B4777" s="21">
        <f>IF(AND(C4777&lt;&gt;"", J4777&lt;&gt;""), HYPERLINK("#'" &amp; C4777 &amp; "'!" &amp; J4777, J4777), "")</f>
        <v/>
      </c>
    </row>
    <row r="4778">
      <c r="B4778" s="21">
        <f>IF(AND(C4778&lt;&gt;"", J4778&lt;&gt;""), HYPERLINK("#'" &amp; C4778 &amp; "'!" &amp; J4778, J4778), "")</f>
        <v/>
      </c>
    </row>
    <row r="4779">
      <c r="B4779" s="21">
        <f>IF(AND(C4779&lt;&gt;"", J4779&lt;&gt;""), HYPERLINK("#'" &amp; C4779 &amp; "'!" &amp; J4779, J4779), "")</f>
        <v/>
      </c>
    </row>
    <row r="4780">
      <c r="B4780" s="21">
        <f>IF(AND(C4780&lt;&gt;"", J4780&lt;&gt;""), HYPERLINK("#'" &amp; C4780 &amp; "'!" &amp; J4780, J4780), "")</f>
        <v/>
      </c>
    </row>
    <row r="4781">
      <c r="B4781" s="21">
        <f>IF(AND(C4781&lt;&gt;"", J4781&lt;&gt;""), HYPERLINK("#'" &amp; C4781 &amp; "'!" &amp; J4781, J4781), "")</f>
        <v/>
      </c>
    </row>
    <row r="4782">
      <c r="B4782" s="21">
        <f>IF(AND(C4782&lt;&gt;"", J4782&lt;&gt;""), HYPERLINK("#'" &amp; C4782 &amp; "'!" &amp; J4782, J4782), "")</f>
        <v/>
      </c>
    </row>
    <row r="4783">
      <c r="B4783" s="21">
        <f>IF(AND(C4783&lt;&gt;"", J4783&lt;&gt;""), HYPERLINK("#'" &amp; C4783 &amp; "'!" &amp; J4783, J4783), "")</f>
        <v/>
      </c>
    </row>
    <row r="4784">
      <c r="B4784" s="21">
        <f>IF(AND(C4784&lt;&gt;"", J4784&lt;&gt;""), HYPERLINK("#'" &amp; C4784 &amp; "'!" &amp; J4784, J4784), "")</f>
        <v/>
      </c>
    </row>
    <row r="4785">
      <c r="B4785" s="21">
        <f>IF(AND(C4785&lt;&gt;"", J4785&lt;&gt;""), HYPERLINK("#'" &amp; C4785 &amp; "'!" &amp; J4785, J4785), "")</f>
        <v/>
      </c>
    </row>
    <row r="4786">
      <c r="B4786" s="21">
        <f>IF(AND(C4786&lt;&gt;"", J4786&lt;&gt;""), HYPERLINK("#'" &amp; C4786 &amp; "'!" &amp; J4786, J4786), "")</f>
        <v/>
      </c>
    </row>
    <row r="4787">
      <c r="B4787" s="21">
        <f>IF(AND(C4787&lt;&gt;"", J4787&lt;&gt;""), HYPERLINK("#'" &amp; C4787 &amp; "'!" &amp; J4787, J4787), "")</f>
        <v/>
      </c>
    </row>
    <row r="4788">
      <c r="B4788" s="21">
        <f>IF(AND(C4788&lt;&gt;"", J4788&lt;&gt;""), HYPERLINK("#'" &amp; C4788 &amp; "'!" &amp; J4788, J4788), "")</f>
        <v/>
      </c>
    </row>
    <row r="4789">
      <c r="B4789" s="21">
        <f>IF(AND(C4789&lt;&gt;"", J4789&lt;&gt;""), HYPERLINK("#'" &amp; C4789 &amp; "'!" &amp; J4789, J4789), "")</f>
        <v/>
      </c>
    </row>
    <row r="4790">
      <c r="B4790" s="21">
        <f>IF(AND(C4790&lt;&gt;"", J4790&lt;&gt;""), HYPERLINK("#'" &amp; C4790 &amp; "'!" &amp; J4790, J4790), "")</f>
        <v/>
      </c>
    </row>
    <row r="4791">
      <c r="B4791" s="21">
        <f>IF(AND(C4791&lt;&gt;"", J4791&lt;&gt;""), HYPERLINK("#'" &amp; C4791 &amp; "'!" &amp; J4791, J4791), "")</f>
        <v/>
      </c>
    </row>
    <row r="4792">
      <c r="B4792" s="21">
        <f>IF(AND(C4792&lt;&gt;"", J4792&lt;&gt;""), HYPERLINK("#'" &amp; C4792 &amp; "'!" &amp; J4792, J4792), "")</f>
        <v/>
      </c>
    </row>
    <row r="4793">
      <c r="B4793" s="21">
        <f>IF(AND(C4793&lt;&gt;"", J4793&lt;&gt;""), HYPERLINK("#'" &amp; C4793 &amp; "'!" &amp; J4793, J4793), "")</f>
        <v/>
      </c>
    </row>
    <row r="4794">
      <c r="B4794" s="21">
        <f>IF(AND(C4794&lt;&gt;"", J4794&lt;&gt;""), HYPERLINK("#'" &amp; C4794 &amp; "'!" &amp; J4794, J4794), "")</f>
        <v/>
      </c>
    </row>
    <row r="4795">
      <c r="B4795" s="21">
        <f>IF(AND(C4795&lt;&gt;"", J4795&lt;&gt;""), HYPERLINK("#'" &amp; C4795 &amp; "'!" &amp; J4795, J4795), "")</f>
        <v/>
      </c>
    </row>
    <row r="4796">
      <c r="B4796" s="21">
        <f>IF(AND(C4796&lt;&gt;"", J4796&lt;&gt;""), HYPERLINK("#'" &amp; C4796 &amp; "'!" &amp; J4796, J4796), "")</f>
        <v/>
      </c>
    </row>
    <row r="4797">
      <c r="B4797" s="21">
        <f>IF(AND(C4797&lt;&gt;"", J4797&lt;&gt;""), HYPERLINK("#'" &amp; C4797 &amp; "'!" &amp; J4797, J4797), "")</f>
        <v/>
      </c>
    </row>
    <row r="4798">
      <c r="B4798" s="21">
        <f>IF(AND(C4798&lt;&gt;"", J4798&lt;&gt;""), HYPERLINK("#'" &amp; C4798 &amp; "'!" &amp; J4798, J4798), "")</f>
        <v/>
      </c>
    </row>
    <row r="4799">
      <c r="B4799" s="21">
        <f>IF(AND(C4799&lt;&gt;"", J4799&lt;&gt;""), HYPERLINK("#'" &amp; C4799 &amp; "'!" &amp; J4799, J4799), "")</f>
        <v/>
      </c>
    </row>
    <row r="4800">
      <c r="B4800" s="21">
        <f>IF(AND(C4800&lt;&gt;"", J4800&lt;&gt;""), HYPERLINK("#'" &amp; C4800 &amp; "'!" &amp; J4800, J4800), "")</f>
        <v/>
      </c>
    </row>
    <row r="4801">
      <c r="B4801" s="21">
        <f>IF(AND(C4801&lt;&gt;"", J4801&lt;&gt;""), HYPERLINK("#'" &amp; C4801 &amp; "'!" &amp; J4801, J4801), "")</f>
        <v/>
      </c>
    </row>
    <row r="4802">
      <c r="B4802" s="21">
        <f>IF(AND(C4802&lt;&gt;"", J4802&lt;&gt;""), HYPERLINK("#'" &amp; C4802 &amp; "'!" &amp; J4802, J4802), "")</f>
        <v/>
      </c>
    </row>
    <row r="4803">
      <c r="B4803" s="21">
        <f>IF(AND(C4803&lt;&gt;"", J4803&lt;&gt;""), HYPERLINK("#'" &amp; C4803 &amp; "'!" &amp; J4803, J4803), "")</f>
        <v/>
      </c>
    </row>
    <row r="4804">
      <c r="B4804" s="21">
        <f>IF(AND(C4804&lt;&gt;"", J4804&lt;&gt;""), HYPERLINK("#'" &amp; C4804 &amp; "'!" &amp; J4804, J4804), "")</f>
        <v/>
      </c>
    </row>
    <row r="4805">
      <c r="B4805" s="21">
        <f>IF(AND(C4805&lt;&gt;"", J4805&lt;&gt;""), HYPERLINK("#'" &amp; C4805 &amp; "'!" &amp; J4805, J4805), "")</f>
        <v/>
      </c>
    </row>
    <row r="4806">
      <c r="B4806" s="21">
        <f>IF(AND(C4806&lt;&gt;"", J4806&lt;&gt;""), HYPERLINK("#'" &amp; C4806 &amp; "'!" &amp; J4806, J4806), "")</f>
        <v/>
      </c>
    </row>
    <row r="4807">
      <c r="B4807" s="21">
        <f>IF(AND(C4807&lt;&gt;"", J4807&lt;&gt;""), HYPERLINK("#'" &amp; C4807 &amp; "'!" &amp; J4807, J4807), "")</f>
        <v/>
      </c>
    </row>
    <row r="4808">
      <c r="B4808" s="21">
        <f>IF(AND(C4808&lt;&gt;"", J4808&lt;&gt;""), HYPERLINK("#'" &amp; C4808 &amp; "'!" &amp; J4808, J4808), "")</f>
        <v/>
      </c>
    </row>
    <row r="4809">
      <c r="B4809" s="21">
        <f>IF(AND(C4809&lt;&gt;"", J4809&lt;&gt;""), HYPERLINK("#'" &amp; C4809 &amp; "'!" &amp; J4809, J4809), "")</f>
        <v/>
      </c>
    </row>
    <row r="4810">
      <c r="B4810" s="21">
        <f>IF(AND(C4810&lt;&gt;"", J4810&lt;&gt;""), HYPERLINK("#'" &amp; C4810 &amp; "'!" &amp; J4810, J4810), "")</f>
        <v/>
      </c>
    </row>
    <row r="4811">
      <c r="B4811" s="21">
        <f>IF(AND(C4811&lt;&gt;"", J4811&lt;&gt;""), HYPERLINK("#'" &amp; C4811 &amp; "'!" &amp; J4811, J4811), "")</f>
        <v/>
      </c>
    </row>
    <row r="4812">
      <c r="B4812" s="21">
        <f>IF(AND(C4812&lt;&gt;"", J4812&lt;&gt;""), HYPERLINK("#'" &amp; C4812 &amp; "'!" &amp; J4812, J4812), "")</f>
        <v/>
      </c>
    </row>
    <row r="4813">
      <c r="B4813" s="21">
        <f>IF(AND(C4813&lt;&gt;"", J4813&lt;&gt;""), HYPERLINK("#'" &amp; C4813 &amp; "'!" &amp; J4813, J4813), "")</f>
        <v/>
      </c>
    </row>
    <row r="4814">
      <c r="B4814" s="21">
        <f>IF(AND(C4814&lt;&gt;"", J4814&lt;&gt;""), HYPERLINK("#'" &amp; C4814 &amp; "'!" &amp; J4814, J4814), "")</f>
        <v/>
      </c>
    </row>
    <row r="4815">
      <c r="B4815" s="21">
        <f>IF(AND(C4815&lt;&gt;"", J4815&lt;&gt;""), HYPERLINK("#'" &amp; C4815 &amp; "'!" &amp; J4815, J4815), "")</f>
        <v/>
      </c>
    </row>
    <row r="4816">
      <c r="B4816" s="21">
        <f>IF(AND(C4816&lt;&gt;"", J4816&lt;&gt;""), HYPERLINK("#'" &amp; C4816 &amp; "'!" &amp; J4816, J4816), "")</f>
        <v/>
      </c>
    </row>
    <row r="4817">
      <c r="B4817" s="21">
        <f>IF(AND(C4817&lt;&gt;"", J4817&lt;&gt;""), HYPERLINK("#'" &amp; C4817 &amp; "'!" &amp; J4817, J4817), "")</f>
        <v/>
      </c>
    </row>
    <row r="4818">
      <c r="B4818" s="21">
        <f>IF(AND(C4818&lt;&gt;"", J4818&lt;&gt;""), HYPERLINK("#'" &amp; C4818 &amp; "'!" &amp; J4818, J4818), "")</f>
        <v/>
      </c>
    </row>
    <row r="4819">
      <c r="B4819" s="21">
        <f>IF(AND(C4819&lt;&gt;"", J4819&lt;&gt;""), HYPERLINK("#'" &amp; C4819 &amp; "'!" &amp; J4819, J4819), "")</f>
        <v/>
      </c>
    </row>
    <row r="4820">
      <c r="B4820" s="21">
        <f>IF(AND(C4820&lt;&gt;"", J4820&lt;&gt;""), HYPERLINK("#'" &amp; C4820 &amp; "'!" &amp; J4820, J4820), "")</f>
        <v/>
      </c>
    </row>
    <row r="4821">
      <c r="B4821" s="21">
        <f>IF(AND(C4821&lt;&gt;"", J4821&lt;&gt;""), HYPERLINK("#'" &amp; C4821 &amp; "'!" &amp; J4821, J4821), "")</f>
        <v/>
      </c>
    </row>
    <row r="4822">
      <c r="B4822" s="21">
        <f>IF(AND(C4822&lt;&gt;"", J4822&lt;&gt;""), HYPERLINK("#'" &amp; C4822 &amp; "'!" &amp; J4822, J4822), "")</f>
        <v/>
      </c>
    </row>
    <row r="4823">
      <c r="B4823" s="21">
        <f>IF(AND(C4823&lt;&gt;"", J4823&lt;&gt;""), HYPERLINK("#'" &amp; C4823 &amp; "'!" &amp; J4823, J4823), "")</f>
        <v/>
      </c>
    </row>
    <row r="4824">
      <c r="B4824" s="21">
        <f>IF(AND(C4824&lt;&gt;"", J4824&lt;&gt;""), HYPERLINK("#'" &amp; C4824 &amp; "'!" &amp; J4824, J4824), "")</f>
        <v/>
      </c>
    </row>
    <row r="4825">
      <c r="B4825" s="21">
        <f>IF(AND(C4825&lt;&gt;"", J4825&lt;&gt;""), HYPERLINK("#'" &amp; C4825 &amp; "'!" &amp; J4825, J4825), "")</f>
        <v/>
      </c>
    </row>
    <row r="4826">
      <c r="B4826" s="21">
        <f>IF(AND(C4826&lt;&gt;"", J4826&lt;&gt;""), HYPERLINK("#'" &amp; C4826 &amp; "'!" &amp; J4826, J4826), "")</f>
        <v/>
      </c>
    </row>
    <row r="4827">
      <c r="B4827" s="21">
        <f>IF(AND(C4827&lt;&gt;"", J4827&lt;&gt;""), HYPERLINK("#'" &amp; C4827 &amp; "'!" &amp; J4827, J4827), "")</f>
        <v/>
      </c>
    </row>
    <row r="4828">
      <c r="B4828" s="21">
        <f>IF(AND(C4828&lt;&gt;"", J4828&lt;&gt;""), HYPERLINK("#'" &amp; C4828 &amp; "'!" &amp; J4828, J4828), "")</f>
        <v/>
      </c>
    </row>
    <row r="4829">
      <c r="B4829" s="21">
        <f>IF(AND(C4829&lt;&gt;"", J4829&lt;&gt;""), HYPERLINK("#'" &amp; C4829 &amp; "'!" &amp; J4829, J4829), "")</f>
        <v/>
      </c>
    </row>
    <row r="4830">
      <c r="B4830" s="21">
        <f>IF(AND(C4830&lt;&gt;"", J4830&lt;&gt;""), HYPERLINK("#'" &amp; C4830 &amp; "'!" &amp; J4830, J4830), "")</f>
        <v/>
      </c>
    </row>
    <row r="4831">
      <c r="B4831" s="21">
        <f>IF(AND(C4831&lt;&gt;"", J4831&lt;&gt;""), HYPERLINK("#'" &amp; C4831 &amp; "'!" &amp; J4831, J4831), "")</f>
        <v/>
      </c>
    </row>
    <row r="4832">
      <c r="B4832" s="21">
        <f>IF(AND(C4832&lt;&gt;"", J4832&lt;&gt;""), HYPERLINK("#'" &amp; C4832 &amp; "'!" &amp; J4832, J4832), "")</f>
        <v/>
      </c>
    </row>
    <row r="4833">
      <c r="B4833" s="21">
        <f>IF(AND(C4833&lt;&gt;"", J4833&lt;&gt;""), HYPERLINK("#'" &amp; C4833 &amp; "'!" &amp; J4833, J4833), "")</f>
        <v/>
      </c>
    </row>
    <row r="4834">
      <c r="B4834" s="21">
        <f>IF(AND(C4834&lt;&gt;"", J4834&lt;&gt;""), HYPERLINK("#'" &amp; C4834 &amp; "'!" &amp; J4834, J4834), "")</f>
        <v/>
      </c>
    </row>
    <row r="4835">
      <c r="B4835" s="21">
        <f>IF(AND(C4835&lt;&gt;"", J4835&lt;&gt;""), HYPERLINK("#'" &amp; C4835 &amp; "'!" &amp; J4835, J4835), "")</f>
        <v/>
      </c>
    </row>
    <row r="4836">
      <c r="B4836" s="21">
        <f>IF(AND(C4836&lt;&gt;"", J4836&lt;&gt;""), HYPERLINK("#'" &amp; C4836 &amp; "'!" &amp; J4836, J4836), "")</f>
        <v/>
      </c>
    </row>
    <row r="4837">
      <c r="B4837" s="21">
        <f>IF(AND(C4837&lt;&gt;"", J4837&lt;&gt;""), HYPERLINK("#'" &amp; C4837 &amp; "'!" &amp; J4837, J4837), "")</f>
        <v/>
      </c>
    </row>
    <row r="4838">
      <c r="B4838" s="21">
        <f>IF(AND(C4838&lt;&gt;"", J4838&lt;&gt;""), HYPERLINK("#'" &amp; C4838 &amp; "'!" &amp; J4838, J4838), "")</f>
        <v/>
      </c>
    </row>
    <row r="4839">
      <c r="B4839" s="21">
        <f>IF(AND(C4839&lt;&gt;"", J4839&lt;&gt;""), HYPERLINK("#'" &amp; C4839 &amp; "'!" &amp; J4839, J4839), "")</f>
        <v/>
      </c>
    </row>
    <row r="4840">
      <c r="B4840" s="21">
        <f>IF(AND(C4840&lt;&gt;"", J4840&lt;&gt;""), HYPERLINK("#'" &amp; C4840 &amp; "'!" &amp; J4840, J4840), "")</f>
        <v/>
      </c>
    </row>
    <row r="4841">
      <c r="B4841" s="21">
        <f>IF(AND(C4841&lt;&gt;"", J4841&lt;&gt;""), HYPERLINK("#'" &amp; C4841 &amp; "'!" &amp; J4841, J4841), "")</f>
        <v/>
      </c>
    </row>
    <row r="4842">
      <c r="B4842" s="21">
        <f>IF(AND(C4842&lt;&gt;"", J4842&lt;&gt;""), HYPERLINK("#'" &amp; C4842 &amp; "'!" &amp; J4842, J4842), "")</f>
        <v/>
      </c>
    </row>
    <row r="4843">
      <c r="B4843" s="21">
        <f>IF(AND(C4843&lt;&gt;"", J4843&lt;&gt;""), HYPERLINK("#'" &amp; C4843 &amp; "'!" &amp; J4843, J4843), "")</f>
        <v/>
      </c>
    </row>
    <row r="4844">
      <c r="B4844" s="21">
        <f>IF(AND(C4844&lt;&gt;"", J4844&lt;&gt;""), HYPERLINK("#'" &amp; C4844 &amp; "'!" &amp; J4844, J4844), "")</f>
        <v/>
      </c>
    </row>
    <row r="4845">
      <c r="B4845" s="21">
        <f>IF(AND(C4845&lt;&gt;"", J4845&lt;&gt;""), HYPERLINK("#'" &amp; C4845 &amp; "'!" &amp; J4845, J4845), "")</f>
        <v/>
      </c>
    </row>
    <row r="4846">
      <c r="B4846" s="21">
        <f>IF(AND(C4846&lt;&gt;"", J4846&lt;&gt;""), HYPERLINK("#'" &amp; C4846 &amp; "'!" &amp; J4846, J4846), "")</f>
        <v/>
      </c>
    </row>
    <row r="4847">
      <c r="B4847" s="21">
        <f>IF(AND(C4847&lt;&gt;"", J4847&lt;&gt;""), HYPERLINK("#'" &amp; C4847 &amp; "'!" &amp; J4847, J4847), "")</f>
        <v/>
      </c>
    </row>
    <row r="4848">
      <c r="B4848" s="21">
        <f>IF(AND(C4848&lt;&gt;"", J4848&lt;&gt;""), HYPERLINK("#'" &amp; C4848 &amp; "'!" &amp; J4848, J4848), "")</f>
        <v/>
      </c>
    </row>
    <row r="4849">
      <c r="B4849" s="21">
        <f>IF(AND(C4849&lt;&gt;"", J4849&lt;&gt;""), HYPERLINK("#'" &amp; C4849 &amp; "'!" &amp; J4849, J4849), "")</f>
        <v/>
      </c>
    </row>
    <row r="4850">
      <c r="B4850" s="21">
        <f>IF(AND(C4850&lt;&gt;"", J4850&lt;&gt;""), HYPERLINK("#'" &amp; C4850 &amp; "'!" &amp; J4850, J4850), "")</f>
        <v/>
      </c>
    </row>
    <row r="4851">
      <c r="B4851" s="21">
        <f>IF(AND(C4851&lt;&gt;"", J4851&lt;&gt;""), HYPERLINK("#'" &amp; C4851 &amp; "'!" &amp; J4851, J4851), "")</f>
        <v/>
      </c>
    </row>
    <row r="4852">
      <c r="B4852" s="21">
        <f>IF(AND(C4852&lt;&gt;"", J4852&lt;&gt;""), HYPERLINK("#'" &amp; C4852 &amp; "'!" &amp; J4852, J4852), "")</f>
        <v/>
      </c>
    </row>
    <row r="4853">
      <c r="B4853" s="21">
        <f>IF(AND(C4853&lt;&gt;"", J4853&lt;&gt;""), HYPERLINK("#'" &amp; C4853 &amp; "'!" &amp; J4853, J4853), "")</f>
        <v/>
      </c>
    </row>
    <row r="4854">
      <c r="B4854" s="21">
        <f>IF(AND(C4854&lt;&gt;"", J4854&lt;&gt;""), HYPERLINK("#'" &amp; C4854 &amp; "'!" &amp; J4854, J4854), "")</f>
        <v/>
      </c>
    </row>
    <row r="4855">
      <c r="B4855" s="21">
        <f>IF(AND(C4855&lt;&gt;"", J4855&lt;&gt;""), HYPERLINK("#'" &amp; C4855 &amp; "'!" &amp; J4855, J4855), "")</f>
        <v/>
      </c>
    </row>
    <row r="4856">
      <c r="B4856" s="21">
        <f>IF(AND(C4856&lt;&gt;"", J4856&lt;&gt;""), HYPERLINK("#'" &amp; C4856 &amp; "'!" &amp; J4856, J4856), "")</f>
        <v/>
      </c>
    </row>
    <row r="4857">
      <c r="B4857" s="21">
        <f>IF(AND(C4857&lt;&gt;"", J4857&lt;&gt;""), HYPERLINK("#'" &amp; C4857 &amp; "'!" &amp; J4857, J4857), "")</f>
        <v/>
      </c>
    </row>
    <row r="4858">
      <c r="B4858" s="21">
        <f>IF(AND(C4858&lt;&gt;"", J4858&lt;&gt;""), HYPERLINK("#'" &amp; C4858 &amp; "'!" &amp; J4858, J4858), "")</f>
        <v/>
      </c>
    </row>
    <row r="4859">
      <c r="B4859" s="21">
        <f>IF(AND(C4859&lt;&gt;"", J4859&lt;&gt;""), HYPERLINK("#'" &amp; C4859 &amp; "'!" &amp; J4859, J4859), "")</f>
        <v/>
      </c>
    </row>
    <row r="4860">
      <c r="B4860" s="21">
        <f>IF(AND(C4860&lt;&gt;"", J4860&lt;&gt;""), HYPERLINK("#'" &amp; C4860 &amp; "'!" &amp; J4860, J4860), "")</f>
        <v/>
      </c>
    </row>
    <row r="4861">
      <c r="B4861" s="21">
        <f>IF(AND(C4861&lt;&gt;"", J4861&lt;&gt;""), HYPERLINK("#'" &amp; C4861 &amp; "'!" &amp; J4861, J4861), "")</f>
        <v/>
      </c>
    </row>
    <row r="4862">
      <c r="B4862" s="21">
        <f>IF(AND(C4862&lt;&gt;"", J4862&lt;&gt;""), HYPERLINK("#'" &amp; C4862 &amp; "'!" &amp; J4862, J4862), "")</f>
        <v/>
      </c>
    </row>
    <row r="4863">
      <c r="B4863" s="21">
        <f>IF(AND(C4863&lt;&gt;"", J4863&lt;&gt;""), HYPERLINK("#'" &amp; C4863 &amp; "'!" &amp; J4863, J4863), "")</f>
        <v/>
      </c>
    </row>
    <row r="4864">
      <c r="B4864" s="21">
        <f>IF(AND(C4864&lt;&gt;"", J4864&lt;&gt;""), HYPERLINK("#'" &amp; C4864 &amp; "'!" &amp; J4864, J4864), "")</f>
        <v/>
      </c>
    </row>
    <row r="4865">
      <c r="B4865" s="21">
        <f>IF(AND(C4865&lt;&gt;"", J4865&lt;&gt;""), HYPERLINK("#'" &amp; C4865 &amp; "'!" &amp; J4865, J4865), "")</f>
        <v/>
      </c>
    </row>
    <row r="4866">
      <c r="B4866" s="21">
        <f>IF(AND(C4866&lt;&gt;"", J4866&lt;&gt;""), HYPERLINK("#'" &amp; C4866 &amp; "'!" &amp; J4866, J4866), "")</f>
        <v/>
      </c>
    </row>
    <row r="4867">
      <c r="B4867" s="21">
        <f>IF(AND(C4867&lt;&gt;"", J4867&lt;&gt;""), HYPERLINK("#'" &amp; C4867 &amp; "'!" &amp; J4867, J4867), "")</f>
        <v/>
      </c>
    </row>
    <row r="4868">
      <c r="B4868" s="21">
        <f>IF(AND(C4868&lt;&gt;"", J4868&lt;&gt;""), HYPERLINK("#'" &amp; C4868 &amp; "'!" &amp; J4868, J4868), "")</f>
        <v/>
      </c>
    </row>
    <row r="4869">
      <c r="B4869" s="21">
        <f>IF(AND(C4869&lt;&gt;"", J4869&lt;&gt;""), HYPERLINK("#'" &amp; C4869 &amp; "'!" &amp; J4869, J4869), "")</f>
        <v/>
      </c>
    </row>
    <row r="4870">
      <c r="B4870" s="21">
        <f>IF(AND(C4870&lt;&gt;"", J4870&lt;&gt;""), HYPERLINK("#'" &amp; C4870 &amp; "'!" &amp; J4870, J4870), "")</f>
        <v/>
      </c>
    </row>
    <row r="4871">
      <c r="B4871" s="21">
        <f>IF(AND(C4871&lt;&gt;"", J4871&lt;&gt;""), HYPERLINK("#'" &amp; C4871 &amp; "'!" &amp; J4871, J4871), "")</f>
        <v/>
      </c>
    </row>
    <row r="4872">
      <c r="B4872" s="21">
        <f>IF(AND(C4872&lt;&gt;"", J4872&lt;&gt;""), HYPERLINK("#'" &amp; C4872 &amp; "'!" &amp; J4872, J4872), "")</f>
        <v/>
      </c>
    </row>
    <row r="4873">
      <c r="B4873" s="21">
        <f>IF(AND(C4873&lt;&gt;"", J4873&lt;&gt;""), HYPERLINK("#'" &amp; C4873 &amp; "'!" &amp; J4873, J4873), "")</f>
        <v/>
      </c>
    </row>
    <row r="4874">
      <c r="B4874" s="21">
        <f>IF(AND(C4874&lt;&gt;"", J4874&lt;&gt;""), HYPERLINK("#'" &amp; C4874 &amp; "'!" &amp; J4874, J4874), "")</f>
        <v/>
      </c>
    </row>
    <row r="4875">
      <c r="B4875" s="21">
        <f>IF(AND(C4875&lt;&gt;"", J4875&lt;&gt;""), HYPERLINK("#'" &amp; C4875 &amp; "'!" &amp; J4875, J4875), "")</f>
        <v/>
      </c>
    </row>
    <row r="4876">
      <c r="B4876" s="21">
        <f>IF(AND(C4876&lt;&gt;"", J4876&lt;&gt;""), HYPERLINK("#'" &amp; C4876 &amp; "'!" &amp; J4876, J4876), "")</f>
        <v/>
      </c>
    </row>
    <row r="4877">
      <c r="B4877" s="21">
        <f>IF(AND(C4877&lt;&gt;"", J4877&lt;&gt;""), HYPERLINK("#'" &amp; C4877 &amp; "'!" &amp; J4877, J4877), "")</f>
        <v/>
      </c>
    </row>
    <row r="4878">
      <c r="B4878" s="21">
        <f>IF(AND(C4878&lt;&gt;"", J4878&lt;&gt;""), HYPERLINK("#'" &amp; C4878 &amp; "'!" &amp; J4878, J4878), "")</f>
        <v/>
      </c>
    </row>
    <row r="4879">
      <c r="B4879" s="21">
        <f>IF(AND(C4879&lt;&gt;"", J4879&lt;&gt;""), HYPERLINK("#'" &amp; C4879 &amp; "'!" &amp; J4879, J4879), "")</f>
        <v/>
      </c>
    </row>
    <row r="4880">
      <c r="B4880" s="21">
        <f>IF(AND(C4880&lt;&gt;"", J4880&lt;&gt;""), HYPERLINK("#'" &amp; C4880 &amp; "'!" &amp; J4880, J4880), "")</f>
        <v/>
      </c>
    </row>
    <row r="4881">
      <c r="B4881" s="21">
        <f>IF(AND(C4881&lt;&gt;"", J4881&lt;&gt;""), HYPERLINK("#'" &amp; C4881 &amp; "'!" &amp; J4881, J4881), "")</f>
        <v/>
      </c>
    </row>
    <row r="4882">
      <c r="B4882" s="21">
        <f>IF(AND(C4882&lt;&gt;"", J4882&lt;&gt;""), HYPERLINK("#'" &amp; C4882 &amp; "'!" &amp; J4882, J4882), "")</f>
        <v/>
      </c>
    </row>
    <row r="4883">
      <c r="B4883" s="21">
        <f>IF(AND(C4883&lt;&gt;"", J4883&lt;&gt;""), HYPERLINK("#'" &amp; C4883 &amp; "'!" &amp; J4883, J4883), "")</f>
        <v/>
      </c>
    </row>
    <row r="4884">
      <c r="B4884" s="21">
        <f>IF(AND(C4884&lt;&gt;"", J4884&lt;&gt;""), HYPERLINK("#'" &amp; C4884 &amp; "'!" &amp; J4884, J4884), "")</f>
        <v/>
      </c>
    </row>
    <row r="4885">
      <c r="B4885" s="21">
        <f>IF(AND(C4885&lt;&gt;"", J4885&lt;&gt;""), HYPERLINK("#'" &amp; C4885 &amp; "'!" &amp; J4885, J4885), "")</f>
        <v/>
      </c>
    </row>
    <row r="4886">
      <c r="B4886" s="21">
        <f>IF(AND(C4886&lt;&gt;"", J4886&lt;&gt;""), HYPERLINK("#'" &amp; C4886 &amp; "'!" &amp; J4886, J4886), "")</f>
        <v/>
      </c>
    </row>
    <row r="4887">
      <c r="B4887" s="21">
        <f>IF(AND(C4887&lt;&gt;"", J4887&lt;&gt;""), HYPERLINK("#'" &amp; C4887 &amp; "'!" &amp; J4887, J4887), "")</f>
        <v/>
      </c>
    </row>
    <row r="4888">
      <c r="B4888" s="21">
        <f>IF(AND(C4888&lt;&gt;"", J4888&lt;&gt;""), HYPERLINK("#'" &amp; C4888 &amp; "'!" &amp; J4888, J4888), "")</f>
        <v/>
      </c>
    </row>
    <row r="4889">
      <c r="B4889" s="21">
        <f>IF(AND(C4889&lt;&gt;"", J4889&lt;&gt;""), HYPERLINK("#'" &amp; C4889 &amp; "'!" &amp; J4889, J4889), "")</f>
        <v/>
      </c>
    </row>
    <row r="4890">
      <c r="B4890" s="21">
        <f>IF(AND(C4890&lt;&gt;"", J4890&lt;&gt;""), HYPERLINK("#'" &amp; C4890 &amp; "'!" &amp; J4890, J4890), "")</f>
        <v/>
      </c>
    </row>
    <row r="4891">
      <c r="B4891" s="21">
        <f>IF(AND(C4891&lt;&gt;"", J4891&lt;&gt;""), HYPERLINK("#'" &amp; C4891 &amp; "'!" &amp; J4891, J4891), "")</f>
        <v/>
      </c>
    </row>
    <row r="4892">
      <c r="B4892" s="21">
        <f>IF(AND(C4892&lt;&gt;"", J4892&lt;&gt;""), HYPERLINK("#'" &amp; C4892 &amp; "'!" &amp; J4892, J4892), "")</f>
        <v/>
      </c>
    </row>
    <row r="4893">
      <c r="B4893" s="21">
        <f>IF(AND(C4893&lt;&gt;"", J4893&lt;&gt;""), HYPERLINK("#'" &amp; C4893 &amp; "'!" &amp; J4893, J4893), "")</f>
        <v/>
      </c>
    </row>
    <row r="4894">
      <c r="B4894" s="21">
        <f>IF(AND(C4894&lt;&gt;"", J4894&lt;&gt;""), HYPERLINK("#'" &amp; C4894 &amp; "'!" &amp; J4894, J4894), "")</f>
        <v/>
      </c>
    </row>
    <row r="4895">
      <c r="B4895" s="21">
        <f>IF(AND(C4895&lt;&gt;"", J4895&lt;&gt;""), HYPERLINK("#'" &amp; C4895 &amp; "'!" &amp; J4895, J4895), "")</f>
        <v/>
      </c>
    </row>
    <row r="4896">
      <c r="B4896" s="21">
        <f>IF(AND(C4896&lt;&gt;"", J4896&lt;&gt;""), HYPERLINK("#'" &amp; C4896 &amp; "'!" &amp; J4896, J4896), "")</f>
        <v/>
      </c>
    </row>
    <row r="4897">
      <c r="B4897" s="21">
        <f>IF(AND(C4897&lt;&gt;"", J4897&lt;&gt;""), HYPERLINK("#'" &amp; C4897 &amp; "'!" &amp; J4897, J4897), "")</f>
        <v/>
      </c>
    </row>
    <row r="4898">
      <c r="B4898" s="21">
        <f>IF(AND(C4898&lt;&gt;"", J4898&lt;&gt;""), HYPERLINK("#'" &amp; C4898 &amp; "'!" &amp; J4898, J4898), "")</f>
        <v/>
      </c>
    </row>
    <row r="4899">
      <c r="B4899" s="21">
        <f>IF(AND(C4899&lt;&gt;"", J4899&lt;&gt;""), HYPERLINK("#'" &amp; C4899 &amp; "'!" &amp; J4899, J4899), "")</f>
        <v/>
      </c>
    </row>
    <row r="4900">
      <c r="B4900" s="21">
        <f>IF(AND(C4900&lt;&gt;"", J4900&lt;&gt;""), HYPERLINK("#'" &amp; C4900 &amp; "'!" &amp; J4900, J4900), "")</f>
        <v/>
      </c>
    </row>
    <row r="4901">
      <c r="B4901" s="21">
        <f>IF(AND(C4901&lt;&gt;"", J4901&lt;&gt;""), HYPERLINK("#'" &amp; C4901 &amp; "'!" &amp; J4901, J4901), "")</f>
        <v/>
      </c>
    </row>
    <row r="4902">
      <c r="B4902" s="21">
        <f>IF(AND(C4902&lt;&gt;"", J4902&lt;&gt;""), HYPERLINK("#'" &amp; C4902 &amp; "'!" &amp; J4902, J4902), "")</f>
        <v/>
      </c>
    </row>
    <row r="4903">
      <c r="B4903" s="21">
        <f>IF(AND(C4903&lt;&gt;"", J4903&lt;&gt;""), HYPERLINK("#'" &amp; C4903 &amp; "'!" &amp; J4903, J4903), "")</f>
        <v/>
      </c>
    </row>
    <row r="4904">
      <c r="B4904" s="21">
        <f>IF(AND(C4904&lt;&gt;"", J4904&lt;&gt;""), HYPERLINK("#'" &amp; C4904 &amp; "'!" &amp; J4904, J4904), "")</f>
        <v/>
      </c>
    </row>
    <row r="4905">
      <c r="B4905" s="21">
        <f>IF(AND(C4905&lt;&gt;"", J4905&lt;&gt;""), HYPERLINK("#'" &amp; C4905 &amp; "'!" &amp; J4905, J4905), "")</f>
        <v/>
      </c>
    </row>
    <row r="4906">
      <c r="B4906" s="21">
        <f>IF(AND(C4906&lt;&gt;"", J4906&lt;&gt;""), HYPERLINK("#'" &amp; C4906 &amp; "'!" &amp; J4906, J4906), "")</f>
        <v/>
      </c>
    </row>
    <row r="4907">
      <c r="B4907" s="21">
        <f>IF(AND(C4907&lt;&gt;"", J4907&lt;&gt;""), HYPERLINK("#'" &amp; C4907 &amp; "'!" &amp; J4907, J4907), "")</f>
        <v/>
      </c>
    </row>
    <row r="4908">
      <c r="B4908" s="21">
        <f>IF(AND(C4908&lt;&gt;"", J4908&lt;&gt;""), HYPERLINK("#'" &amp; C4908 &amp; "'!" &amp; J4908, J4908), "")</f>
        <v/>
      </c>
    </row>
    <row r="4909">
      <c r="B4909" s="21">
        <f>IF(AND(C4909&lt;&gt;"", J4909&lt;&gt;""), HYPERLINK("#'" &amp; C4909 &amp; "'!" &amp; J4909, J4909), "")</f>
        <v/>
      </c>
    </row>
    <row r="4910">
      <c r="B4910" s="21">
        <f>IF(AND(C4910&lt;&gt;"", J4910&lt;&gt;""), HYPERLINK("#'" &amp; C4910 &amp; "'!" &amp; J4910, J4910), "")</f>
        <v/>
      </c>
    </row>
    <row r="4911">
      <c r="B4911" s="21">
        <f>IF(AND(C4911&lt;&gt;"", J4911&lt;&gt;""), HYPERLINK("#'" &amp; C4911 &amp; "'!" &amp; J4911, J4911), "")</f>
        <v/>
      </c>
    </row>
    <row r="4912">
      <c r="B4912" s="21">
        <f>IF(AND(C4912&lt;&gt;"", J4912&lt;&gt;""), HYPERLINK("#'" &amp; C4912 &amp; "'!" &amp; J4912, J4912), "")</f>
        <v/>
      </c>
    </row>
    <row r="4913">
      <c r="B4913" s="21">
        <f>IF(AND(C4913&lt;&gt;"", J4913&lt;&gt;""), HYPERLINK("#'" &amp; C4913 &amp; "'!" &amp; J4913, J4913), "")</f>
        <v/>
      </c>
    </row>
    <row r="4914">
      <c r="B4914" s="21">
        <f>IF(AND(C4914&lt;&gt;"", J4914&lt;&gt;""), HYPERLINK("#'" &amp; C4914 &amp; "'!" &amp; J4914, J4914), "")</f>
        <v/>
      </c>
    </row>
    <row r="4915">
      <c r="B4915" s="21">
        <f>IF(AND(C4915&lt;&gt;"", J4915&lt;&gt;""), HYPERLINK("#'" &amp; C4915 &amp; "'!" &amp; J4915, J4915), "")</f>
        <v/>
      </c>
    </row>
    <row r="4916">
      <c r="B4916" s="21">
        <f>IF(AND(C4916&lt;&gt;"", J4916&lt;&gt;""), HYPERLINK("#'" &amp; C4916 &amp; "'!" &amp; J4916, J4916), "")</f>
        <v/>
      </c>
    </row>
    <row r="4917">
      <c r="B4917" s="21">
        <f>IF(AND(C4917&lt;&gt;"", J4917&lt;&gt;""), HYPERLINK("#'" &amp; C4917 &amp; "'!" &amp; J4917, J4917), "")</f>
        <v/>
      </c>
    </row>
    <row r="4918">
      <c r="B4918" s="21">
        <f>IF(AND(C4918&lt;&gt;"", J4918&lt;&gt;""), HYPERLINK("#'" &amp; C4918 &amp; "'!" &amp; J4918, J4918), "")</f>
        <v/>
      </c>
    </row>
    <row r="4919">
      <c r="B4919" s="21">
        <f>IF(AND(C4919&lt;&gt;"", J4919&lt;&gt;""), HYPERLINK("#'" &amp; C4919 &amp; "'!" &amp; J4919, J4919), "")</f>
        <v/>
      </c>
    </row>
    <row r="4920">
      <c r="B4920" s="21">
        <f>IF(AND(C4920&lt;&gt;"", J4920&lt;&gt;""), HYPERLINK("#'" &amp; C4920 &amp; "'!" &amp; J4920, J4920), "")</f>
        <v/>
      </c>
    </row>
    <row r="4921">
      <c r="B4921" s="21">
        <f>IF(AND(C4921&lt;&gt;"", J4921&lt;&gt;""), HYPERLINK("#'" &amp; C4921 &amp; "'!" &amp; J4921, J4921), "")</f>
        <v/>
      </c>
    </row>
    <row r="4922">
      <c r="B4922" s="21">
        <f>IF(AND(C4922&lt;&gt;"", J4922&lt;&gt;""), HYPERLINK("#'" &amp; C4922 &amp; "'!" &amp; J4922, J4922), "")</f>
        <v/>
      </c>
    </row>
    <row r="4923">
      <c r="B4923" s="21">
        <f>IF(AND(C4923&lt;&gt;"", J4923&lt;&gt;""), HYPERLINK("#'" &amp; C4923 &amp; "'!" &amp; J4923, J4923), "")</f>
        <v/>
      </c>
    </row>
    <row r="4924">
      <c r="B4924" s="21">
        <f>IF(AND(C4924&lt;&gt;"", J4924&lt;&gt;""), HYPERLINK("#'" &amp; C4924 &amp; "'!" &amp; J4924, J4924), "")</f>
        <v/>
      </c>
    </row>
    <row r="4925">
      <c r="B4925" s="21">
        <f>IF(AND(C4925&lt;&gt;"", J4925&lt;&gt;""), HYPERLINK("#'" &amp; C4925 &amp; "'!" &amp; J4925, J4925), "")</f>
        <v/>
      </c>
    </row>
    <row r="4926">
      <c r="B4926" s="21">
        <f>IF(AND(C4926&lt;&gt;"", J4926&lt;&gt;""), HYPERLINK("#'" &amp; C4926 &amp; "'!" &amp; J4926, J4926), "")</f>
        <v/>
      </c>
    </row>
    <row r="4927">
      <c r="B4927" s="21">
        <f>IF(AND(C4927&lt;&gt;"", J4927&lt;&gt;""), HYPERLINK("#'" &amp; C4927 &amp; "'!" &amp; J4927, J4927), "")</f>
        <v/>
      </c>
    </row>
    <row r="4928">
      <c r="B4928" s="21">
        <f>IF(AND(C4928&lt;&gt;"", J4928&lt;&gt;""), HYPERLINK("#'" &amp; C4928 &amp; "'!" &amp; J4928, J4928), "")</f>
        <v/>
      </c>
    </row>
    <row r="4929">
      <c r="B4929" s="21">
        <f>IF(AND(C4929&lt;&gt;"", J4929&lt;&gt;""), HYPERLINK("#'" &amp; C4929 &amp; "'!" &amp; J4929, J4929), "")</f>
        <v/>
      </c>
    </row>
    <row r="4930">
      <c r="B4930" s="21">
        <f>IF(AND(C4930&lt;&gt;"", J4930&lt;&gt;""), HYPERLINK("#'" &amp; C4930 &amp; "'!" &amp; J4930, J4930), "")</f>
        <v/>
      </c>
    </row>
    <row r="4931">
      <c r="B4931" s="21">
        <f>IF(AND(C4931&lt;&gt;"", J4931&lt;&gt;""), HYPERLINK("#'" &amp; C4931 &amp; "'!" &amp; J4931, J4931), "")</f>
        <v/>
      </c>
    </row>
    <row r="4932">
      <c r="B4932" s="21">
        <f>IF(AND(C4932&lt;&gt;"", J4932&lt;&gt;""), HYPERLINK("#'" &amp; C4932 &amp; "'!" &amp; J4932, J4932), "")</f>
        <v/>
      </c>
    </row>
    <row r="4933">
      <c r="B4933" s="21">
        <f>IF(AND(C4933&lt;&gt;"", J4933&lt;&gt;""), HYPERLINK("#'" &amp; C4933 &amp; "'!" &amp; J4933, J4933), "")</f>
        <v/>
      </c>
    </row>
    <row r="4934">
      <c r="B4934" s="21">
        <f>IF(AND(C4934&lt;&gt;"", J4934&lt;&gt;""), HYPERLINK("#'" &amp; C4934 &amp; "'!" &amp; J4934, J4934), "")</f>
        <v/>
      </c>
    </row>
    <row r="4935">
      <c r="B4935" s="21">
        <f>IF(AND(C4935&lt;&gt;"", J4935&lt;&gt;""), HYPERLINK("#'" &amp; C4935 &amp; "'!" &amp; J4935, J4935), "")</f>
        <v/>
      </c>
    </row>
    <row r="4936">
      <c r="B4936" s="21">
        <f>IF(AND(C4936&lt;&gt;"", J4936&lt;&gt;""), HYPERLINK("#'" &amp; C4936 &amp; "'!" &amp; J4936, J4936), "")</f>
        <v/>
      </c>
    </row>
    <row r="4937">
      <c r="B4937" s="21">
        <f>IF(AND(C4937&lt;&gt;"", J4937&lt;&gt;""), HYPERLINK("#'" &amp; C4937 &amp; "'!" &amp; J4937, J4937), "")</f>
        <v/>
      </c>
    </row>
    <row r="4938">
      <c r="B4938" s="21">
        <f>IF(AND(C4938&lt;&gt;"", J4938&lt;&gt;""), HYPERLINK("#'" &amp; C4938 &amp; "'!" &amp; J4938, J4938), "")</f>
        <v/>
      </c>
    </row>
    <row r="4939">
      <c r="B4939" s="21">
        <f>IF(AND(C4939&lt;&gt;"", J4939&lt;&gt;""), HYPERLINK("#'" &amp; C4939 &amp; "'!" &amp; J4939, J4939), "")</f>
        <v/>
      </c>
    </row>
    <row r="4940">
      <c r="B4940" s="21">
        <f>IF(AND(C4940&lt;&gt;"", J4940&lt;&gt;""), HYPERLINK("#'" &amp; C4940 &amp; "'!" &amp; J4940, J4940), "")</f>
        <v/>
      </c>
    </row>
    <row r="4941">
      <c r="B4941" s="21">
        <f>IF(AND(C4941&lt;&gt;"", J4941&lt;&gt;""), HYPERLINK("#'" &amp; C4941 &amp; "'!" &amp; J4941, J4941), "")</f>
        <v/>
      </c>
    </row>
    <row r="4942">
      <c r="B4942" s="21">
        <f>IF(AND(C4942&lt;&gt;"", J4942&lt;&gt;""), HYPERLINK("#'" &amp; C4942 &amp; "'!" &amp; J4942, J4942), "")</f>
        <v/>
      </c>
    </row>
    <row r="4943">
      <c r="B4943" s="21">
        <f>IF(AND(C4943&lt;&gt;"", J4943&lt;&gt;""), HYPERLINK("#'" &amp; C4943 &amp; "'!" &amp; J4943, J4943), "")</f>
        <v/>
      </c>
    </row>
    <row r="4944">
      <c r="B4944" s="21">
        <f>IF(AND(C4944&lt;&gt;"", J4944&lt;&gt;""), HYPERLINK("#'" &amp; C4944 &amp; "'!" &amp; J4944, J4944), "")</f>
        <v/>
      </c>
    </row>
    <row r="4945">
      <c r="B4945" s="21">
        <f>IF(AND(C4945&lt;&gt;"", J4945&lt;&gt;""), HYPERLINK("#'" &amp; C4945 &amp; "'!" &amp; J4945, J4945), "")</f>
        <v/>
      </c>
    </row>
    <row r="4946">
      <c r="B4946" s="21">
        <f>IF(AND(C4946&lt;&gt;"", J4946&lt;&gt;""), HYPERLINK("#'" &amp; C4946 &amp; "'!" &amp; J4946, J4946), "")</f>
        <v/>
      </c>
    </row>
    <row r="4947">
      <c r="B4947" s="21">
        <f>IF(AND(C4947&lt;&gt;"", J4947&lt;&gt;""), HYPERLINK("#'" &amp; C4947 &amp; "'!" &amp; J4947, J4947), "")</f>
        <v/>
      </c>
    </row>
    <row r="4948">
      <c r="B4948" s="21">
        <f>IF(AND(C4948&lt;&gt;"", J4948&lt;&gt;""), HYPERLINK("#'" &amp; C4948 &amp; "'!" &amp; J4948, J4948), "")</f>
        <v/>
      </c>
    </row>
    <row r="4949">
      <c r="B4949" s="21">
        <f>IF(AND(C4949&lt;&gt;"", J4949&lt;&gt;""), HYPERLINK("#'" &amp; C4949 &amp; "'!" &amp; J4949, J4949), "")</f>
        <v/>
      </c>
    </row>
    <row r="4950">
      <c r="B4950" s="21">
        <f>IF(AND(C4950&lt;&gt;"", J4950&lt;&gt;""), HYPERLINK("#'" &amp; C4950 &amp; "'!" &amp; J4950, J4950), "")</f>
        <v/>
      </c>
    </row>
    <row r="4951">
      <c r="B4951" s="21">
        <f>IF(AND(C4951&lt;&gt;"", J4951&lt;&gt;""), HYPERLINK("#'" &amp; C4951 &amp; "'!" &amp; J4951, J4951), "")</f>
        <v/>
      </c>
    </row>
    <row r="4952">
      <c r="B4952" s="21">
        <f>IF(AND(C4952&lt;&gt;"", J4952&lt;&gt;""), HYPERLINK("#'" &amp; C4952 &amp; "'!" &amp; J4952, J4952), "")</f>
        <v/>
      </c>
    </row>
    <row r="4953">
      <c r="B4953" s="21">
        <f>IF(AND(C4953&lt;&gt;"", J4953&lt;&gt;""), HYPERLINK("#'" &amp; C4953 &amp; "'!" &amp; J4953, J4953), "")</f>
        <v/>
      </c>
    </row>
    <row r="4954">
      <c r="B4954" s="21">
        <f>IF(AND(C4954&lt;&gt;"", J4954&lt;&gt;""), HYPERLINK("#'" &amp; C4954 &amp; "'!" &amp; J4954, J4954), "")</f>
        <v/>
      </c>
    </row>
    <row r="4955">
      <c r="B4955" s="21">
        <f>IF(AND(C4955&lt;&gt;"", J4955&lt;&gt;""), HYPERLINK("#'" &amp; C4955 &amp; "'!" &amp; J4955, J4955), "")</f>
        <v/>
      </c>
    </row>
    <row r="4956">
      <c r="B4956" s="21">
        <f>IF(AND(C4956&lt;&gt;"", J4956&lt;&gt;""), HYPERLINK("#'" &amp; C4956 &amp; "'!" &amp; J4956, J4956), "")</f>
        <v/>
      </c>
    </row>
    <row r="4957">
      <c r="B4957" s="21">
        <f>IF(AND(C4957&lt;&gt;"", J4957&lt;&gt;""), HYPERLINK("#'" &amp; C4957 &amp; "'!" &amp; J4957, J4957), "")</f>
        <v/>
      </c>
    </row>
    <row r="4958">
      <c r="B4958" s="21">
        <f>IF(AND(C4958&lt;&gt;"", J4958&lt;&gt;""), HYPERLINK("#'" &amp; C4958 &amp; "'!" &amp; J4958, J4958), "")</f>
        <v/>
      </c>
    </row>
    <row r="4959">
      <c r="B4959" s="21">
        <f>IF(AND(C4959&lt;&gt;"", J4959&lt;&gt;""), HYPERLINK("#'" &amp; C4959 &amp; "'!" &amp; J4959, J4959), "")</f>
        <v/>
      </c>
    </row>
    <row r="4960">
      <c r="B4960" s="21">
        <f>IF(AND(C4960&lt;&gt;"", J4960&lt;&gt;""), HYPERLINK("#'" &amp; C4960 &amp; "'!" &amp; J4960, J4960), "")</f>
        <v/>
      </c>
    </row>
    <row r="4961">
      <c r="B4961" s="21">
        <f>IF(AND(C4961&lt;&gt;"", J4961&lt;&gt;""), HYPERLINK("#'" &amp; C4961 &amp; "'!" &amp; J4961, J4961), "")</f>
        <v/>
      </c>
    </row>
    <row r="4962">
      <c r="B4962" s="21">
        <f>IF(AND(C4962&lt;&gt;"", J4962&lt;&gt;""), HYPERLINK("#'" &amp; C4962 &amp; "'!" &amp; J4962, J4962), "")</f>
        <v/>
      </c>
    </row>
    <row r="4963">
      <c r="B4963" s="21">
        <f>IF(AND(C4963&lt;&gt;"", J4963&lt;&gt;""), HYPERLINK("#'" &amp; C4963 &amp; "'!" &amp; J4963, J4963), "")</f>
        <v/>
      </c>
    </row>
    <row r="4964">
      <c r="B4964" s="21">
        <f>IF(AND(C4964&lt;&gt;"", J4964&lt;&gt;""), HYPERLINK("#'" &amp; C4964 &amp; "'!" &amp; J4964, J4964), "")</f>
        <v/>
      </c>
    </row>
    <row r="4965">
      <c r="B4965" s="21">
        <f>IF(AND(C4965&lt;&gt;"", J4965&lt;&gt;""), HYPERLINK("#'" &amp; C4965 &amp; "'!" &amp; J4965, J4965), "")</f>
        <v/>
      </c>
    </row>
    <row r="4966">
      <c r="B4966" s="21">
        <f>IF(AND(C4966&lt;&gt;"", J4966&lt;&gt;""), HYPERLINK("#'" &amp; C4966 &amp; "'!" &amp; J4966, J4966), "")</f>
        <v/>
      </c>
    </row>
    <row r="4967">
      <c r="B4967" s="21">
        <f>IF(AND(C4967&lt;&gt;"", J4967&lt;&gt;""), HYPERLINK("#'" &amp; C4967 &amp; "'!" &amp; J4967, J4967), "")</f>
        <v/>
      </c>
    </row>
    <row r="4968">
      <c r="B4968" s="21">
        <f>IF(AND(C4968&lt;&gt;"", J4968&lt;&gt;""), HYPERLINK("#'" &amp; C4968 &amp; "'!" &amp; J4968, J4968), "")</f>
        <v/>
      </c>
    </row>
    <row r="4969">
      <c r="B4969" s="21">
        <f>IF(AND(C4969&lt;&gt;"", J4969&lt;&gt;""), HYPERLINK("#'" &amp; C4969 &amp; "'!" &amp; J4969, J4969), "")</f>
        <v/>
      </c>
    </row>
    <row r="4970">
      <c r="B4970" s="21">
        <f>IF(AND(C4970&lt;&gt;"", J4970&lt;&gt;""), HYPERLINK("#'" &amp; C4970 &amp; "'!" &amp; J4970, J4970), "")</f>
        <v/>
      </c>
    </row>
    <row r="4971">
      <c r="B4971" s="21">
        <f>IF(AND(C4971&lt;&gt;"", J4971&lt;&gt;""), HYPERLINK("#'" &amp; C4971 &amp; "'!" &amp; J4971, J4971), "")</f>
        <v/>
      </c>
    </row>
    <row r="4972">
      <c r="B4972" s="21">
        <f>IF(AND(C4972&lt;&gt;"", J4972&lt;&gt;""), HYPERLINK("#'" &amp; C4972 &amp; "'!" &amp; J4972, J4972), "")</f>
        <v/>
      </c>
    </row>
    <row r="4973">
      <c r="B4973" s="21">
        <f>IF(AND(C4973&lt;&gt;"", J4973&lt;&gt;""), HYPERLINK("#'" &amp; C4973 &amp; "'!" &amp; J4973, J4973), "")</f>
        <v/>
      </c>
    </row>
    <row r="4974">
      <c r="B4974" s="21">
        <f>IF(AND(C4974&lt;&gt;"", J4974&lt;&gt;""), HYPERLINK("#'" &amp; C4974 &amp; "'!" &amp; J4974, J4974), "")</f>
        <v/>
      </c>
    </row>
    <row r="4975">
      <c r="B4975" s="21">
        <f>IF(AND(C4975&lt;&gt;"", J4975&lt;&gt;""), HYPERLINK("#'" &amp; C4975 &amp; "'!" &amp; J4975, J4975), "")</f>
        <v/>
      </c>
    </row>
    <row r="4976">
      <c r="B4976" s="21">
        <f>IF(AND(C4976&lt;&gt;"", J4976&lt;&gt;""), HYPERLINK("#'" &amp; C4976 &amp; "'!" &amp; J4976, J4976), "")</f>
        <v/>
      </c>
    </row>
    <row r="4977">
      <c r="B4977" s="21">
        <f>IF(AND(C4977&lt;&gt;"", J4977&lt;&gt;""), HYPERLINK("#'" &amp; C4977 &amp; "'!" &amp; J4977, J4977), "")</f>
        <v/>
      </c>
    </row>
    <row r="4978">
      <c r="B4978" s="21">
        <f>IF(AND(C4978&lt;&gt;"", J4978&lt;&gt;""), HYPERLINK("#'" &amp; C4978 &amp; "'!" &amp; J4978, J4978), "")</f>
        <v/>
      </c>
    </row>
    <row r="4979">
      <c r="B4979" s="21">
        <f>IF(AND(C4979&lt;&gt;"", J4979&lt;&gt;""), HYPERLINK("#'" &amp; C4979 &amp; "'!" &amp; J4979, J4979), "")</f>
        <v/>
      </c>
    </row>
    <row r="4980">
      <c r="B4980" s="21">
        <f>IF(AND(C4980&lt;&gt;"", J4980&lt;&gt;""), HYPERLINK("#'" &amp; C4980 &amp; "'!" &amp; J4980, J4980), "")</f>
        <v/>
      </c>
    </row>
    <row r="4981">
      <c r="B4981" s="21">
        <f>IF(AND(C4981&lt;&gt;"", J4981&lt;&gt;""), HYPERLINK("#'" &amp; C4981 &amp; "'!" &amp; J4981, J4981), "")</f>
        <v/>
      </c>
    </row>
    <row r="4982">
      <c r="B4982" s="21">
        <f>IF(AND(C4982&lt;&gt;"", J4982&lt;&gt;""), HYPERLINK("#'" &amp; C4982 &amp; "'!" &amp; J4982, J4982), "")</f>
        <v/>
      </c>
    </row>
    <row r="4983">
      <c r="B4983" s="21">
        <f>IF(AND(C4983&lt;&gt;"", J4983&lt;&gt;""), HYPERLINK("#'" &amp; C4983 &amp; "'!" &amp; J4983, J4983), "")</f>
        <v/>
      </c>
    </row>
    <row r="4984">
      <c r="B4984" s="21">
        <f>IF(AND(C4984&lt;&gt;"", J4984&lt;&gt;""), HYPERLINK("#'" &amp; C4984 &amp; "'!" &amp; J4984, J4984), "")</f>
        <v/>
      </c>
    </row>
    <row r="4985">
      <c r="B4985" s="21">
        <f>IF(AND(C4985&lt;&gt;"", J4985&lt;&gt;""), HYPERLINK("#'" &amp; C4985 &amp; "'!" &amp; J4985, J4985), "")</f>
        <v/>
      </c>
    </row>
    <row r="4986">
      <c r="B4986" s="21">
        <f>IF(AND(C4986&lt;&gt;"", J4986&lt;&gt;""), HYPERLINK("#'" &amp; C4986 &amp; "'!" &amp; J4986, J4986), "")</f>
        <v/>
      </c>
    </row>
    <row r="4987">
      <c r="B4987" s="21">
        <f>IF(AND(C4987&lt;&gt;"", J4987&lt;&gt;""), HYPERLINK("#'" &amp; C4987 &amp; "'!" &amp; J4987, J4987), "")</f>
        <v/>
      </c>
    </row>
    <row r="4988">
      <c r="B4988" s="21">
        <f>IF(AND(C4988&lt;&gt;"", J4988&lt;&gt;""), HYPERLINK("#'" &amp; C4988 &amp; "'!" &amp; J4988, J4988), "")</f>
        <v/>
      </c>
    </row>
    <row r="4989">
      <c r="B4989" s="21">
        <f>IF(AND(C4989&lt;&gt;"", J4989&lt;&gt;""), HYPERLINK("#'" &amp; C4989 &amp; "'!" &amp; J4989, J4989), "")</f>
        <v/>
      </c>
    </row>
    <row r="4990">
      <c r="B4990" s="21">
        <f>IF(AND(C4990&lt;&gt;"", J4990&lt;&gt;""), HYPERLINK("#'" &amp; C4990 &amp; "'!" &amp; J4990, J4990), "")</f>
        <v/>
      </c>
    </row>
    <row r="4991">
      <c r="B4991" s="21">
        <f>IF(AND(C4991&lt;&gt;"", J4991&lt;&gt;""), HYPERLINK("#'" &amp; C4991 &amp; "'!" &amp; J4991, J4991), "")</f>
        <v/>
      </c>
    </row>
    <row r="4992">
      <c r="B4992" s="21">
        <f>IF(AND(C4992&lt;&gt;"", J4992&lt;&gt;""), HYPERLINK("#'" &amp; C4992 &amp; "'!" &amp; J4992, J4992), "")</f>
        <v/>
      </c>
    </row>
    <row r="4993">
      <c r="B4993" s="21">
        <f>IF(AND(C4993&lt;&gt;"", J4993&lt;&gt;""), HYPERLINK("#'" &amp; C4993 &amp; "'!" &amp; J4993, J4993), "")</f>
        <v/>
      </c>
    </row>
    <row r="4994">
      <c r="B4994" s="21">
        <f>IF(AND(C4994&lt;&gt;"", J4994&lt;&gt;""), HYPERLINK("#'" &amp; C4994 &amp; "'!" &amp; J4994, J4994), "")</f>
        <v/>
      </c>
    </row>
    <row r="4995">
      <c r="B4995" s="21">
        <f>IF(AND(C4995&lt;&gt;"", J4995&lt;&gt;""), HYPERLINK("#'" &amp; C4995 &amp; "'!" &amp; J4995, J4995), "")</f>
        <v/>
      </c>
    </row>
    <row r="4996">
      <c r="B4996" s="21">
        <f>IF(AND(C4996&lt;&gt;"", J4996&lt;&gt;""), HYPERLINK("#'" &amp; C4996 &amp; "'!" &amp; J4996, J4996), "")</f>
        <v/>
      </c>
    </row>
    <row r="4997">
      <c r="B4997" s="21">
        <f>IF(AND(C4997&lt;&gt;"", J4997&lt;&gt;""), HYPERLINK("#'" &amp; C4997 &amp; "'!" &amp; J4997, J4997), "")</f>
        <v/>
      </c>
    </row>
    <row r="4998">
      <c r="B4998" s="21">
        <f>IF(AND(C4998&lt;&gt;"", J4998&lt;&gt;""), HYPERLINK("#'" &amp; C4998 &amp; "'!" &amp; J4998, J4998), "")</f>
        <v/>
      </c>
    </row>
    <row r="4999">
      <c r="B4999" s="21">
        <f>IF(AND(C4999&lt;&gt;"", J4999&lt;&gt;""), HYPERLINK("#'" &amp; C4999 &amp; "'!" &amp; J4999, J4999), "")</f>
        <v/>
      </c>
    </row>
    <row r="5000">
      <c r="B5000" s="21">
        <f>IF(AND(C5000&lt;&gt;"", J5000&lt;&gt;""), HYPERLINK("#'" &amp; C5000 &amp; "'!" &amp; J5000, J5000), "")</f>
        <v/>
      </c>
    </row>
    <row r="5001">
      <c r="B5001" s="21">
        <f>IF(AND(C5001&lt;&gt;"", J5001&lt;&gt;""), HYPERLINK("#'" &amp; C5001 &amp; "'!" &amp; J5001, J5001), "")</f>
        <v/>
      </c>
    </row>
    <row r="5002">
      <c r="B5002" s="21">
        <f>IF(AND(C5002&lt;&gt;"", J5002&lt;&gt;""), HYPERLINK("#'" &amp; C5002 &amp; "'!" &amp; J5002, J5002), "")</f>
        <v/>
      </c>
    </row>
    <row r="5003">
      <c r="B5003" s="21">
        <f>IF(AND(C5003&lt;&gt;"", J5003&lt;&gt;""), HYPERLINK("#'" &amp; C5003 &amp; "'!" &amp; J5003, J5003), "")</f>
        <v/>
      </c>
    </row>
    <row r="5004">
      <c r="B5004" s="21">
        <f>IF(AND(C5004&lt;&gt;"", J5004&lt;&gt;""), HYPERLINK("#'" &amp; C5004 &amp; "'!" &amp; J5004, J5004), "")</f>
        <v/>
      </c>
    </row>
    <row r="5005">
      <c r="B5005" s="21">
        <f>IF(AND(C5005&lt;&gt;"", J5005&lt;&gt;""), HYPERLINK("#'" &amp; C5005 &amp; "'!" &amp; J5005, J5005), "")</f>
        <v/>
      </c>
    </row>
    <row r="5006">
      <c r="B5006" s="21">
        <f>IF(AND(C5006&lt;&gt;"", J5006&lt;&gt;""), HYPERLINK("#'" &amp; C5006 &amp; "'!" &amp; J5006, J5006), "")</f>
        <v/>
      </c>
    </row>
    <row r="5007">
      <c r="B5007" s="21">
        <f>IF(AND(C5007&lt;&gt;"", J5007&lt;&gt;""), HYPERLINK("#'" &amp; C5007 &amp; "'!" &amp; J5007, J5007), "")</f>
        <v/>
      </c>
    </row>
    <row r="5008">
      <c r="B5008" s="21">
        <f>IF(AND(C5008&lt;&gt;"", J5008&lt;&gt;""), HYPERLINK("#'" &amp; C5008 &amp; "'!" &amp; J5008, J5008), "")</f>
        <v/>
      </c>
    </row>
    <row r="5009">
      <c r="B5009" s="21">
        <f>IF(AND(C5009&lt;&gt;"", J5009&lt;&gt;""), HYPERLINK("#'" &amp; C5009 &amp; "'!" &amp; J5009, J5009), "")</f>
        <v/>
      </c>
    </row>
    <row r="5010">
      <c r="B5010" s="21">
        <f>IF(AND(C5010&lt;&gt;"", J5010&lt;&gt;""), HYPERLINK("#'" &amp; C5010 &amp; "'!" &amp; J5010, J5010), "")</f>
        <v/>
      </c>
    </row>
    <row r="5011">
      <c r="B5011" s="21">
        <f>IF(AND(C5011&lt;&gt;"", J5011&lt;&gt;""), HYPERLINK("#'" &amp; C5011 &amp; "'!" &amp; J5011, J5011), "")</f>
        <v/>
      </c>
    </row>
    <row r="5012">
      <c r="B5012" s="21">
        <f>IF(AND(C5012&lt;&gt;"", J5012&lt;&gt;""), HYPERLINK("#'" &amp; C5012 &amp; "'!" &amp; J5012, J5012), "")</f>
        <v/>
      </c>
    </row>
    <row r="5013">
      <c r="B5013" s="21">
        <f>IF(AND(C5013&lt;&gt;"", J5013&lt;&gt;""), HYPERLINK("#'" &amp; C5013 &amp; "'!" &amp; J5013, J5013), "")</f>
        <v/>
      </c>
    </row>
    <row r="5014">
      <c r="B5014" s="21">
        <f>IF(AND(C5014&lt;&gt;"", J5014&lt;&gt;""), HYPERLINK("#'" &amp; C5014 &amp; "'!" &amp; J5014, J5014), "")</f>
        <v/>
      </c>
    </row>
    <row r="5015">
      <c r="B5015" s="21">
        <f>IF(AND(C5015&lt;&gt;"", J5015&lt;&gt;""), HYPERLINK("#'" &amp; C5015 &amp; "'!" &amp; J5015, J5015), "")</f>
        <v/>
      </c>
    </row>
    <row r="5016">
      <c r="B5016" s="21">
        <f>IF(AND(C5016&lt;&gt;"", J5016&lt;&gt;""), HYPERLINK("#'" &amp; C5016 &amp; "'!" &amp; J5016, J5016), "")</f>
        <v/>
      </c>
    </row>
    <row r="5017">
      <c r="B5017" s="21">
        <f>IF(AND(C5017&lt;&gt;"", J5017&lt;&gt;""), HYPERLINK("#'" &amp; C5017 &amp; "'!" &amp; J5017, J5017), "")</f>
        <v/>
      </c>
    </row>
    <row r="5018">
      <c r="B5018" s="21">
        <f>IF(AND(C5018&lt;&gt;"", J5018&lt;&gt;""), HYPERLINK("#'" &amp; C5018 &amp; "'!" &amp; J5018, J5018), "")</f>
        <v/>
      </c>
    </row>
    <row r="5019">
      <c r="B5019" s="21">
        <f>IF(AND(C5019&lt;&gt;"", J5019&lt;&gt;""), HYPERLINK("#'" &amp; C5019 &amp; "'!" &amp; J5019, J5019), "")</f>
        <v/>
      </c>
    </row>
    <row r="5020">
      <c r="B5020" s="21">
        <f>IF(AND(C5020&lt;&gt;"", J5020&lt;&gt;""), HYPERLINK("#'" &amp; C5020 &amp; "'!" &amp; J5020, J5020), "")</f>
        <v/>
      </c>
    </row>
    <row r="5021">
      <c r="B5021" s="21">
        <f>IF(AND(C5021&lt;&gt;"", J5021&lt;&gt;""), HYPERLINK("#'" &amp; C5021 &amp; "'!" &amp; J5021, J5021), "")</f>
        <v/>
      </c>
    </row>
    <row r="5022">
      <c r="B5022" s="21">
        <f>IF(AND(C5022&lt;&gt;"", J5022&lt;&gt;""), HYPERLINK("#'" &amp; C5022 &amp; "'!" &amp; J5022, J5022), "")</f>
        <v/>
      </c>
    </row>
    <row r="5023">
      <c r="B5023" s="21">
        <f>IF(AND(C5023&lt;&gt;"", J5023&lt;&gt;""), HYPERLINK("#'" &amp; C5023 &amp; "'!" &amp; J5023, J5023), "")</f>
        <v/>
      </c>
    </row>
    <row r="5024">
      <c r="B5024" s="21">
        <f>IF(AND(C5024&lt;&gt;"", J5024&lt;&gt;""), HYPERLINK("#'" &amp; C5024 &amp; "'!" &amp; J5024, J5024), "")</f>
        <v/>
      </c>
    </row>
    <row r="5025">
      <c r="B5025" s="21">
        <f>IF(AND(C5025&lt;&gt;"", J5025&lt;&gt;""), HYPERLINK("#'" &amp; C5025 &amp; "'!" &amp; J5025, J5025), "")</f>
        <v/>
      </c>
    </row>
    <row r="5026">
      <c r="B5026" s="21">
        <f>IF(AND(C5026&lt;&gt;"", J5026&lt;&gt;""), HYPERLINK("#'" &amp; C5026 &amp; "'!" &amp; J5026, J5026), "")</f>
        <v/>
      </c>
    </row>
    <row r="5027">
      <c r="B5027" s="21">
        <f>IF(AND(C5027&lt;&gt;"", J5027&lt;&gt;""), HYPERLINK("#'" &amp; C5027 &amp; "'!" &amp; J5027, J5027), "")</f>
        <v/>
      </c>
    </row>
    <row r="5028">
      <c r="B5028" s="21">
        <f>IF(AND(C5028&lt;&gt;"", J5028&lt;&gt;""), HYPERLINK("#'" &amp; C5028 &amp; "'!" &amp; J5028, J5028), "")</f>
        <v/>
      </c>
    </row>
    <row r="5029">
      <c r="B5029" s="21">
        <f>IF(AND(C5029&lt;&gt;"", J5029&lt;&gt;""), HYPERLINK("#'" &amp; C5029 &amp; "'!" &amp; J5029, J5029), "")</f>
        <v/>
      </c>
    </row>
    <row r="5030">
      <c r="B5030" s="21">
        <f>IF(AND(C5030&lt;&gt;"", J5030&lt;&gt;""), HYPERLINK("#'" &amp; C5030 &amp; "'!" &amp; J5030, J5030), "")</f>
        <v/>
      </c>
    </row>
    <row r="5031">
      <c r="B5031" s="21">
        <f>IF(AND(C5031&lt;&gt;"", J5031&lt;&gt;""), HYPERLINK("#'" &amp; C5031 &amp; "'!" &amp; J5031, J5031), "")</f>
        <v/>
      </c>
    </row>
    <row r="5032">
      <c r="B5032" s="21">
        <f>IF(AND(C5032&lt;&gt;"", J5032&lt;&gt;""), HYPERLINK("#'" &amp; C5032 &amp; "'!" &amp; J5032, J5032), "")</f>
        <v/>
      </c>
    </row>
    <row r="5033">
      <c r="B5033" s="21">
        <f>IF(AND(C5033&lt;&gt;"", J5033&lt;&gt;""), HYPERLINK("#'" &amp; C5033 &amp; "'!" &amp; J5033, J5033), "")</f>
        <v/>
      </c>
    </row>
    <row r="5034">
      <c r="B5034" s="21">
        <f>IF(AND(C5034&lt;&gt;"", J5034&lt;&gt;""), HYPERLINK("#'" &amp; C5034 &amp; "'!" &amp; J5034, J5034), "")</f>
        <v/>
      </c>
    </row>
    <row r="5035">
      <c r="B5035" s="21">
        <f>IF(AND(C5035&lt;&gt;"", J5035&lt;&gt;""), HYPERLINK("#'" &amp; C5035 &amp; "'!" &amp; J5035, J5035), "")</f>
        <v/>
      </c>
    </row>
    <row r="5036">
      <c r="B5036" s="21">
        <f>IF(AND(C5036&lt;&gt;"", J5036&lt;&gt;""), HYPERLINK("#'" &amp; C5036 &amp; "'!" &amp; J5036, J5036), "")</f>
        <v/>
      </c>
    </row>
    <row r="5037">
      <c r="B5037" s="21">
        <f>IF(AND(C5037&lt;&gt;"", J5037&lt;&gt;""), HYPERLINK("#'" &amp; C5037 &amp; "'!" &amp; J5037, J5037), "")</f>
        <v/>
      </c>
    </row>
    <row r="5038">
      <c r="B5038" s="21">
        <f>IF(AND(C5038&lt;&gt;"", J5038&lt;&gt;""), HYPERLINK("#'" &amp; C5038 &amp; "'!" &amp; J5038, J5038), "")</f>
        <v/>
      </c>
    </row>
    <row r="5039">
      <c r="B5039" s="21">
        <f>IF(AND(C5039&lt;&gt;"", J5039&lt;&gt;""), HYPERLINK("#'" &amp; C5039 &amp; "'!" &amp; J5039, J5039), "")</f>
        <v/>
      </c>
    </row>
    <row r="5040">
      <c r="B5040" s="21">
        <f>IF(AND(C5040&lt;&gt;"", J5040&lt;&gt;""), HYPERLINK("#'" &amp; C5040 &amp; "'!" &amp; J5040, J5040), "")</f>
        <v/>
      </c>
    </row>
    <row r="5041">
      <c r="B5041" s="21">
        <f>IF(AND(C5041&lt;&gt;"", J5041&lt;&gt;""), HYPERLINK("#'" &amp; C5041 &amp; "'!" &amp; J5041, J5041), "")</f>
        <v/>
      </c>
    </row>
    <row r="5042">
      <c r="B5042" s="21">
        <f>IF(AND(C5042&lt;&gt;"", J5042&lt;&gt;""), HYPERLINK("#'" &amp; C5042 &amp; "'!" &amp; J5042, J5042), "")</f>
        <v/>
      </c>
    </row>
    <row r="5043">
      <c r="B5043" s="21">
        <f>IF(AND(C5043&lt;&gt;"", J5043&lt;&gt;""), HYPERLINK("#'" &amp; C5043 &amp; "'!" &amp; J5043, J5043), "")</f>
        <v/>
      </c>
    </row>
    <row r="5044">
      <c r="B5044" s="21">
        <f>IF(AND(C5044&lt;&gt;"", J5044&lt;&gt;""), HYPERLINK("#'" &amp; C5044 &amp; "'!" &amp; J5044, J5044), "")</f>
        <v/>
      </c>
    </row>
    <row r="5045">
      <c r="B5045" s="21">
        <f>IF(AND(C5045&lt;&gt;"", J5045&lt;&gt;""), HYPERLINK("#'" &amp; C5045 &amp; "'!" &amp; J5045, J5045), "")</f>
        <v/>
      </c>
    </row>
    <row r="5046">
      <c r="B5046" s="21">
        <f>IF(AND(C5046&lt;&gt;"", J5046&lt;&gt;""), HYPERLINK("#'" &amp; C5046 &amp; "'!" &amp; J5046, J5046), "")</f>
        <v/>
      </c>
    </row>
    <row r="5047">
      <c r="B5047" s="21">
        <f>IF(AND(C5047&lt;&gt;"", J5047&lt;&gt;""), HYPERLINK("#'" &amp; C5047 &amp; "'!" &amp; J5047, J5047), "")</f>
        <v/>
      </c>
    </row>
    <row r="5048">
      <c r="B5048" s="21">
        <f>IF(AND(C5048&lt;&gt;"", J5048&lt;&gt;""), HYPERLINK("#'" &amp; C5048 &amp; "'!" &amp; J5048, J5048), "")</f>
        <v/>
      </c>
    </row>
    <row r="5049">
      <c r="B5049" s="21">
        <f>IF(AND(C5049&lt;&gt;"", J5049&lt;&gt;""), HYPERLINK("#'" &amp; C5049 &amp; "'!" &amp; J5049, J5049), "")</f>
        <v/>
      </c>
    </row>
    <row r="5050">
      <c r="B5050" s="21">
        <f>IF(AND(C5050&lt;&gt;"", J5050&lt;&gt;""), HYPERLINK("#'" &amp; C5050 &amp; "'!" &amp; J5050, J5050), "")</f>
        <v/>
      </c>
    </row>
    <row r="5051">
      <c r="B5051" s="21">
        <f>IF(AND(C5051&lt;&gt;"", J5051&lt;&gt;""), HYPERLINK("#'" &amp; C5051 &amp; "'!" &amp; J5051, J5051), "")</f>
        <v/>
      </c>
    </row>
    <row r="5052">
      <c r="B5052" s="21">
        <f>IF(AND(C5052&lt;&gt;"", J5052&lt;&gt;""), HYPERLINK("#'" &amp; C5052 &amp; "'!" &amp; J5052, J5052), "")</f>
        <v/>
      </c>
    </row>
    <row r="5053">
      <c r="B5053" s="21">
        <f>IF(AND(C5053&lt;&gt;"", J5053&lt;&gt;""), HYPERLINK("#'" &amp; C5053 &amp; "'!" &amp; J5053, J5053), "")</f>
        <v/>
      </c>
    </row>
    <row r="5054">
      <c r="B5054" s="21">
        <f>IF(AND(C5054&lt;&gt;"", J5054&lt;&gt;""), HYPERLINK("#'" &amp; C5054 &amp; "'!" &amp; J5054, J5054), "")</f>
        <v/>
      </c>
    </row>
    <row r="5055">
      <c r="B5055" s="21">
        <f>IF(AND(C5055&lt;&gt;"", J5055&lt;&gt;""), HYPERLINK("#'" &amp; C5055 &amp; "'!" &amp; J5055, J5055), "")</f>
        <v/>
      </c>
    </row>
    <row r="5056">
      <c r="B5056" s="21">
        <f>IF(AND(C5056&lt;&gt;"", J5056&lt;&gt;""), HYPERLINK("#'" &amp; C5056 &amp; "'!" &amp; J5056, J5056), "")</f>
        <v/>
      </c>
    </row>
    <row r="5057">
      <c r="B5057" s="21">
        <f>IF(AND(C5057&lt;&gt;"", J5057&lt;&gt;""), HYPERLINK("#'" &amp; C5057 &amp; "'!" &amp; J5057, J5057), "")</f>
        <v/>
      </c>
    </row>
    <row r="5058">
      <c r="B5058" s="21">
        <f>IF(AND(C5058&lt;&gt;"", J5058&lt;&gt;""), HYPERLINK("#'" &amp; C5058 &amp; "'!" &amp; J5058, J5058), "")</f>
        <v/>
      </c>
    </row>
    <row r="5059">
      <c r="B5059" s="21">
        <f>IF(AND(C5059&lt;&gt;"", J5059&lt;&gt;""), HYPERLINK("#'" &amp; C5059 &amp; "'!" &amp; J5059, J5059), "")</f>
        <v/>
      </c>
    </row>
    <row r="5060">
      <c r="B5060" s="21">
        <f>IF(AND(C5060&lt;&gt;"", J5060&lt;&gt;""), HYPERLINK("#'" &amp; C5060 &amp; "'!" &amp; J5060, J5060), "")</f>
        <v/>
      </c>
    </row>
    <row r="5061">
      <c r="B5061" s="21">
        <f>IF(AND(C5061&lt;&gt;"", J5061&lt;&gt;""), HYPERLINK("#'" &amp; C5061 &amp; "'!" &amp; J5061, J5061), "")</f>
        <v/>
      </c>
    </row>
    <row r="5062">
      <c r="B5062" s="21">
        <f>IF(AND(C5062&lt;&gt;"", J5062&lt;&gt;""), HYPERLINK("#'" &amp; C5062 &amp; "'!" &amp; J5062, J5062), "")</f>
        <v/>
      </c>
    </row>
    <row r="5063">
      <c r="B5063" s="21">
        <f>IF(AND(C5063&lt;&gt;"", J5063&lt;&gt;""), HYPERLINK("#'" &amp; C5063 &amp; "'!" &amp; J5063, J5063), "")</f>
        <v/>
      </c>
    </row>
    <row r="5064">
      <c r="B5064" s="21">
        <f>IF(AND(C5064&lt;&gt;"", J5064&lt;&gt;""), HYPERLINK("#'" &amp; C5064 &amp; "'!" &amp; J5064, J5064), "")</f>
        <v/>
      </c>
    </row>
    <row r="5065">
      <c r="B5065" s="21">
        <f>IF(AND(C5065&lt;&gt;"", J5065&lt;&gt;""), HYPERLINK("#'" &amp; C5065 &amp; "'!" &amp; J5065, J5065), "")</f>
        <v/>
      </c>
    </row>
    <row r="5066">
      <c r="B5066" s="21">
        <f>IF(AND(C5066&lt;&gt;"", J5066&lt;&gt;""), HYPERLINK("#'" &amp; C5066 &amp; "'!" &amp; J5066, J5066), "")</f>
        <v/>
      </c>
    </row>
    <row r="5067">
      <c r="B5067" s="21">
        <f>IF(AND(C5067&lt;&gt;"", J5067&lt;&gt;""), HYPERLINK("#'" &amp; C5067 &amp; "'!" &amp; J5067, J5067), "")</f>
        <v/>
      </c>
    </row>
    <row r="5068">
      <c r="B5068" s="21">
        <f>IF(AND(C5068&lt;&gt;"", J5068&lt;&gt;""), HYPERLINK("#'" &amp; C5068 &amp; "'!" &amp; J5068, J5068), "")</f>
        <v/>
      </c>
    </row>
    <row r="5069">
      <c r="B5069" s="21">
        <f>IF(AND(C5069&lt;&gt;"", J5069&lt;&gt;""), HYPERLINK("#'" &amp; C5069 &amp; "'!" &amp; J5069, J5069), "")</f>
        <v/>
      </c>
    </row>
    <row r="5070">
      <c r="B5070" s="21">
        <f>IF(AND(C5070&lt;&gt;"", J5070&lt;&gt;""), HYPERLINK("#'" &amp; C5070 &amp; "'!" &amp; J5070, J5070), "")</f>
        <v/>
      </c>
    </row>
    <row r="5071">
      <c r="B5071" s="21">
        <f>IF(AND(C5071&lt;&gt;"", J5071&lt;&gt;""), HYPERLINK("#'" &amp; C5071 &amp; "'!" &amp; J5071, J5071), "")</f>
        <v/>
      </c>
    </row>
    <row r="5072">
      <c r="B5072" s="21">
        <f>IF(AND(C5072&lt;&gt;"", J5072&lt;&gt;""), HYPERLINK("#'" &amp; C5072 &amp; "'!" &amp; J5072, J5072), "")</f>
        <v/>
      </c>
    </row>
    <row r="5073">
      <c r="B5073" s="21">
        <f>IF(AND(C5073&lt;&gt;"", J5073&lt;&gt;""), HYPERLINK("#'" &amp; C5073 &amp; "'!" &amp; J5073, J5073), "")</f>
        <v/>
      </c>
    </row>
    <row r="5074">
      <c r="B5074" s="21">
        <f>IF(AND(C5074&lt;&gt;"", J5074&lt;&gt;""), HYPERLINK("#'" &amp; C5074 &amp; "'!" &amp; J5074, J5074), "")</f>
        <v/>
      </c>
    </row>
    <row r="5075">
      <c r="B5075" s="21">
        <f>IF(AND(C5075&lt;&gt;"", J5075&lt;&gt;""), HYPERLINK("#'" &amp; C5075 &amp; "'!" &amp; J5075, J5075), "")</f>
        <v/>
      </c>
    </row>
    <row r="5076">
      <c r="B5076" s="21">
        <f>IF(AND(C5076&lt;&gt;"", J5076&lt;&gt;""), HYPERLINK("#'" &amp; C5076 &amp; "'!" &amp; J5076, J5076), "")</f>
        <v/>
      </c>
    </row>
    <row r="5077">
      <c r="B5077" s="21">
        <f>IF(AND(C5077&lt;&gt;"", J5077&lt;&gt;""), HYPERLINK("#'" &amp; C5077 &amp; "'!" &amp; J5077, J5077), "")</f>
        <v/>
      </c>
    </row>
    <row r="5078">
      <c r="B5078" s="21">
        <f>IF(AND(C5078&lt;&gt;"", J5078&lt;&gt;""), HYPERLINK("#'" &amp; C5078 &amp; "'!" &amp; J5078, J5078), "")</f>
        <v/>
      </c>
    </row>
    <row r="5079">
      <c r="B5079" s="21">
        <f>IF(AND(C5079&lt;&gt;"", J5079&lt;&gt;""), HYPERLINK("#'" &amp; C5079 &amp; "'!" &amp; J5079, J5079), "")</f>
        <v/>
      </c>
    </row>
    <row r="5080">
      <c r="B5080" s="21">
        <f>IF(AND(C5080&lt;&gt;"", J5080&lt;&gt;""), HYPERLINK("#'" &amp; C5080 &amp; "'!" &amp; J5080, J5080), "")</f>
        <v/>
      </c>
    </row>
    <row r="5081">
      <c r="B5081" s="21">
        <f>IF(AND(C5081&lt;&gt;"", J5081&lt;&gt;""), HYPERLINK("#'" &amp; C5081 &amp; "'!" &amp; J5081, J5081), "")</f>
        <v/>
      </c>
    </row>
    <row r="5082">
      <c r="B5082" s="21">
        <f>IF(AND(C5082&lt;&gt;"", J5082&lt;&gt;""), HYPERLINK("#'" &amp; C5082 &amp; "'!" &amp; J5082, J5082), "")</f>
        <v/>
      </c>
    </row>
    <row r="5083">
      <c r="B5083" s="21">
        <f>IF(AND(C5083&lt;&gt;"", J5083&lt;&gt;""), HYPERLINK("#'" &amp; C5083 &amp; "'!" &amp; J5083, J5083), "")</f>
        <v/>
      </c>
    </row>
    <row r="5084">
      <c r="B5084" s="21">
        <f>IF(AND(C5084&lt;&gt;"", J5084&lt;&gt;""), HYPERLINK("#'" &amp; C5084 &amp; "'!" &amp; J5084, J5084), "")</f>
        <v/>
      </c>
    </row>
    <row r="5085">
      <c r="B5085" s="21">
        <f>IF(AND(C5085&lt;&gt;"", J5085&lt;&gt;""), HYPERLINK("#'" &amp; C5085 &amp; "'!" &amp; J5085, J5085), "")</f>
        <v/>
      </c>
    </row>
    <row r="5086">
      <c r="B5086" s="21">
        <f>IF(AND(C5086&lt;&gt;"", J5086&lt;&gt;""), HYPERLINK("#'" &amp; C5086 &amp; "'!" &amp; J5086, J5086), "")</f>
        <v/>
      </c>
    </row>
    <row r="5087">
      <c r="B5087" s="21">
        <f>IF(AND(C5087&lt;&gt;"", J5087&lt;&gt;""), HYPERLINK("#'" &amp; C5087 &amp; "'!" &amp; J5087, J5087), "")</f>
        <v/>
      </c>
    </row>
    <row r="5088">
      <c r="B5088" s="21">
        <f>IF(AND(C5088&lt;&gt;"", J5088&lt;&gt;""), HYPERLINK("#'" &amp; C5088 &amp; "'!" &amp; J5088, J5088), "")</f>
        <v/>
      </c>
    </row>
    <row r="5089">
      <c r="B5089" s="21">
        <f>IF(AND(C5089&lt;&gt;"", J5089&lt;&gt;""), HYPERLINK("#'" &amp; C5089 &amp; "'!" &amp; J5089, J5089), "")</f>
        <v/>
      </c>
    </row>
    <row r="5090">
      <c r="B5090" s="21">
        <f>IF(AND(C5090&lt;&gt;"", J5090&lt;&gt;""), HYPERLINK("#'" &amp; C5090 &amp; "'!" &amp; J5090, J5090), "")</f>
        <v/>
      </c>
    </row>
    <row r="5091">
      <c r="B5091" s="21">
        <f>IF(AND(C5091&lt;&gt;"", J5091&lt;&gt;""), HYPERLINK("#'" &amp; C5091 &amp; "'!" &amp; J5091, J5091), "")</f>
        <v/>
      </c>
    </row>
    <row r="5092">
      <c r="B5092" s="21">
        <f>IF(AND(C5092&lt;&gt;"", J5092&lt;&gt;""), HYPERLINK("#'" &amp; C5092 &amp; "'!" &amp; J5092, J5092), "")</f>
        <v/>
      </c>
    </row>
    <row r="5093">
      <c r="B5093" s="21">
        <f>IF(AND(C5093&lt;&gt;"", J5093&lt;&gt;""), HYPERLINK("#'" &amp; C5093 &amp; "'!" &amp; J5093, J5093), "")</f>
        <v/>
      </c>
    </row>
    <row r="5094">
      <c r="B5094" s="21">
        <f>IF(AND(C5094&lt;&gt;"", J5094&lt;&gt;""), HYPERLINK("#'" &amp; C5094 &amp; "'!" &amp; J5094, J5094), "")</f>
        <v/>
      </c>
    </row>
    <row r="5095">
      <c r="B5095" s="21">
        <f>IF(AND(C5095&lt;&gt;"", J5095&lt;&gt;""), HYPERLINK("#'" &amp; C5095 &amp; "'!" &amp; J5095, J5095), "")</f>
        <v/>
      </c>
    </row>
    <row r="5096">
      <c r="B5096" s="21">
        <f>IF(AND(C5096&lt;&gt;"", J5096&lt;&gt;""), HYPERLINK("#'" &amp; C5096 &amp; "'!" &amp; J5096, J5096), "")</f>
        <v/>
      </c>
    </row>
    <row r="5097">
      <c r="B5097" s="21">
        <f>IF(AND(C5097&lt;&gt;"", J5097&lt;&gt;""), HYPERLINK("#'" &amp; C5097 &amp; "'!" &amp; J5097, J5097), "")</f>
        <v/>
      </c>
    </row>
    <row r="5098">
      <c r="B5098" s="21">
        <f>IF(AND(C5098&lt;&gt;"", J5098&lt;&gt;""), HYPERLINK("#'" &amp; C5098 &amp; "'!" &amp; J5098, J5098), "")</f>
        <v/>
      </c>
    </row>
    <row r="5099">
      <c r="B5099" s="21">
        <f>IF(AND(C5099&lt;&gt;"", J5099&lt;&gt;""), HYPERLINK("#'" &amp; C5099 &amp; "'!" &amp; J5099, J5099), "")</f>
        <v/>
      </c>
    </row>
    <row r="5100">
      <c r="B5100" s="21">
        <f>IF(AND(C5100&lt;&gt;"", J5100&lt;&gt;""), HYPERLINK("#'" &amp; C5100 &amp; "'!" &amp; J5100, J5100), "")</f>
        <v/>
      </c>
    </row>
    <row r="5101">
      <c r="B5101" s="21">
        <f>IF(AND(C5101&lt;&gt;"", J5101&lt;&gt;""), HYPERLINK("#'" &amp; C5101 &amp; "'!" &amp; J5101, J5101), "")</f>
        <v/>
      </c>
    </row>
    <row r="5102">
      <c r="B5102" s="21">
        <f>IF(AND(C5102&lt;&gt;"", J5102&lt;&gt;""), HYPERLINK("#'" &amp; C5102 &amp; "'!" &amp; J5102, J5102), "")</f>
        <v/>
      </c>
    </row>
    <row r="5103">
      <c r="B5103" s="21">
        <f>IF(AND(C5103&lt;&gt;"", J5103&lt;&gt;""), HYPERLINK("#'" &amp; C5103 &amp; "'!" &amp; J5103, J5103), "")</f>
        <v/>
      </c>
    </row>
    <row r="5104">
      <c r="B5104" s="21">
        <f>IF(AND(C5104&lt;&gt;"", J5104&lt;&gt;""), HYPERLINK("#'" &amp; C5104 &amp; "'!" &amp; J5104, J5104), "")</f>
        <v/>
      </c>
    </row>
    <row r="5105">
      <c r="B5105" s="21">
        <f>IF(AND(C5105&lt;&gt;"", J5105&lt;&gt;""), HYPERLINK("#'" &amp; C5105 &amp; "'!" &amp; J5105, J5105), "")</f>
        <v/>
      </c>
    </row>
    <row r="5106">
      <c r="B5106" s="21">
        <f>IF(AND(C5106&lt;&gt;"", J5106&lt;&gt;""), HYPERLINK("#'" &amp; C5106 &amp; "'!" &amp; J5106, J5106), "")</f>
        <v/>
      </c>
    </row>
    <row r="5107">
      <c r="B5107" s="21">
        <f>IF(AND(C5107&lt;&gt;"", J5107&lt;&gt;""), HYPERLINK("#'" &amp; C5107 &amp; "'!" &amp; J5107, J5107), "")</f>
        <v/>
      </c>
    </row>
    <row r="5108">
      <c r="B5108" s="21">
        <f>IF(AND(C5108&lt;&gt;"", J5108&lt;&gt;""), HYPERLINK("#'" &amp; C5108 &amp; "'!" &amp; J5108, J5108), "")</f>
        <v/>
      </c>
    </row>
    <row r="5109">
      <c r="B5109" s="21">
        <f>IF(AND(C5109&lt;&gt;"", J5109&lt;&gt;""), HYPERLINK("#'" &amp; C5109 &amp; "'!" &amp; J5109, J5109), "")</f>
        <v/>
      </c>
    </row>
    <row r="5110">
      <c r="B5110" s="21">
        <f>IF(AND(C5110&lt;&gt;"", J5110&lt;&gt;""), HYPERLINK("#'" &amp; C5110 &amp; "'!" &amp; J5110, J5110), "")</f>
        <v/>
      </c>
    </row>
    <row r="5111">
      <c r="B5111" s="21">
        <f>IF(AND(C5111&lt;&gt;"", J5111&lt;&gt;""), HYPERLINK("#'" &amp; C5111 &amp; "'!" &amp; J5111, J5111), "")</f>
        <v/>
      </c>
    </row>
    <row r="5112">
      <c r="B5112" s="21">
        <f>IF(AND(C5112&lt;&gt;"", J5112&lt;&gt;""), HYPERLINK("#'" &amp; C5112 &amp; "'!" &amp; J5112, J5112), "")</f>
        <v/>
      </c>
    </row>
    <row r="5113">
      <c r="B5113" s="21">
        <f>IF(AND(C5113&lt;&gt;"", J5113&lt;&gt;""), HYPERLINK("#'" &amp; C5113 &amp; "'!" &amp; J5113, J5113), "")</f>
        <v/>
      </c>
    </row>
    <row r="5114">
      <c r="B5114" s="21">
        <f>IF(AND(C5114&lt;&gt;"", J5114&lt;&gt;""), HYPERLINK("#'" &amp; C5114 &amp; "'!" &amp; J5114, J5114), "")</f>
        <v/>
      </c>
    </row>
    <row r="5115">
      <c r="B5115" s="21">
        <f>IF(AND(C5115&lt;&gt;"", J5115&lt;&gt;""), HYPERLINK("#'" &amp; C5115 &amp; "'!" &amp; J5115, J5115), "")</f>
        <v/>
      </c>
    </row>
    <row r="5116">
      <c r="B5116" s="21">
        <f>IF(AND(C5116&lt;&gt;"", J5116&lt;&gt;""), HYPERLINK("#'" &amp; C5116 &amp; "'!" &amp; J5116, J5116), "")</f>
        <v/>
      </c>
    </row>
    <row r="5117">
      <c r="B5117" s="21">
        <f>IF(AND(C5117&lt;&gt;"", J5117&lt;&gt;""), HYPERLINK("#'" &amp; C5117 &amp; "'!" &amp; J5117, J5117), "")</f>
        <v/>
      </c>
    </row>
    <row r="5118">
      <c r="B5118" s="21">
        <f>IF(AND(C5118&lt;&gt;"", J5118&lt;&gt;""), HYPERLINK("#'" &amp; C5118 &amp; "'!" &amp; J5118, J5118), "")</f>
        <v/>
      </c>
    </row>
    <row r="5119">
      <c r="B5119" s="21">
        <f>IF(AND(C5119&lt;&gt;"", J5119&lt;&gt;""), HYPERLINK("#'" &amp; C5119 &amp; "'!" &amp; J5119, J5119), "")</f>
        <v/>
      </c>
    </row>
    <row r="5120">
      <c r="B5120" s="21">
        <f>IF(AND(C5120&lt;&gt;"", J5120&lt;&gt;""), HYPERLINK("#'" &amp; C5120 &amp; "'!" &amp; J5120, J5120), "")</f>
        <v/>
      </c>
    </row>
    <row r="5121">
      <c r="B5121" s="21">
        <f>IF(AND(C5121&lt;&gt;"", J5121&lt;&gt;""), HYPERLINK("#'" &amp; C5121 &amp; "'!" &amp; J5121, J5121), "")</f>
        <v/>
      </c>
    </row>
    <row r="5122">
      <c r="B5122" s="21">
        <f>IF(AND(C5122&lt;&gt;"", J5122&lt;&gt;""), HYPERLINK("#'" &amp; C5122 &amp; "'!" &amp; J5122, J5122), "")</f>
        <v/>
      </c>
    </row>
    <row r="5123">
      <c r="B5123" s="21">
        <f>IF(AND(C5123&lt;&gt;"", J5123&lt;&gt;""), HYPERLINK("#'" &amp; C5123 &amp; "'!" &amp; J5123, J5123), "")</f>
        <v/>
      </c>
    </row>
    <row r="5124">
      <c r="B5124" s="21">
        <f>IF(AND(C5124&lt;&gt;"", J5124&lt;&gt;""), HYPERLINK("#'" &amp; C5124 &amp; "'!" &amp; J5124, J5124), "")</f>
        <v/>
      </c>
    </row>
    <row r="5125">
      <c r="B5125" s="21">
        <f>IF(AND(C5125&lt;&gt;"", J5125&lt;&gt;""), HYPERLINK("#'" &amp; C5125 &amp; "'!" &amp; J5125, J5125), "")</f>
        <v/>
      </c>
    </row>
    <row r="5126">
      <c r="B5126" s="21">
        <f>IF(AND(C5126&lt;&gt;"", J5126&lt;&gt;""), HYPERLINK("#'" &amp; C5126 &amp; "'!" &amp; J5126, J5126), "")</f>
        <v/>
      </c>
    </row>
    <row r="5127">
      <c r="B5127" s="21">
        <f>IF(AND(C5127&lt;&gt;"", J5127&lt;&gt;""), HYPERLINK("#'" &amp; C5127 &amp; "'!" &amp; J5127, J5127), "")</f>
        <v/>
      </c>
    </row>
    <row r="5128">
      <c r="B5128" s="21">
        <f>IF(AND(C5128&lt;&gt;"", J5128&lt;&gt;""), HYPERLINK("#'" &amp; C5128 &amp; "'!" &amp; J5128, J5128), "")</f>
        <v/>
      </c>
    </row>
    <row r="5129">
      <c r="B5129" s="21">
        <f>IF(AND(C5129&lt;&gt;"", J5129&lt;&gt;""), HYPERLINK("#'" &amp; C5129 &amp; "'!" &amp; J5129, J5129), "")</f>
        <v/>
      </c>
    </row>
    <row r="5130">
      <c r="B5130" s="21">
        <f>IF(AND(C5130&lt;&gt;"", J5130&lt;&gt;""), HYPERLINK("#'" &amp; C5130 &amp; "'!" &amp; J5130, J5130), "")</f>
        <v/>
      </c>
    </row>
    <row r="5131">
      <c r="B5131" s="21">
        <f>IF(AND(C5131&lt;&gt;"", J5131&lt;&gt;""), HYPERLINK("#'" &amp; C5131 &amp; "'!" &amp; J5131, J5131), "")</f>
        <v/>
      </c>
    </row>
    <row r="5132">
      <c r="B5132" s="21">
        <f>IF(AND(C5132&lt;&gt;"", J5132&lt;&gt;""), HYPERLINK("#'" &amp; C5132 &amp; "'!" &amp; J5132, J5132), "")</f>
        <v/>
      </c>
    </row>
    <row r="5133">
      <c r="B5133" s="21">
        <f>IF(AND(C5133&lt;&gt;"", J5133&lt;&gt;""), HYPERLINK("#'" &amp; C5133 &amp; "'!" &amp; J5133, J5133), "")</f>
        <v/>
      </c>
    </row>
    <row r="5134">
      <c r="B5134" s="21">
        <f>IF(AND(C5134&lt;&gt;"", J5134&lt;&gt;""), HYPERLINK("#'" &amp; C5134 &amp; "'!" &amp; J5134, J5134), "")</f>
        <v/>
      </c>
    </row>
    <row r="5135">
      <c r="B5135" s="21">
        <f>IF(AND(C5135&lt;&gt;"", J5135&lt;&gt;""), HYPERLINK("#'" &amp; C5135 &amp; "'!" &amp; J5135, J5135), "")</f>
        <v/>
      </c>
    </row>
    <row r="5136">
      <c r="B5136" s="21">
        <f>IF(AND(C5136&lt;&gt;"", J5136&lt;&gt;""), HYPERLINK("#'" &amp; C5136 &amp; "'!" &amp; J5136, J5136), "")</f>
        <v/>
      </c>
    </row>
    <row r="5137">
      <c r="B5137" s="21">
        <f>IF(AND(C5137&lt;&gt;"", J5137&lt;&gt;""), HYPERLINK("#'" &amp; C5137 &amp; "'!" &amp; J5137, J5137), "")</f>
        <v/>
      </c>
    </row>
    <row r="5138">
      <c r="B5138" s="21">
        <f>IF(AND(C5138&lt;&gt;"", J5138&lt;&gt;""), HYPERLINK("#'" &amp; C5138 &amp; "'!" &amp; J5138, J5138), "")</f>
        <v/>
      </c>
    </row>
    <row r="5139">
      <c r="B5139" s="21">
        <f>IF(AND(C5139&lt;&gt;"", J5139&lt;&gt;""), HYPERLINK("#'" &amp; C5139 &amp; "'!" &amp; J5139, J5139), "")</f>
        <v/>
      </c>
    </row>
    <row r="5140">
      <c r="B5140" s="21">
        <f>IF(AND(C5140&lt;&gt;"", J5140&lt;&gt;""), HYPERLINK("#'" &amp; C5140 &amp; "'!" &amp; J5140, J5140), "")</f>
        <v/>
      </c>
    </row>
    <row r="5141">
      <c r="B5141" s="21">
        <f>IF(AND(C5141&lt;&gt;"", J5141&lt;&gt;""), HYPERLINK("#'" &amp; C5141 &amp; "'!" &amp; J5141, J5141), "")</f>
        <v/>
      </c>
    </row>
    <row r="5142">
      <c r="B5142" s="21">
        <f>IF(AND(C5142&lt;&gt;"", J5142&lt;&gt;""), HYPERLINK("#'" &amp; C5142 &amp; "'!" &amp; J5142, J5142), "")</f>
        <v/>
      </c>
    </row>
    <row r="5143">
      <c r="B5143" s="21">
        <f>IF(AND(C5143&lt;&gt;"", J5143&lt;&gt;""), HYPERLINK("#'" &amp; C5143 &amp; "'!" &amp; J5143, J5143), "")</f>
        <v/>
      </c>
    </row>
    <row r="5144">
      <c r="B5144" s="21">
        <f>IF(AND(C5144&lt;&gt;"", J5144&lt;&gt;""), HYPERLINK("#'" &amp; C5144 &amp; "'!" &amp; J5144, J5144), "")</f>
        <v/>
      </c>
    </row>
    <row r="5145">
      <c r="B5145" s="21">
        <f>IF(AND(C5145&lt;&gt;"", J5145&lt;&gt;""), HYPERLINK("#'" &amp; C5145 &amp; "'!" &amp; J5145, J5145), "")</f>
        <v/>
      </c>
    </row>
    <row r="5146">
      <c r="B5146" s="21">
        <f>IF(AND(C5146&lt;&gt;"", J5146&lt;&gt;""), HYPERLINK("#'" &amp; C5146 &amp; "'!" &amp; J5146, J5146), "")</f>
        <v/>
      </c>
    </row>
    <row r="5147">
      <c r="B5147" s="21">
        <f>IF(AND(C5147&lt;&gt;"", J5147&lt;&gt;""), HYPERLINK("#'" &amp; C5147 &amp; "'!" &amp; J5147, J5147), "")</f>
        <v/>
      </c>
    </row>
    <row r="5148">
      <c r="B5148" s="21">
        <f>IF(AND(C5148&lt;&gt;"", J5148&lt;&gt;""), HYPERLINK("#'" &amp; C5148 &amp; "'!" &amp; J5148, J5148), "")</f>
        <v/>
      </c>
    </row>
    <row r="5149">
      <c r="B5149" s="21">
        <f>IF(AND(C5149&lt;&gt;"", J5149&lt;&gt;""), HYPERLINK("#'" &amp; C5149 &amp; "'!" &amp; J5149, J5149), "")</f>
        <v/>
      </c>
    </row>
    <row r="5150">
      <c r="B5150" s="21">
        <f>IF(AND(C5150&lt;&gt;"", J5150&lt;&gt;""), HYPERLINK("#'" &amp; C5150 &amp; "'!" &amp; J5150, J5150), "")</f>
        <v/>
      </c>
    </row>
    <row r="5151">
      <c r="B5151" s="21">
        <f>IF(AND(C5151&lt;&gt;"", J5151&lt;&gt;""), HYPERLINK("#'" &amp; C5151 &amp; "'!" &amp; J5151, J5151), "")</f>
        <v/>
      </c>
    </row>
    <row r="5152">
      <c r="B5152" s="21">
        <f>IF(AND(C5152&lt;&gt;"", J5152&lt;&gt;""), HYPERLINK("#'" &amp; C5152 &amp; "'!" &amp; J5152, J5152), "")</f>
        <v/>
      </c>
    </row>
    <row r="5153">
      <c r="B5153" s="21">
        <f>IF(AND(C5153&lt;&gt;"", J5153&lt;&gt;""), HYPERLINK("#'" &amp; C5153 &amp; "'!" &amp; J5153, J5153), "")</f>
        <v/>
      </c>
    </row>
    <row r="5154">
      <c r="B5154" s="21">
        <f>IF(AND(C5154&lt;&gt;"", J5154&lt;&gt;""), HYPERLINK("#'" &amp; C5154 &amp; "'!" &amp; J5154, J5154), "")</f>
        <v/>
      </c>
    </row>
    <row r="5155">
      <c r="B5155" s="21">
        <f>IF(AND(C5155&lt;&gt;"", J5155&lt;&gt;""), HYPERLINK("#'" &amp; C5155 &amp; "'!" &amp; J5155, J5155), "")</f>
        <v/>
      </c>
    </row>
    <row r="5156">
      <c r="B5156" s="21">
        <f>IF(AND(C5156&lt;&gt;"", J5156&lt;&gt;""), HYPERLINK("#'" &amp; C5156 &amp; "'!" &amp; J5156, J5156), "")</f>
        <v/>
      </c>
    </row>
    <row r="5157">
      <c r="B5157" s="21">
        <f>IF(AND(C5157&lt;&gt;"", J5157&lt;&gt;""), HYPERLINK("#'" &amp; C5157 &amp; "'!" &amp; J5157, J5157), "")</f>
        <v/>
      </c>
    </row>
    <row r="5158">
      <c r="B5158" s="21">
        <f>IF(AND(C5158&lt;&gt;"", J5158&lt;&gt;""), HYPERLINK("#'" &amp; C5158 &amp; "'!" &amp; J5158, J5158), "")</f>
        <v/>
      </c>
    </row>
    <row r="5159">
      <c r="B5159" s="21">
        <f>IF(AND(C5159&lt;&gt;"", J5159&lt;&gt;""), HYPERLINK("#'" &amp; C5159 &amp; "'!" &amp; J5159, J5159), "")</f>
        <v/>
      </c>
    </row>
    <row r="5160">
      <c r="B5160" s="21">
        <f>IF(AND(C5160&lt;&gt;"", J5160&lt;&gt;""), HYPERLINK("#'" &amp; C5160 &amp; "'!" &amp; J5160, J5160), "")</f>
        <v/>
      </c>
    </row>
    <row r="5161">
      <c r="B5161" s="21">
        <f>IF(AND(C5161&lt;&gt;"", J5161&lt;&gt;""), HYPERLINK("#'" &amp; C5161 &amp; "'!" &amp; J5161, J5161), "")</f>
        <v/>
      </c>
    </row>
    <row r="5162">
      <c r="B5162" s="21">
        <f>IF(AND(C5162&lt;&gt;"", J5162&lt;&gt;""), HYPERLINK("#'" &amp; C5162 &amp; "'!" &amp; J5162, J5162), "")</f>
        <v/>
      </c>
    </row>
    <row r="5163">
      <c r="B5163" s="21">
        <f>IF(AND(C5163&lt;&gt;"", J5163&lt;&gt;""), HYPERLINK("#'" &amp; C5163 &amp; "'!" &amp; J5163, J5163), "")</f>
        <v/>
      </c>
    </row>
    <row r="5164">
      <c r="B5164" s="21">
        <f>IF(AND(C5164&lt;&gt;"", J5164&lt;&gt;""), HYPERLINK("#'" &amp; C5164 &amp; "'!" &amp; J5164, J5164), "")</f>
        <v/>
      </c>
    </row>
    <row r="5165">
      <c r="B5165" s="21">
        <f>IF(AND(C5165&lt;&gt;"", J5165&lt;&gt;""), HYPERLINK("#'" &amp; C5165 &amp; "'!" &amp; J5165, J5165), "")</f>
        <v/>
      </c>
    </row>
    <row r="5166">
      <c r="B5166" s="21">
        <f>IF(AND(C5166&lt;&gt;"", J5166&lt;&gt;""), HYPERLINK("#'" &amp; C5166 &amp; "'!" &amp; J5166, J5166), "")</f>
        <v/>
      </c>
    </row>
    <row r="5167">
      <c r="B5167" s="21">
        <f>IF(AND(C5167&lt;&gt;"", J5167&lt;&gt;""), HYPERLINK("#'" &amp; C5167 &amp; "'!" &amp; J5167, J5167), "")</f>
        <v/>
      </c>
    </row>
    <row r="5168">
      <c r="B5168" s="21">
        <f>IF(AND(C5168&lt;&gt;"", J5168&lt;&gt;""), HYPERLINK("#'" &amp; C5168 &amp; "'!" &amp; J5168, J5168), "")</f>
        <v/>
      </c>
    </row>
    <row r="5169">
      <c r="B5169" s="21">
        <f>IF(AND(C5169&lt;&gt;"", J5169&lt;&gt;""), HYPERLINK("#'" &amp; C5169 &amp; "'!" &amp; J5169, J5169), "")</f>
        <v/>
      </c>
    </row>
    <row r="5170">
      <c r="B5170" s="21">
        <f>IF(AND(C5170&lt;&gt;"", J5170&lt;&gt;""), HYPERLINK("#'" &amp; C5170 &amp; "'!" &amp; J5170, J5170), "")</f>
        <v/>
      </c>
    </row>
    <row r="5171">
      <c r="B5171" s="21">
        <f>IF(AND(C5171&lt;&gt;"", J5171&lt;&gt;""), HYPERLINK("#'" &amp; C5171 &amp; "'!" &amp; J5171, J5171), "")</f>
        <v/>
      </c>
    </row>
    <row r="5172">
      <c r="B5172" s="21">
        <f>IF(AND(C5172&lt;&gt;"", J5172&lt;&gt;""), HYPERLINK("#'" &amp; C5172 &amp; "'!" &amp; J5172, J5172), "")</f>
        <v/>
      </c>
    </row>
    <row r="5173">
      <c r="B5173" s="21">
        <f>IF(AND(C5173&lt;&gt;"", J5173&lt;&gt;""), HYPERLINK("#'" &amp; C5173 &amp; "'!" &amp; J5173, J5173), "")</f>
        <v/>
      </c>
    </row>
    <row r="5174">
      <c r="B5174" s="21">
        <f>IF(AND(C5174&lt;&gt;"", J5174&lt;&gt;""), HYPERLINK("#'" &amp; C5174 &amp; "'!" &amp; J5174, J5174), "")</f>
        <v/>
      </c>
    </row>
    <row r="5175">
      <c r="B5175" s="21">
        <f>IF(AND(C5175&lt;&gt;"", J5175&lt;&gt;""), HYPERLINK("#'" &amp; C5175 &amp; "'!" &amp; J5175, J5175), "")</f>
        <v/>
      </c>
    </row>
    <row r="5176">
      <c r="B5176" s="21">
        <f>IF(AND(C5176&lt;&gt;"", J5176&lt;&gt;""), HYPERLINK("#'" &amp; C5176 &amp; "'!" &amp; J5176, J5176), "")</f>
        <v/>
      </c>
    </row>
    <row r="5177">
      <c r="B5177" s="21">
        <f>IF(AND(C5177&lt;&gt;"", J5177&lt;&gt;""), HYPERLINK("#'" &amp; C5177 &amp; "'!" &amp; J5177, J5177), "")</f>
        <v/>
      </c>
    </row>
    <row r="5178">
      <c r="B5178" s="21">
        <f>IF(AND(C5178&lt;&gt;"", J5178&lt;&gt;""), HYPERLINK("#'" &amp; C5178 &amp; "'!" &amp; J5178, J5178), "")</f>
        <v/>
      </c>
    </row>
    <row r="5179">
      <c r="B5179" s="21">
        <f>IF(AND(C5179&lt;&gt;"", J5179&lt;&gt;""), HYPERLINK("#'" &amp; C5179 &amp; "'!" &amp; J5179, J5179), "")</f>
        <v/>
      </c>
    </row>
    <row r="5180">
      <c r="B5180" s="21">
        <f>IF(AND(C5180&lt;&gt;"", J5180&lt;&gt;""), HYPERLINK("#'" &amp; C5180 &amp; "'!" &amp; J5180, J5180), "")</f>
        <v/>
      </c>
    </row>
    <row r="5181">
      <c r="B5181" s="21">
        <f>IF(AND(C5181&lt;&gt;"", J5181&lt;&gt;""), HYPERLINK("#'" &amp; C5181 &amp; "'!" &amp; J5181, J5181), "")</f>
        <v/>
      </c>
    </row>
    <row r="5182">
      <c r="B5182" s="21">
        <f>IF(AND(C5182&lt;&gt;"", J5182&lt;&gt;""), HYPERLINK("#'" &amp; C5182 &amp; "'!" &amp; J5182, J5182), "")</f>
        <v/>
      </c>
    </row>
    <row r="5183">
      <c r="B5183" s="21">
        <f>IF(AND(C5183&lt;&gt;"", J5183&lt;&gt;""), HYPERLINK("#'" &amp; C5183 &amp; "'!" &amp; J5183, J5183), "")</f>
        <v/>
      </c>
    </row>
    <row r="5184">
      <c r="B5184" s="21">
        <f>IF(AND(C5184&lt;&gt;"", J5184&lt;&gt;""), HYPERLINK("#'" &amp; C5184 &amp; "'!" &amp; J5184, J5184), "")</f>
        <v/>
      </c>
    </row>
    <row r="5185">
      <c r="B5185" s="21">
        <f>IF(AND(C5185&lt;&gt;"", J5185&lt;&gt;""), HYPERLINK("#'" &amp; C5185 &amp; "'!" &amp; J5185, J5185), "")</f>
        <v/>
      </c>
    </row>
    <row r="5186">
      <c r="B5186" s="21">
        <f>IF(AND(C5186&lt;&gt;"", J5186&lt;&gt;""), HYPERLINK("#'" &amp; C5186 &amp; "'!" &amp; J5186, J5186), "")</f>
        <v/>
      </c>
    </row>
    <row r="5187">
      <c r="B5187" s="21">
        <f>IF(AND(C5187&lt;&gt;"", J5187&lt;&gt;""), HYPERLINK("#'" &amp; C5187 &amp; "'!" &amp; J5187, J5187), "")</f>
        <v/>
      </c>
    </row>
    <row r="5188">
      <c r="B5188" s="21">
        <f>IF(AND(C5188&lt;&gt;"", J5188&lt;&gt;""), HYPERLINK("#'" &amp; C5188 &amp; "'!" &amp; J5188, J5188), "")</f>
        <v/>
      </c>
    </row>
    <row r="5189">
      <c r="B5189" s="21">
        <f>IF(AND(C5189&lt;&gt;"", J5189&lt;&gt;""), HYPERLINK("#'" &amp; C5189 &amp; "'!" &amp; J5189, J5189), "")</f>
        <v/>
      </c>
    </row>
    <row r="5190">
      <c r="B5190" s="21">
        <f>IF(AND(C5190&lt;&gt;"", J5190&lt;&gt;""), HYPERLINK("#'" &amp; C5190 &amp; "'!" &amp; J5190, J5190), "")</f>
        <v/>
      </c>
    </row>
    <row r="5191">
      <c r="B5191" s="21">
        <f>IF(AND(C5191&lt;&gt;"", J5191&lt;&gt;""), HYPERLINK("#'" &amp; C5191 &amp; "'!" &amp; J5191, J5191), "")</f>
        <v/>
      </c>
    </row>
    <row r="5192">
      <c r="B5192" s="21">
        <f>IF(AND(C5192&lt;&gt;"", J5192&lt;&gt;""), HYPERLINK("#'" &amp; C5192 &amp; "'!" &amp; J5192, J5192), "")</f>
        <v/>
      </c>
    </row>
    <row r="5193">
      <c r="B5193" s="21">
        <f>IF(AND(C5193&lt;&gt;"", J5193&lt;&gt;""), HYPERLINK("#'" &amp; C5193 &amp; "'!" &amp; J5193, J5193), "")</f>
        <v/>
      </c>
    </row>
    <row r="5194">
      <c r="B5194" s="21">
        <f>IF(AND(C5194&lt;&gt;"", J5194&lt;&gt;""), HYPERLINK("#'" &amp; C5194 &amp; "'!" &amp; J5194, J5194), "")</f>
        <v/>
      </c>
    </row>
    <row r="5195">
      <c r="B5195" s="21">
        <f>IF(AND(C5195&lt;&gt;"", J5195&lt;&gt;""), HYPERLINK("#'" &amp; C5195 &amp; "'!" &amp; J5195, J5195), "")</f>
        <v/>
      </c>
    </row>
    <row r="5196">
      <c r="B5196" s="21">
        <f>IF(AND(C5196&lt;&gt;"", J5196&lt;&gt;""), HYPERLINK("#'" &amp; C5196 &amp; "'!" &amp; J5196, J5196), "")</f>
        <v/>
      </c>
    </row>
    <row r="5197">
      <c r="B5197" s="21">
        <f>IF(AND(C5197&lt;&gt;"", J5197&lt;&gt;""), HYPERLINK("#'" &amp; C5197 &amp; "'!" &amp; J5197, J5197), "")</f>
        <v/>
      </c>
    </row>
    <row r="5198">
      <c r="B5198" s="21">
        <f>IF(AND(C5198&lt;&gt;"", J5198&lt;&gt;""), HYPERLINK("#'" &amp; C5198 &amp; "'!" &amp; J5198, J5198), "")</f>
        <v/>
      </c>
    </row>
    <row r="5199">
      <c r="B5199" s="21">
        <f>IF(AND(C5199&lt;&gt;"", J5199&lt;&gt;""), HYPERLINK("#'" &amp; C5199 &amp; "'!" &amp; J5199, J5199), "")</f>
        <v/>
      </c>
    </row>
    <row r="5200">
      <c r="B5200" s="21">
        <f>IF(AND(C5200&lt;&gt;"", J5200&lt;&gt;""), HYPERLINK("#'" &amp; C5200 &amp; "'!" &amp; J5200, J5200), "")</f>
        <v/>
      </c>
    </row>
    <row r="5201">
      <c r="B5201" s="21">
        <f>IF(AND(C5201&lt;&gt;"", J5201&lt;&gt;""), HYPERLINK("#'" &amp; C5201 &amp; "'!" &amp; J5201, J5201), "")</f>
        <v/>
      </c>
    </row>
    <row r="5202">
      <c r="B5202" s="21">
        <f>IF(AND(C5202&lt;&gt;"", J5202&lt;&gt;""), HYPERLINK("#'" &amp; C5202 &amp; "'!" &amp; J5202, J5202), "")</f>
        <v/>
      </c>
    </row>
    <row r="5203">
      <c r="B5203" s="21">
        <f>IF(AND(C5203&lt;&gt;"", J5203&lt;&gt;""), HYPERLINK("#'" &amp; C5203 &amp; "'!" &amp; J5203, J5203), "")</f>
        <v/>
      </c>
    </row>
    <row r="5204">
      <c r="B5204" s="21">
        <f>IF(AND(C5204&lt;&gt;"", J5204&lt;&gt;""), HYPERLINK("#'" &amp; C5204 &amp; "'!" &amp; J5204, J5204), "")</f>
        <v/>
      </c>
    </row>
    <row r="5205">
      <c r="B5205" s="21">
        <f>IF(AND(C5205&lt;&gt;"", J5205&lt;&gt;""), HYPERLINK("#'" &amp; C5205 &amp; "'!" &amp; J5205, J5205), "")</f>
        <v/>
      </c>
    </row>
    <row r="5206">
      <c r="B5206" s="21">
        <f>IF(AND(C5206&lt;&gt;"", J5206&lt;&gt;""), HYPERLINK("#'" &amp; C5206 &amp; "'!" &amp; J5206, J5206), "")</f>
        <v/>
      </c>
    </row>
    <row r="5207">
      <c r="B5207" s="21">
        <f>IF(AND(C5207&lt;&gt;"", J5207&lt;&gt;""), HYPERLINK("#'" &amp; C5207 &amp; "'!" &amp; J5207, J5207), "")</f>
        <v/>
      </c>
    </row>
    <row r="5208">
      <c r="B5208" s="21">
        <f>IF(AND(C5208&lt;&gt;"", J5208&lt;&gt;""), HYPERLINK("#'" &amp; C5208 &amp; "'!" &amp; J5208, J5208), "")</f>
        <v/>
      </c>
    </row>
    <row r="5209">
      <c r="B5209" s="21">
        <f>IF(AND(C5209&lt;&gt;"", J5209&lt;&gt;""), HYPERLINK("#'" &amp; C5209 &amp; "'!" &amp; J5209, J5209), "")</f>
        <v/>
      </c>
    </row>
    <row r="5210">
      <c r="B5210" s="21">
        <f>IF(AND(C5210&lt;&gt;"", J5210&lt;&gt;""), HYPERLINK("#'" &amp; C5210 &amp; "'!" &amp; J5210, J5210), "")</f>
        <v/>
      </c>
    </row>
    <row r="5211">
      <c r="B5211" s="21">
        <f>IF(AND(C5211&lt;&gt;"", J5211&lt;&gt;""), HYPERLINK("#'" &amp; C5211 &amp; "'!" &amp; J5211, J5211), "")</f>
        <v/>
      </c>
    </row>
    <row r="5212">
      <c r="B5212" s="21">
        <f>IF(AND(C5212&lt;&gt;"", J5212&lt;&gt;""), HYPERLINK("#'" &amp; C5212 &amp; "'!" &amp; J5212, J5212), "")</f>
        <v/>
      </c>
    </row>
    <row r="5213">
      <c r="B5213" s="21">
        <f>IF(AND(C5213&lt;&gt;"", J5213&lt;&gt;""), HYPERLINK("#'" &amp; C5213 &amp; "'!" &amp; J5213, J5213), "")</f>
        <v/>
      </c>
    </row>
    <row r="5214">
      <c r="B5214" s="21">
        <f>IF(AND(C5214&lt;&gt;"", J5214&lt;&gt;""), HYPERLINK("#'" &amp; C5214 &amp; "'!" &amp; J5214, J5214), "")</f>
        <v/>
      </c>
    </row>
    <row r="5215">
      <c r="B5215" s="21">
        <f>IF(AND(C5215&lt;&gt;"", J5215&lt;&gt;""), HYPERLINK("#'" &amp; C5215 &amp; "'!" &amp; J5215, J5215), "")</f>
        <v/>
      </c>
    </row>
    <row r="5216">
      <c r="B5216" s="21">
        <f>IF(AND(C5216&lt;&gt;"", J5216&lt;&gt;""), HYPERLINK("#'" &amp; C5216 &amp; "'!" &amp; J5216, J5216), "")</f>
        <v/>
      </c>
    </row>
    <row r="5217">
      <c r="B5217" s="21">
        <f>IF(AND(C5217&lt;&gt;"", J5217&lt;&gt;""), HYPERLINK("#'" &amp; C5217 &amp; "'!" &amp; J5217, J5217), "")</f>
        <v/>
      </c>
    </row>
    <row r="5218">
      <c r="B5218" s="21">
        <f>IF(AND(C5218&lt;&gt;"", J5218&lt;&gt;""), HYPERLINK("#'" &amp; C5218 &amp; "'!" &amp; J5218, J5218), "")</f>
        <v/>
      </c>
    </row>
    <row r="5219">
      <c r="B5219" s="21">
        <f>IF(AND(C5219&lt;&gt;"", J5219&lt;&gt;""), HYPERLINK("#'" &amp; C5219 &amp; "'!" &amp; J5219, J5219), "")</f>
        <v/>
      </c>
    </row>
    <row r="5220">
      <c r="B5220" s="21">
        <f>IF(AND(C5220&lt;&gt;"", J5220&lt;&gt;""), HYPERLINK("#'" &amp; C5220 &amp; "'!" &amp; J5220, J5220), "")</f>
        <v/>
      </c>
    </row>
    <row r="5221">
      <c r="B5221" s="21">
        <f>IF(AND(C5221&lt;&gt;"", J5221&lt;&gt;""), HYPERLINK("#'" &amp; C5221 &amp; "'!" &amp; J5221, J5221), "")</f>
        <v/>
      </c>
    </row>
    <row r="5222">
      <c r="B5222" s="21">
        <f>IF(AND(C5222&lt;&gt;"", J5222&lt;&gt;""), HYPERLINK("#'" &amp; C5222 &amp; "'!" &amp; J5222, J5222), "")</f>
        <v/>
      </c>
    </row>
    <row r="5223">
      <c r="B5223" s="21">
        <f>IF(AND(C5223&lt;&gt;"", J5223&lt;&gt;""), HYPERLINK("#'" &amp; C5223 &amp; "'!" &amp; J5223, J5223), "")</f>
        <v/>
      </c>
    </row>
    <row r="5224">
      <c r="B5224" s="21">
        <f>IF(AND(C5224&lt;&gt;"", J5224&lt;&gt;""), HYPERLINK("#'" &amp; C5224 &amp; "'!" &amp; J5224, J5224), "")</f>
        <v/>
      </c>
    </row>
    <row r="5225">
      <c r="B5225" s="21">
        <f>IF(AND(C5225&lt;&gt;"", J5225&lt;&gt;""), HYPERLINK("#'" &amp; C5225 &amp; "'!" &amp; J5225, J5225), "")</f>
        <v/>
      </c>
    </row>
    <row r="5226">
      <c r="B5226" s="21">
        <f>IF(AND(C5226&lt;&gt;"", J5226&lt;&gt;""), HYPERLINK("#'" &amp; C5226 &amp; "'!" &amp; J5226, J5226), "")</f>
        <v/>
      </c>
    </row>
    <row r="5227">
      <c r="B5227" s="21">
        <f>IF(AND(C5227&lt;&gt;"", J5227&lt;&gt;""), HYPERLINK("#'" &amp; C5227 &amp; "'!" &amp; J5227, J5227), "")</f>
        <v/>
      </c>
    </row>
    <row r="5228">
      <c r="B5228" s="21">
        <f>IF(AND(C5228&lt;&gt;"", J5228&lt;&gt;""), HYPERLINK("#'" &amp; C5228 &amp; "'!" &amp; J5228, J5228), "")</f>
        <v/>
      </c>
    </row>
    <row r="5229">
      <c r="B5229" s="21">
        <f>IF(AND(C5229&lt;&gt;"", J5229&lt;&gt;""), HYPERLINK("#'" &amp; C5229 &amp; "'!" &amp; J5229, J5229), "")</f>
        <v/>
      </c>
    </row>
    <row r="5230">
      <c r="B5230" s="21">
        <f>IF(AND(C5230&lt;&gt;"", J5230&lt;&gt;""), HYPERLINK("#'" &amp; C5230 &amp; "'!" &amp; J5230, J5230), "")</f>
        <v/>
      </c>
    </row>
    <row r="5231">
      <c r="B5231" s="21">
        <f>IF(AND(C5231&lt;&gt;"", J5231&lt;&gt;""), HYPERLINK("#'" &amp; C5231 &amp; "'!" &amp; J5231, J5231), "")</f>
        <v/>
      </c>
    </row>
    <row r="5232">
      <c r="B5232" s="21">
        <f>IF(AND(C5232&lt;&gt;"", J5232&lt;&gt;""), HYPERLINK("#'" &amp; C5232 &amp; "'!" &amp; J5232, J5232), "")</f>
        <v/>
      </c>
    </row>
    <row r="5233">
      <c r="B5233" s="21">
        <f>IF(AND(C5233&lt;&gt;"", J5233&lt;&gt;""), HYPERLINK("#'" &amp; C5233 &amp; "'!" &amp; J5233, J5233), "")</f>
        <v/>
      </c>
    </row>
    <row r="5234">
      <c r="B5234" s="21">
        <f>IF(AND(C5234&lt;&gt;"", J5234&lt;&gt;""), HYPERLINK("#'" &amp; C5234 &amp; "'!" &amp; J5234, J5234), "")</f>
        <v/>
      </c>
    </row>
    <row r="5235">
      <c r="B5235" s="21">
        <f>IF(AND(C5235&lt;&gt;"", J5235&lt;&gt;""), HYPERLINK("#'" &amp; C5235 &amp; "'!" &amp; J5235, J5235), "")</f>
        <v/>
      </c>
    </row>
    <row r="5236">
      <c r="B5236" s="21">
        <f>IF(AND(C5236&lt;&gt;"", J5236&lt;&gt;""), HYPERLINK("#'" &amp; C5236 &amp; "'!" &amp; J5236, J5236), "")</f>
        <v/>
      </c>
    </row>
    <row r="5237">
      <c r="B5237" s="21">
        <f>IF(AND(C5237&lt;&gt;"", J5237&lt;&gt;""), HYPERLINK("#'" &amp; C5237 &amp; "'!" &amp; J5237, J5237), "")</f>
        <v/>
      </c>
    </row>
    <row r="5238">
      <c r="B5238" s="21">
        <f>IF(AND(C5238&lt;&gt;"", J5238&lt;&gt;""), HYPERLINK("#'" &amp; C5238 &amp; "'!" &amp; J5238, J5238), "")</f>
        <v/>
      </c>
    </row>
    <row r="5239">
      <c r="B5239" s="21">
        <f>IF(AND(C5239&lt;&gt;"", J5239&lt;&gt;""), HYPERLINK("#'" &amp; C5239 &amp; "'!" &amp; J5239, J5239), "")</f>
        <v/>
      </c>
    </row>
    <row r="5240">
      <c r="B5240" s="21">
        <f>IF(AND(C5240&lt;&gt;"", J5240&lt;&gt;""), HYPERLINK("#'" &amp; C5240 &amp; "'!" &amp; J5240, J5240), "")</f>
        <v/>
      </c>
    </row>
    <row r="5241">
      <c r="B5241" s="21">
        <f>IF(AND(C5241&lt;&gt;"", J5241&lt;&gt;""), HYPERLINK("#'" &amp; C5241 &amp; "'!" &amp; J5241, J5241), "")</f>
        <v/>
      </c>
    </row>
    <row r="5242">
      <c r="B5242" s="21">
        <f>IF(AND(C5242&lt;&gt;"", J5242&lt;&gt;""), HYPERLINK("#'" &amp; C5242 &amp; "'!" &amp; J5242, J5242), "")</f>
        <v/>
      </c>
    </row>
    <row r="5243">
      <c r="B5243" s="21">
        <f>IF(AND(C5243&lt;&gt;"", J5243&lt;&gt;""), HYPERLINK("#'" &amp; C5243 &amp; "'!" &amp; J5243, J5243), "")</f>
        <v/>
      </c>
    </row>
    <row r="5244">
      <c r="B5244" s="21">
        <f>IF(AND(C5244&lt;&gt;"", J5244&lt;&gt;""), HYPERLINK("#'" &amp; C5244 &amp; "'!" &amp; J5244, J5244), "")</f>
        <v/>
      </c>
    </row>
    <row r="5245">
      <c r="B5245" s="21">
        <f>IF(AND(C5245&lt;&gt;"", J5245&lt;&gt;""), HYPERLINK("#'" &amp; C5245 &amp; "'!" &amp; J5245, J5245), "")</f>
        <v/>
      </c>
    </row>
    <row r="5246">
      <c r="B5246" s="21">
        <f>IF(AND(C5246&lt;&gt;"", J5246&lt;&gt;""), HYPERLINK("#'" &amp; C5246 &amp; "'!" &amp; J5246, J5246), "")</f>
        <v/>
      </c>
    </row>
    <row r="5247">
      <c r="B5247" s="21">
        <f>IF(AND(C5247&lt;&gt;"", J5247&lt;&gt;""), HYPERLINK("#'" &amp; C5247 &amp; "'!" &amp; J5247, J5247), "")</f>
        <v/>
      </c>
    </row>
    <row r="5248">
      <c r="B5248" s="21">
        <f>IF(AND(C5248&lt;&gt;"", J5248&lt;&gt;""), HYPERLINK("#'" &amp; C5248 &amp; "'!" &amp; J5248, J5248), "")</f>
        <v/>
      </c>
    </row>
    <row r="5249">
      <c r="B5249" s="21">
        <f>IF(AND(C5249&lt;&gt;"", J5249&lt;&gt;""), HYPERLINK("#'" &amp; C5249 &amp; "'!" &amp; J5249, J5249), "")</f>
        <v/>
      </c>
    </row>
    <row r="5250">
      <c r="B5250" s="21">
        <f>IF(AND(C5250&lt;&gt;"", J5250&lt;&gt;""), HYPERLINK("#'" &amp; C5250 &amp; "'!" &amp; J5250, J5250), "")</f>
        <v/>
      </c>
    </row>
    <row r="5251">
      <c r="B5251" s="21">
        <f>IF(AND(C5251&lt;&gt;"", J5251&lt;&gt;""), HYPERLINK("#'" &amp; C5251 &amp; "'!" &amp; J5251, J5251), "")</f>
        <v/>
      </c>
    </row>
    <row r="5252">
      <c r="B5252" s="21">
        <f>IF(AND(C5252&lt;&gt;"", J5252&lt;&gt;""), HYPERLINK("#'" &amp; C5252 &amp; "'!" &amp; J5252, J5252), "")</f>
        <v/>
      </c>
    </row>
    <row r="5253">
      <c r="B5253" s="21">
        <f>IF(AND(C5253&lt;&gt;"", J5253&lt;&gt;""), HYPERLINK("#'" &amp; C5253 &amp; "'!" &amp; J5253, J5253), "")</f>
        <v/>
      </c>
    </row>
    <row r="5254">
      <c r="B5254" s="21">
        <f>IF(AND(C5254&lt;&gt;"", J5254&lt;&gt;""), HYPERLINK("#'" &amp; C5254 &amp; "'!" &amp; J5254, J5254), "")</f>
        <v/>
      </c>
    </row>
    <row r="5255">
      <c r="B5255" s="21">
        <f>IF(AND(C5255&lt;&gt;"", J5255&lt;&gt;""), HYPERLINK("#'" &amp; C5255 &amp; "'!" &amp; J5255, J5255), "")</f>
        <v/>
      </c>
    </row>
    <row r="5256">
      <c r="B5256" s="21">
        <f>IF(AND(C5256&lt;&gt;"", J5256&lt;&gt;""), HYPERLINK("#'" &amp; C5256 &amp; "'!" &amp; J5256, J5256), "")</f>
        <v/>
      </c>
    </row>
    <row r="5257">
      <c r="B5257" s="21">
        <f>IF(AND(C5257&lt;&gt;"", J5257&lt;&gt;""), HYPERLINK("#'" &amp; C5257 &amp; "'!" &amp; J5257, J5257), "")</f>
        <v/>
      </c>
    </row>
    <row r="5258">
      <c r="B5258" s="21">
        <f>IF(AND(C5258&lt;&gt;"", J5258&lt;&gt;""), HYPERLINK("#'" &amp; C5258 &amp; "'!" &amp; J5258, J5258), "")</f>
        <v/>
      </c>
    </row>
    <row r="5259">
      <c r="B5259" s="21">
        <f>IF(AND(C5259&lt;&gt;"", J5259&lt;&gt;""), HYPERLINK("#'" &amp; C5259 &amp; "'!" &amp; J5259, J5259), "")</f>
        <v/>
      </c>
    </row>
    <row r="5260">
      <c r="B5260" s="21">
        <f>IF(AND(C5260&lt;&gt;"", J5260&lt;&gt;""), HYPERLINK("#'" &amp; C5260 &amp; "'!" &amp; J5260, J5260), "")</f>
        <v/>
      </c>
    </row>
    <row r="5261">
      <c r="B5261" s="21">
        <f>IF(AND(C5261&lt;&gt;"", J5261&lt;&gt;""), HYPERLINK("#'" &amp; C5261 &amp; "'!" &amp; J5261, J5261), "")</f>
        <v/>
      </c>
    </row>
    <row r="5262">
      <c r="B5262" s="21">
        <f>IF(AND(C5262&lt;&gt;"", J5262&lt;&gt;""), HYPERLINK("#'" &amp; C5262 &amp; "'!" &amp; J5262, J5262), "")</f>
        <v/>
      </c>
    </row>
    <row r="5263">
      <c r="B5263" s="21">
        <f>IF(AND(C5263&lt;&gt;"", J5263&lt;&gt;""), HYPERLINK("#'" &amp; C5263 &amp; "'!" &amp; J5263, J5263), "")</f>
        <v/>
      </c>
    </row>
    <row r="5264">
      <c r="B5264" s="21">
        <f>IF(AND(C5264&lt;&gt;"", J5264&lt;&gt;""), HYPERLINK("#'" &amp; C5264 &amp; "'!" &amp; J5264, J5264), "")</f>
        <v/>
      </c>
    </row>
    <row r="5265">
      <c r="B5265" s="21">
        <f>IF(AND(C5265&lt;&gt;"", J5265&lt;&gt;""), HYPERLINK("#'" &amp; C5265 &amp; "'!" &amp; J5265, J5265), "")</f>
        <v/>
      </c>
    </row>
    <row r="5266">
      <c r="B5266" s="21">
        <f>IF(AND(C5266&lt;&gt;"", J5266&lt;&gt;""), HYPERLINK("#'" &amp; C5266 &amp; "'!" &amp; J5266, J5266), "")</f>
        <v/>
      </c>
    </row>
    <row r="5267">
      <c r="B5267" s="21">
        <f>IF(AND(C5267&lt;&gt;"", J5267&lt;&gt;""), HYPERLINK("#'" &amp; C5267 &amp; "'!" &amp; J5267, J5267), "")</f>
        <v/>
      </c>
    </row>
    <row r="5268">
      <c r="B5268" s="21">
        <f>IF(AND(C5268&lt;&gt;"", J5268&lt;&gt;""), HYPERLINK("#'" &amp; C5268 &amp; "'!" &amp; J5268, J5268), "")</f>
        <v/>
      </c>
    </row>
    <row r="5269">
      <c r="B5269" s="21">
        <f>IF(AND(C5269&lt;&gt;"", J5269&lt;&gt;""), HYPERLINK("#'" &amp; C5269 &amp; "'!" &amp; J5269, J5269), "")</f>
        <v/>
      </c>
    </row>
    <row r="5270">
      <c r="B5270" s="21">
        <f>IF(AND(C5270&lt;&gt;"", J5270&lt;&gt;""), HYPERLINK("#'" &amp; C5270 &amp; "'!" &amp; J5270, J5270), "")</f>
        <v/>
      </c>
    </row>
    <row r="5271">
      <c r="B5271" s="21">
        <f>IF(AND(C5271&lt;&gt;"", J5271&lt;&gt;""), HYPERLINK("#'" &amp; C5271 &amp; "'!" &amp; J5271, J5271), "")</f>
        <v/>
      </c>
    </row>
    <row r="5272">
      <c r="B5272" s="21">
        <f>IF(AND(C5272&lt;&gt;"", J5272&lt;&gt;""), HYPERLINK("#'" &amp; C5272 &amp; "'!" &amp; J5272, J5272), "")</f>
        <v/>
      </c>
    </row>
    <row r="5273">
      <c r="B5273" s="21">
        <f>IF(AND(C5273&lt;&gt;"", J5273&lt;&gt;""), HYPERLINK("#'" &amp; C5273 &amp; "'!" &amp; J5273, J5273), "")</f>
        <v/>
      </c>
    </row>
    <row r="5274">
      <c r="B5274" s="21">
        <f>IF(AND(C5274&lt;&gt;"", J5274&lt;&gt;""), HYPERLINK("#'" &amp; C5274 &amp; "'!" &amp; J5274, J5274), "")</f>
        <v/>
      </c>
    </row>
    <row r="5275">
      <c r="B5275" s="21">
        <f>IF(AND(C5275&lt;&gt;"", J5275&lt;&gt;""), HYPERLINK("#'" &amp; C5275 &amp; "'!" &amp; J5275, J5275), "")</f>
        <v/>
      </c>
    </row>
    <row r="5276">
      <c r="B5276" s="21">
        <f>IF(AND(C5276&lt;&gt;"", J5276&lt;&gt;""), HYPERLINK("#'" &amp; C5276 &amp; "'!" &amp; J5276, J5276), "")</f>
        <v/>
      </c>
    </row>
    <row r="5277">
      <c r="B5277" s="21">
        <f>IF(AND(C5277&lt;&gt;"", J5277&lt;&gt;""), HYPERLINK("#'" &amp; C5277 &amp; "'!" &amp; J5277, J5277), "")</f>
        <v/>
      </c>
    </row>
    <row r="5278">
      <c r="B5278" s="21">
        <f>IF(AND(C5278&lt;&gt;"", J5278&lt;&gt;""), HYPERLINK("#'" &amp; C5278 &amp; "'!" &amp; J5278, J5278), "")</f>
        <v/>
      </c>
    </row>
    <row r="5279">
      <c r="B5279" s="21">
        <f>IF(AND(C5279&lt;&gt;"", J5279&lt;&gt;""), HYPERLINK("#'" &amp; C5279 &amp; "'!" &amp; J5279, J5279), "")</f>
        <v/>
      </c>
    </row>
    <row r="5280">
      <c r="B5280" s="21">
        <f>IF(AND(C5280&lt;&gt;"", J5280&lt;&gt;""), HYPERLINK("#'" &amp; C5280 &amp; "'!" &amp; J5280, J5280), "")</f>
        <v/>
      </c>
    </row>
    <row r="5281">
      <c r="B5281" s="21">
        <f>IF(AND(C5281&lt;&gt;"", J5281&lt;&gt;""), HYPERLINK("#'" &amp; C5281 &amp; "'!" &amp; J5281, J5281), "")</f>
        <v/>
      </c>
    </row>
    <row r="5282">
      <c r="B5282" s="21">
        <f>IF(AND(C5282&lt;&gt;"", J5282&lt;&gt;""), HYPERLINK("#'" &amp; C5282 &amp; "'!" &amp; J5282, J5282), "")</f>
        <v/>
      </c>
    </row>
    <row r="5283">
      <c r="B5283" s="21">
        <f>IF(AND(C5283&lt;&gt;"", J5283&lt;&gt;""), HYPERLINK("#'" &amp; C5283 &amp; "'!" &amp; J5283, J5283), "")</f>
        <v/>
      </c>
    </row>
    <row r="5284">
      <c r="B5284" s="21">
        <f>IF(AND(C5284&lt;&gt;"", J5284&lt;&gt;""), HYPERLINK("#'" &amp; C5284 &amp; "'!" &amp; J5284, J5284), "")</f>
        <v/>
      </c>
    </row>
    <row r="5285">
      <c r="B5285" s="21">
        <f>IF(AND(C5285&lt;&gt;"", J5285&lt;&gt;""), HYPERLINK("#'" &amp; C5285 &amp; "'!" &amp; J5285, J5285), "")</f>
        <v/>
      </c>
    </row>
    <row r="5286">
      <c r="B5286" s="21">
        <f>IF(AND(C5286&lt;&gt;"", J5286&lt;&gt;""), HYPERLINK("#'" &amp; C5286 &amp; "'!" &amp; J5286, J5286), "")</f>
        <v/>
      </c>
    </row>
    <row r="5287">
      <c r="B5287" s="21">
        <f>IF(AND(C5287&lt;&gt;"", J5287&lt;&gt;""), HYPERLINK("#'" &amp; C5287 &amp; "'!" &amp; J5287, J5287), "")</f>
        <v/>
      </c>
    </row>
    <row r="5288">
      <c r="B5288" s="21">
        <f>IF(AND(C5288&lt;&gt;"", J5288&lt;&gt;""), HYPERLINK("#'" &amp; C5288 &amp; "'!" &amp; J5288, J5288), "")</f>
        <v/>
      </c>
    </row>
    <row r="5289">
      <c r="B5289" s="21">
        <f>IF(AND(C5289&lt;&gt;"", J5289&lt;&gt;""), HYPERLINK("#'" &amp; C5289 &amp; "'!" &amp; J5289, J5289), "")</f>
        <v/>
      </c>
    </row>
    <row r="5290">
      <c r="B5290" s="21">
        <f>IF(AND(C5290&lt;&gt;"", J5290&lt;&gt;""), HYPERLINK("#'" &amp; C5290 &amp; "'!" &amp; J5290, J5290), "")</f>
        <v/>
      </c>
    </row>
    <row r="5291">
      <c r="B5291" s="21">
        <f>IF(AND(C5291&lt;&gt;"", J5291&lt;&gt;""), HYPERLINK("#'" &amp; C5291 &amp; "'!" &amp; J5291, J5291), "")</f>
        <v/>
      </c>
    </row>
    <row r="5292">
      <c r="B5292" s="21">
        <f>IF(AND(C5292&lt;&gt;"", J5292&lt;&gt;""), HYPERLINK("#'" &amp; C5292 &amp; "'!" &amp; J5292, J5292), "")</f>
        <v/>
      </c>
    </row>
    <row r="5293">
      <c r="B5293" s="21">
        <f>IF(AND(C5293&lt;&gt;"", J5293&lt;&gt;""), HYPERLINK("#'" &amp; C5293 &amp; "'!" &amp; J5293, J5293), "")</f>
        <v/>
      </c>
    </row>
    <row r="5294">
      <c r="B5294" s="21">
        <f>IF(AND(C5294&lt;&gt;"", J5294&lt;&gt;""), HYPERLINK("#'" &amp; C5294 &amp; "'!" &amp; J5294, J5294), "")</f>
        <v/>
      </c>
    </row>
    <row r="5295">
      <c r="B5295" s="21">
        <f>IF(AND(C5295&lt;&gt;"", J5295&lt;&gt;""), HYPERLINK("#'" &amp; C5295 &amp; "'!" &amp; J5295, J5295), "")</f>
        <v/>
      </c>
    </row>
    <row r="5296">
      <c r="B5296" s="21">
        <f>IF(AND(C5296&lt;&gt;"", J5296&lt;&gt;""), HYPERLINK("#'" &amp; C5296 &amp; "'!" &amp; J5296, J5296), "")</f>
        <v/>
      </c>
    </row>
    <row r="5297">
      <c r="B5297" s="21">
        <f>IF(AND(C5297&lt;&gt;"", J5297&lt;&gt;""), HYPERLINK("#'" &amp; C5297 &amp; "'!" &amp; J5297, J5297), "")</f>
        <v/>
      </c>
    </row>
    <row r="5298">
      <c r="B5298" s="21">
        <f>IF(AND(C5298&lt;&gt;"", J5298&lt;&gt;""), HYPERLINK("#'" &amp; C5298 &amp; "'!" &amp; J5298, J5298), "")</f>
        <v/>
      </c>
    </row>
    <row r="5299">
      <c r="B5299" s="21">
        <f>IF(AND(C5299&lt;&gt;"", J5299&lt;&gt;""), HYPERLINK("#'" &amp; C5299 &amp; "'!" &amp; J5299, J5299), "")</f>
        <v/>
      </c>
    </row>
    <row r="5300">
      <c r="B5300" s="21">
        <f>IF(AND(C5300&lt;&gt;"", J5300&lt;&gt;""), HYPERLINK("#'" &amp; C5300 &amp; "'!" &amp; J5300, J5300), "")</f>
        <v/>
      </c>
    </row>
    <row r="5301">
      <c r="B5301" s="21">
        <f>IF(AND(C5301&lt;&gt;"", J5301&lt;&gt;""), HYPERLINK("#'" &amp; C5301 &amp; "'!" &amp; J5301, J5301), "")</f>
        <v/>
      </c>
    </row>
    <row r="5302">
      <c r="B5302" s="21">
        <f>IF(AND(C5302&lt;&gt;"", J5302&lt;&gt;""), HYPERLINK("#'" &amp; C5302 &amp; "'!" &amp; J5302, J5302), "")</f>
        <v/>
      </c>
    </row>
    <row r="5303">
      <c r="B5303" s="21">
        <f>IF(AND(C5303&lt;&gt;"", J5303&lt;&gt;""), HYPERLINK("#'" &amp; C5303 &amp; "'!" &amp; J5303, J5303), "")</f>
        <v/>
      </c>
    </row>
    <row r="5304">
      <c r="B5304" s="21">
        <f>IF(AND(C5304&lt;&gt;"", J5304&lt;&gt;""), HYPERLINK("#'" &amp; C5304 &amp; "'!" &amp; J5304, J5304), "")</f>
        <v/>
      </c>
    </row>
    <row r="5305">
      <c r="B5305" s="21">
        <f>IF(AND(C5305&lt;&gt;"", J5305&lt;&gt;""), HYPERLINK("#'" &amp; C5305 &amp; "'!" &amp; J5305, J5305), "")</f>
        <v/>
      </c>
    </row>
    <row r="5306">
      <c r="B5306" s="21">
        <f>IF(AND(C5306&lt;&gt;"", J5306&lt;&gt;""), HYPERLINK("#'" &amp; C5306 &amp; "'!" &amp; J5306, J5306), "")</f>
        <v/>
      </c>
    </row>
    <row r="5307">
      <c r="B5307" s="21">
        <f>IF(AND(C5307&lt;&gt;"", J5307&lt;&gt;""), HYPERLINK("#'" &amp; C5307 &amp; "'!" &amp; J5307, J5307), "")</f>
        <v/>
      </c>
    </row>
    <row r="5308">
      <c r="B5308" s="21">
        <f>IF(AND(C5308&lt;&gt;"", J5308&lt;&gt;""), HYPERLINK("#'" &amp; C5308 &amp; "'!" &amp; J5308, J5308), "")</f>
        <v/>
      </c>
    </row>
    <row r="5309">
      <c r="B5309" s="21">
        <f>IF(AND(C5309&lt;&gt;"", J5309&lt;&gt;""), HYPERLINK("#'" &amp; C5309 &amp; "'!" &amp; J5309, J5309), "")</f>
        <v/>
      </c>
    </row>
    <row r="5310">
      <c r="B5310" s="21">
        <f>IF(AND(C5310&lt;&gt;"", J5310&lt;&gt;""), HYPERLINK("#'" &amp; C5310 &amp; "'!" &amp; J5310, J5310), "")</f>
        <v/>
      </c>
    </row>
    <row r="5311">
      <c r="B5311" s="21">
        <f>IF(AND(C5311&lt;&gt;"", J5311&lt;&gt;""), HYPERLINK("#'" &amp; C5311 &amp; "'!" &amp; J5311, J5311), "")</f>
        <v/>
      </c>
    </row>
    <row r="5312">
      <c r="B5312" s="21">
        <f>IF(AND(C5312&lt;&gt;"", J5312&lt;&gt;""), HYPERLINK("#'" &amp; C5312 &amp; "'!" &amp; J5312, J5312), "")</f>
        <v/>
      </c>
    </row>
    <row r="5313">
      <c r="B5313" s="21">
        <f>IF(AND(C5313&lt;&gt;"", J5313&lt;&gt;""), HYPERLINK("#'" &amp; C5313 &amp; "'!" &amp; J5313, J5313), "")</f>
        <v/>
      </c>
    </row>
    <row r="5314">
      <c r="B5314" s="21">
        <f>IF(AND(C5314&lt;&gt;"", J5314&lt;&gt;""), HYPERLINK("#'" &amp; C5314 &amp; "'!" &amp; J5314, J5314), "")</f>
        <v/>
      </c>
    </row>
    <row r="5315">
      <c r="B5315" s="21">
        <f>IF(AND(C5315&lt;&gt;"", J5315&lt;&gt;""), HYPERLINK("#'" &amp; C5315 &amp; "'!" &amp; J5315, J5315), "")</f>
        <v/>
      </c>
    </row>
    <row r="5316">
      <c r="B5316" s="21">
        <f>IF(AND(C5316&lt;&gt;"", J5316&lt;&gt;""), HYPERLINK("#'" &amp; C5316 &amp; "'!" &amp; J5316, J5316), "")</f>
        <v/>
      </c>
    </row>
    <row r="5317">
      <c r="B5317" s="21">
        <f>IF(AND(C5317&lt;&gt;"", J5317&lt;&gt;""), HYPERLINK("#'" &amp; C5317 &amp; "'!" &amp; J5317, J5317), "")</f>
        <v/>
      </c>
    </row>
    <row r="5318">
      <c r="B5318" s="21">
        <f>IF(AND(C5318&lt;&gt;"", J5318&lt;&gt;""), HYPERLINK("#'" &amp; C5318 &amp; "'!" &amp; J5318, J5318), "")</f>
        <v/>
      </c>
    </row>
    <row r="5319">
      <c r="B5319" s="21">
        <f>IF(AND(C5319&lt;&gt;"", J5319&lt;&gt;""), HYPERLINK("#'" &amp; C5319 &amp; "'!" &amp; J5319, J5319), "")</f>
        <v/>
      </c>
    </row>
    <row r="5320">
      <c r="B5320" s="21">
        <f>IF(AND(C5320&lt;&gt;"", J5320&lt;&gt;""), HYPERLINK("#'" &amp; C5320 &amp; "'!" &amp; J5320, J5320), "")</f>
        <v/>
      </c>
    </row>
    <row r="5321">
      <c r="B5321" s="21">
        <f>IF(AND(C5321&lt;&gt;"", J5321&lt;&gt;""), HYPERLINK("#'" &amp; C5321 &amp; "'!" &amp; J5321, J5321), "")</f>
        <v/>
      </c>
    </row>
    <row r="5322">
      <c r="B5322" s="21">
        <f>IF(AND(C5322&lt;&gt;"", J5322&lt;&gt;""), HYPERLINK("#'" &amp; C5322 &amp; "'!" &amp; J5322, J5322), "")</f>
        <v/>
      </c>
    </row>
    <row r="5323">
      <c r="B5323" s="21">
        <f>IF(AND(C5323&lt;&gt;"", J5323&lt;&gt;""), HYPERLINK("#'" &amp; C5323 &amp; "'!" &amp; J5323, J5323), "")</f>
        <v/>
      </c>
    </row>
    <row r="5324">
      <c r="B5324" s="21">
        <f>IF(AND(C5324&lt;&gt;"", J5324&lt;&gt;""), HYPERLINK("#'" &amp; C5324 &amp; "'!" &amp; J5324, J5324), "")</f>
        <v/>
      </c>
    </row>
    <row r="5325">
      <c r="B5325" s="21">
        <f>IF(AND(C5325&lt;&gt;"", J5325&lt;&gt;""), HYPERLINK("#'" &amp; C5325 &amp; "'!" &amp; J5325, J5325), "")</f>
        <v/>
      </c>
    </row>
    <row r="5326">
      <c r="B5326" s="21">
        <f>IF(AND(C5326&lt;&gt;"", J5326&lt;&gt;""), HYPERLINK("#'" &amp; C5326 &amp; "'!" &amp; J5326, J5326), "")</f>
        <v/>
      </c>
    </row>
    <row r="5327">
      <c r="B5327" s="21">
        <f>IF(AND(C5327&lt;&gt;"", J5327&lt;&gt;""), HYPERLINK("#'" &amp; C5327 &amp; "'!" &amp; J5327, J5327), "")</f>
        <v/>
      </c>
    </row>
    <row r="5328">
      <c r="B5328" s="21">
        <f>IF(AND(C5328&lt;&gt;"", J5328&lt;&gt;""), HYPERLINK("#'" &amp; C5328 &amp; "'!" &amp; J5328, J5328), "")</f>
        <v/>
      </c>
    </row>
    <row r="5329">
      <c r="B5329" s="21">
        <f>IF(AND(C5329&lt;&gt;"", J5329&lt;&gt;""), HYPERLINK("#'" &amp; C5329 &amp; "'!" &amp; J5329, J5329), "")</f>
        <v/>
      </c>
    </row>
    <row r="5330">
      <c r="B5330" s="21">
        <f>IF(AND(C5330&lt;&gt;"", J5330&lt;&gt;""), HYPERLINK("#'" &amp; C5330 &amp; "'!" &amp; J5330, J5330), "")</f>
        <v/>
      </c>
    </row>
    <row r="5331">
      <c r="B5331" s="21">
        <f>IF(AND(C5331&lt;&gt;"", J5331&lt;&gt;""), HYPERLINK("#'" &amp; C5331 &amp; "'!" &amp; J5331, J5331), "")</f>
        <v/>
      </c>
    </row>
    <row r="5332">
      <c r="B5332" s="21">
        <f>IF(AND(C5332&lt;&gt;"", J5332&lt;&gt;""), HYPERLINK("#'" &amp; C5332 &amp; "'!" &amp; J5332, J5332), "")</f>
        <v/>
      </c>
    </row>
    <row r="5333">
      <c r="B5333" s="21">
        <f>IF(AND(C5333&lt;&gt;"", J5333&lt;&gt;""), HYPERLINK("#'" &amp; C5333 &amp; "'!" &amp; J5333, J5333), "")</f>
        <v/>
      </c>
    </row>
    <row r="5334">
      <c r="B5334" s="21">
        <f>IF(AND(C5334&lt;&gt;"", J5334&lt;&gt;""), HYPERLINK("#'" &amp; C5334 &amp; "'!" &amp; J5334, J5334), "")</f>
        <v/>
      </c>
    </row>
    <row r="5335">
      <c r="B5335" s="21">
        <f>IF(AND(C5335&lt;&gt;"", J5335&lt;&gt;""), HYPERLINK("#'" &amp; C5335 &amp; "'!" &amp; J5335, J5335), "")</f>
        <v/>
      </c>
    </row>
    <row r="5336">
      <c r="B5336" s="21">
        <f>IF(AND(C5336&lt;&gt;"", J5336&lt;&gt;""), HYPERLINK("#'" &amp; C5336 &amp; "'!" &amp; J5336, J5336), "")</f>
        <v/>
      </c>
    </row>
    <row r="5337">
      <c r="B5337" s="21">
        <f>IF(AND(C5337&lt;&gt;"", J5337&lt;&gt;""), HYPERLINK("#'" &amp; C5337 &amp; "'!" &amp; J5337, J5337), "")</f>
        <v/>
      </c>
    </row>
    <row r="5338">
      <c r="B5338" s="21">
        <f>IF(AND(C5338&lt;&gt;"", J5338&lt;&gt;""), HYPERLINK("#'" &amp; C5338 &amp; "'!" &amp; J5338, J5338), "")</f>
        <v/>
      </c>
    </row>
    <row r="5339">
      <c r="B5339" s="21">
        <f>IF(AND(C5339&lt;&gt;"", J5339&lt;&gt;""), HYPERLINK("#'" &amp; C5339 &amp; "'!" &amp; J5339, J5339), "")</f>
        <v/>
      </c>
    </row>
    <row r="5340">
      <c r="B5340" s="21">
        <f>IF(AND(C5340&lt;&gt;"", J5340&lt;&gt;""), HYPERLINK("#'" &amp; C5340 &amp; "'!" &amp; J5340, J5340), "")</f>
        <v/>
      </c>
    </row>
    <row r="5341">
      <c r="B5341" s="21">
        <f>IF(AND(C5341&lt;&gt;"", J5341&lt;&gt;""), HYPERLINK("#'" &amp; C5341 &amp; "'!" &amp; J5341, J5341), "")</f>
        <v/>
      </c>
    </row>
    <row r="5342">
      <c r="B5342" s="21">
        <f>IF(AND(C5342&lt;&gt;"", J5342&lt;&gt;""), HYPERLINK("#'" &amp; C5342 &amp; "'!" &amp; J5342, J5342), "")</f>
        <v/>
      </c>
    </row>
    <row r="5343">
      <c r="B5343" s="21">
        <f>IF(AND(C5343&lt;&gt;"", J5343&lt;&gt;""), HYPERLINK("#'" &amp; C5343 &amp; "'!" &amp; J5343, J5343), "")</f>
        <v/>
      </c>
    </row>
    <row r="5344">
      <c r="B5344" s="21">
        <f>IF(AND(C5344&lt;&gt;"", J5344&lt;&gt;""), HYPERLINK("#'" &amp; C5344 &amp; "'!" &amp; J5344, J5344), "")</f>
        <v/>
      </c>
    </row>
    <row r="5345">
      <c r="B5345" s="21">
        <f>IF(AND(C5345&lt;&gt;"", J5345&lt;&gt;""), HYPERLINK("#'" &amp; C5345 &amp; "'!" &amp; J5345, J5345), "")</f>
        <v/>
      </c>
    </row>
    <row r="5346">
      <c r="B5346" s="21">
        <f>IF(AND(C5346&lt;&gt;"", J5346&lt;&gt;""), HYPERLINK("#'" &amp; C5346 &amp; "'!" &amp; J5346, J5346), "")</f>
        <v/>
      </c>
    </row>
    <row r="5347">
      <c r="B5347" s="21">
        <f>IF(AND(C5347&lt;&gt;"", J5347&lt;&gt;""), HYPERLINK("#'" &amp; C5347 &amp; "'!" &amp; J5347, J5347), "")</f>
        <v/>
      </c>
    </row>
    <row r="5348">
      <c r="B5348" s="21">
        <f>IF(AND(C5348&lt;&gt;"", J5348&lt;&gt;""), HYPERLINK("#'" &amp; C5348 &amp; "'!" &amp; J5348, J5348), "")</f>
        <v/>
      </c>
    </row>
    <row r="5349">
      <c r="B5349" s="21">
        <f>IF(AND(C5349&lt;&gt;"", J5349&lt;&gt;""), HYPERLINK("#'" &amp; C5349 &amp; "'!" &amp; J5349, J5349), "")</f>
        <v/>
      </c>
    </row>
    <row r="5350">
      <c r="B5350" s="21">
        <f>IF(AND(C5350&lt;&gt;"", J5350&lt;&gt;""), HYPERLINK("#'" &amp; C5350 &amp; "'!" &amp; J5350, J5350), "")</f>
        <v/>
      </c>
    </row>
    <row r="5351">
      <c r="B5351" s="21">
        <f>IF(AND(C5351&lt;&gt;"", J5351&lt;&gt;""), HYPERLINK("#'" &amp; C5351 &amp; "'!" &amp; J5351, J5351), "")</f>
        <v/>
      </c>
    </row>
    <row r="5352">
      <c r="B5352" s="21">
        <f>IF(AND(C5352&lt;&gt;"", J5352&lt;&gt;""), HYPERLINK("#'" &amp; C5352 &amp; "'!" &amp; J5352, J5352), "")</f>
        <v/>
      </c>
    </row>
    <row r="5353">
      <c r="B5353" s="21">
        <f>IF(AND(C5353&lt;&gt;"", J5353&lt;&gt;""), HYPERLINK("#'" &amp; C5353 &amp; "'!" &amp; J5353, J5353), "")</f>
        <v/>
      </c>
    </row>
    <row r="5354">
      <c r="B5354" s="21">
        <f>IF(AND(C5354&lt;&gt;"", J5354&lt;&gt;""), HYPERLINK("#'" &amp; C5354 &amp; "'!" &amp; J5354, J5354), "")</f>
        <v/>
      </c>
    </row>
    <row r="5355">
      <c r="B5355" s="21">
        <f>IF(AND(C5355&lt;&gt;"", J5355&lt;&gt;""), HYPERLINK("#'" &amp; C5355 &amp; "'!" &amp; J5355, J5355), "")</f>
        <v/>
      </c>
    </row>
    <row r="5356">
      <c r="B5356" s="21">
        <f>IF(AND(C5356&lt;&gt;"", J5356&lt;&gt;""), HYPERLINK("#'" &amp; C5356 &amp; "'!" &amp; J5356, J5356), "")</f>
        <v/>
      </c>
    </row>
    <row r="5357">
      <c r="B5357" s="21">
        <f>IF(AND(C5357&lt;&gt;"", J5357&lt;&gt;""), HYPERLINK("#'" &amp; C5357 &amp; "'!" &amp; J5357, J5357), "")</f>
        <v/>
      </c>
    </row>
    <row r="5358">
      <c r="B5358" s="21">
        <f>IF(AND(C5358&lt;&gt;"", J5358&lt;&gt;""), HYPERLINK("#'" &amp; C5358 &amp; "'!" &amp; J5358, J5358), "")</f>
        <v/>
      </c>
    </row>
    <row r="5359">
      <c r="B5359" s="21">
        <f>IF(AND(C5359&lt;&gt;"", J5359&lt;&gt;""), HYPERLINK("#'" &amp; C5359 &amp; "'!" &amp; J5359, J5359), "")</f>
        <v/>
      </c>
    </row>
    <row r="5360">
      <c r="B5360" s="21">
        <f>IF(AND(C5360&lt;&gt;"", J5360&lt;&gt;""), HYPERLINK("#'" &amp; C5360 &amp; "'!" &amp; J5360, J5360), "")</f>
        <v/>
      </c>
    </row>
    <row r="5361">
      <c r="B5361" s="21">
        <f>IF(AND(C5361&lt;&gt;"", J5361&lt;&gt;""), HYPERLINK("#'" &amp; C5361 &amp; "'!" &amp; J5361, J5361), "")</f>
        <v/>
      </c>
    </row>
    <row r="5362">
      <c r="B5362" s="21">
        <f>IF(AND(C5362&lt;&gt;"", J5362&lt;&gt;""), HYPERLINK("#'" &amp; C5362 &amp; "'!" &amp; J5362, J5362), "")</f>
        <v/>
      </c>
    </row>
    <row r="5363">
      <c r="B5363" s="21">
        <f>IF(AND(C5363&lt;&gt;"", J5363&lt;&gt;""), HYPERLINK("#'" &amp; C5363 &amp; "'!" &amp; J5363, J5363), "")</f>
        <v/>
      </c>
    </row>
    <row r="5364">
      <c r="B5364" s="21">
        <f>IF(AND(C5364&lt;&gt;"", J5364&lt;&gt;""), HYPERLINK("#'" &amp; C5364 &amp; "'!" &amp; J5364, J5364), "")</f>
        <v/>
      </c>
    </row>
    <row r="5365">
      <c r="B5365" s="21">
        <f>IF(AND(C5365&lt;&gt;"", J5365&lt;&gt;""), HYPERLINK("#'" &amp; C5365 &amp; "'!" &amp; J5365, J5365), "")</f>
        <v/>
      </c>
    </row>
    <row r="5366">
      <c r="B5366" s="21">
        <f>IF(AND(C5366&lt;&gt;"", J5366&lt;&gt;""), HYPERLINK("#'" &amp; C5366 &amp; "'!" &amp; J5366, J5366), "")</f>
        <v/>
      </c>
    </row>
    <row r="5367">
      <c r="B5367" s="21">
        <f>IF(AND(C5367&lt;&gt;"", J5367&lt;&gt;""), HYPERLINK("#'" &amp; C5367 &amp; "'!" &amp; J5367, J5367), "")</f>
        <v/>
      </c>
    </row>
    <row r="5368">
      <c r="B5368" s="21">
        <f>IF(AND(C5368&lt;&gt;"", J5368&lt;&gt;""), HYPERLINK("#'" &amp; C5368 &amp; "'!" &amp; J5368, J5368), "")</f>
        <v/>
      </c>
    </row>
    <row r="5369">
      <c r="B5369" s="21">
        <f>IF(AND(C5369&lt;&gt;"", J5369&lt;&gt;""), HYPERLINK("#'" &amp; C5369 &amp; "'!" &amp; J5369, J5369), "")</f>
        <v/>
      </c>
    </row>
    <row r="5370">
      <c r="B5370" s="21">
        <f>IF(AND(C5370&lt;&gt;"", J5370&lt;&gt;""), HYPERLINK("#'" &amp; C5370 &amp; "'!" &amp; J5370, J5370), "")</f>
        <v/>
      </c>
    </row>
    <row r="5371">
      <c r="B5371" s="21">
        <f>IF(AND(C5371&lt;&gt;"", J5371&lt;&gt;""), HYPERLINK("#'" &amp; C5371 &amp; "'!" &amp; J5371, J5371), "")</f>
        <v/>
      </c>
    </row>
    <row r="5372">
      <c r="B5372" s="21">
        <f>IF(AND(C5372&lt;&gt;"", J5372&lt;&gt;""), HYPERLINK("#'" &amp; C5372 &amp; "'!" &amp; J5372, J5372), "")</f>
        <v/>
      </c>
    </row>
    <row r="5373">
      <c r="B5373" s="21">
        <f>IF(AND(C5373&lt;&gt;"", J5373&lt;&gt;""), HYPERLINK("#'" &amp; C5373 &amp; "'!" &amp; J5373, J5373), "")</f>
        <v/>
      </c>
    </row>
    <row r="5374">
      <c r="B5374" s="21">
        <f>IF(AND(C5374&lt;&gt;"", J5374&lt;&gt;""), HYPERLINK("#'" &amp; C5374 &amp; "'!" &amp; J5374, J5374), "")</f>
        <v/>
      </c>
    </row>
    <row r="5375">
      <c r="B5375" s="21">
        <f>IF(AND(C5375&lt;&gt;"", J5375&lt;&gt;""), HYPERLINK("#'" &amp; C5375 &amp; "'!" &amp; J5375, J5375), "")</f>
        <v/>
      </c>
    </row>
    <row r="5376">
      <c r="B5376" s="21">
        <f>IF(AND(C5376&lt;&gt;"", J5376&lt;&gt;""), HYPERLINK("#'" &amp; C5376 &amp; "'!" &amp; J5376, J5376), "")</f>
        <v/>
      </c>
    </row>
    <row r="5377">
      <c r="B5377" s="21">
        <f>IF(AND(C5377&lt;&gt;"", J5377&lt;&gt;""), HYPERLINK("#'" &amp; C5377 &amp; "'!" &amp; J5377, J5377), "")</f>
        <v/>
      </c>
    </row>
    <row r="5378">
      <c r="B5378" s="21">
        <f>IF(AND(C5378&lt;&gt;"", J5378&lt;&gt;""), HYPERLINK("#'" &amp; C5378 &amp; "'!" &amp; J5378, J5378), "")</f>
        <v/>
      </c>
    </row>
    <row r="5379">
      <c r="B5379" s="21">
        <f>IF(AND(C5379&lt;&gt;"", J5379&lt;&gt;""), HYPERLINK("#'" &amp; C5379 &amp; "'!" &amp; J5379, J5379), "")</f>
        <v/>
      </c>
    </row>
    <row r="5380">
      <c r="B5380" s="21">
        <f>IF(AND(C5380&lt;&gt;"", J5380&lt;&gt;""), HYPERLINK("#'" &amp; C5380 &amp; "'!" &amp; J5380, J5380), "")</f>
        <v/>
      </c>
    </row>
    <row r="5381">
      <c r="B5381" s="21">
        <f>IF(AND(C5381&lt;&gt;"", J5381&lt;&gt;""), HYPERLINK("#'" &amp; C5381 &amp; "'!" &amp; J5381, J5381), "")</f>
        <v/>
      </c>
    </row>
    <row r="5382">
      <c r="B5382" s="21">
        <f>IF(AND(C5382&lt;&gt;"", J5382&lt;&gt;""), HYPERLINK("#'" &amp; C5382 &amp; "'!" &amp; J5382, J5382), "")</f>
        <v/>
      </c>
    </row>
    <row r="5383">
      <c r="B5383" s="21">
        <f>IF(AND(C5383&lt;&gt;"", J5383&lt;&gt;""), HYPERLINK("#'" &amp; C5383 &amp; "'!" &amp; J5383, J5383), "")</f>
        <v/>
      </c>
    </row>
    <row r="5384">
      <c r="B5384" s="21">
        <f>IF(AND(C5384&lt;&gt;"", J5384&lt;&gt;""), HYPERLINK("#'" &amp; C5384 &amp; "'!" &amp; J5384, J5384), "")</f>
        <v/>
      </c>
    </row>
    <row r="5385">
      <c r="B5385" s="21">
        <f>IF(AND(C5385&lt;&gt;"", J5385&lt;&gt;""), HYPERLINK("#'" &amp; C5385 &amp; "'!" &amp; J5385, J5385), "")</f>
        <v/>
      </c>
    </row>
    <row r="5386">
      <c r="B5386" s="21">
        <f>IF(AND(C5386&lt;&gt;"", J5386&lt;&gt;""), HYPERLINK("#'" &amp; C5386 &amp; "'!" &amp; J5386, J5386), "")</f>
        <v/>
      </c>
    </row>
    <row r="5387">
      <c r="B5387" s="21">
        <f>IF(AND(C5387&lt;&gt;"", J5387&lt;&gt;""), HYPERLINK("#'" &amp; C5387 &amp; "'!" &amp; J5387, J5387), "")</f>
        <v/>
      </c>
    </row>
    <row r="5388">
      <c r="B5388" s="21">
        <f>IF(AND(C5388&lt;&gt;"", J5388&lt;&gt;""), HYPERLINK("#'" &amp; C5388 &amp; "'!" &amp; J5388, J5388), "")</f>
        <v/>
      </c>
    </row>
    <row r="5389">
      <c r="B5389" s="21">
        <f>IF(AND(C5389&lt;&gt;"", J5389&lt;&gt;""), HYPERLINK("#'" &amp; C5389 &amp; "'!" &amp; J5389, J5389), "")</f>
        <v/>
      </c>
    </row>
    <row r="5390">
      <c r="B5390" s="21">
        <f>IF(AND(C5390&lt;&gt;"", J5390&lt;&gt;""), HYPERLINK("#'" &amp; C5390 &amp; "'!" &amp; J5390, J5390), "")</f>
        <v/>
      </c>
    </row>
    <row r="5391">
      <c r="B5391" s="21">
        <f>IF(AND(C5391&lt;&gt;"", J5391&lt;&gt;""), HYPERLINK("#'" &amp; C5391 &amp; "'!" &amp; J5391, J5391), "")</f>
        <v/>
      </c>
    </row>
    <row r="5392">
      <c r="B5392" s="21">
        <f>IF(AND(C5392&lt;&gt;"", J5392&lt;&gt;""), HYPERLINK("#'" &amp; C5392 &amp; "'!" &amp; J5392, J5392), "")</f>
        <v/>
      </c>
    </row>
    <row r="5393">
      <c r="B5393" s="21">
        <f>IF(AND(C5393&lt;&gt;"", J5393&lt;&gt;""), HYPERLINK("#'" &amp; C5393 &amp; "'!" &amp; J5393, J5393), "")</f>
        <v/>
      </c>
    </row>
    <row r="5394">
      <c r="B5394" s="21">
        <f>IF(AND(C5394&lt;&gt;"", J5394&lt;&gt;""), HYPERLINK("#'" &amp; C5394 &amp; "'!" &amp; J5394, J5394), "")</f>
        <v/>
      </c>
    </row>
    <row r="5395">
      <c r="B5395" s="21">
        <f>IF(AND(C5395&lt;&gt;"", J5395&lt;&gt;""), HYPERLINK("#'" &amp; C5395 &amp; "'!" &amp; J5395, J5395), "")</f>
        <v/>
      </c>
    </row>
    <row r="5396">
      <c r="B5396" s="21">
        <f>IF(AND(C5396&lt;&gt;"", J5396&lt;&gt;""), HYPERLINK("#'" &amp; C5396 &amp; "'!" &amp; J5396, J5396), "")</f>
        <v/>
      </c>
    </row>
    <row r="5397">
      <c r="B5397" s="21">
        <f>IF(AND(C5397&lt;&gt;"", J5397&lt;&gt;""), HYPERLINK("#'" &amp; C5397 &amp; "'!" &amp; J5397, J5397), "")</f>
        <v/>
      </c>
    </row>
    <row r="5398">
      <c r="B5398" s="21">
        <f>IF(AND(C5398&lt;&gt;"", J5398&lt;&gt;""), HYPERLINK("#'" &amp; C5398 &amp; "'!" &amp; J5398, J5398), "")</f>
        <v/>
      </c>
    </row>
    <row r="5399">
      <c r="B5399" s="21">
        <f>IF(AND(C5399&lt;&gt;"", J5399&lt;&gt;""), HYPERLINK("#'" &amp; C5399 &amp; "'!" &amp; J5399, J5399), "")</f>
        <v/>
      </c>
    </row>
    <row r="5400">
      <c r="B5400" s="21">
        <f>IF(AND(C5400&lt;&gt;"", J5400&lt;&gt;""), HYPERLINK("#'" &amp; C5400 &amp; "'!" &amp; J5400, J5400), "")</f>
        <v/>
      </c>
    </row>
    <row r="5401">
      <c r="B5401" s="21">
        <f>IF(AND(C5401&lt;&gt;"", J5401&lt;&gt;""), HYPERLINK("#'" &amp; C5401 &amp; "'!" &amp; J5401, J5401), "")</f>
        <v/>
      </c>
    </row>
    <row r="5402">
      <c r="B5402" s="21">
        <f>IF(AND(C5402&lt;&gt;"", J5402&lt;&gt;""), HYPERLINK("#'" &amp; C5402 &amp; "'!" &amp; J5402, J5402), "")</f>
        <v/>
      </c>
    </row>
    <row r="5403">
      <c r="B5403" s="21">
        <f>IF(AND(C5403&lt;&gt;"", J5403&lt;&gt;""), HYPERLINK("#'" &amp; C5403 &amp; "'!" &amp; J5403, J5403), "")</f>
        <v/>
      </c>
    </row>
    <row r="5404">
      <c r="B5404" s="21">
        <f>IF(AND(C5404&lt;&gt;"", J5404&lt;&gt;""), HYPERLINK("#'" &amp; C5404 &amp; "'!" &amp; J5404, J5404), "")</f>
        <v/>
      </c>
    </row>
    <row r="5405">
      <c r="B5405" s="21">
        <f>IF(AND(C5405&lt;&gt;"", J5405&lt;&gt;""), HYPERLINK("#'" &amp; C5405 &amp; "'!" &amp; J5405, J5405), "")</f>
        <v/>
      </c>
    </row>
    <row r="5406">
      <c r="B5406" s="21">
        <f>IF(AND(C5406&lt;&gt;"", J5406&lt;&gt;""), HYPERLINK("#'" &amp; C5406 &amp; "'!" &amp; J5406, J5406), "")</f>
        <v/>
      </c>
    </row>
    <row r="5407">
      <c r="B5407" s="21">
        <f>IF(AND(C5407&lt;&gt;"", J5407&lt;&gt;""), HYPERLINK("#'" &amp; C5407 &amp; "'!" &amp; J5407, J5407), "")</f>
        <v/>
      </c>
    </row>
    <row r="5408">
      <c r="B5408" s="21">
        <f>IF(AND(C5408&lt;&gt;"", J5408&lt;&gt;""), HYPERLINK("#'" &amp; C5408 &amp; "'!" &amp; J5408, J5408), "")</f>
        <v/>
      </c>
    </row>
    <row r="5409">
      <c r="B5409" s="21">
        <f>IF(AND(C5409&lt;&gt;"", J5409&lt;&gt;""), HYPERLINK("#'" &amp; C5409 &amp; "'!" &amp; J5409, J5409), "")</f>
        <v/>
      </c>
    </row>
    <row r="5410">
      <c r="B5410" s="21">
        <f>IF(AND(C5410&lt;&gt;"", J5410&lt;&gt;""), HYPERLINK("#'" &amp; C5410 &amp; "'!" &amp; J5410, J5410), "")</f>
        <v/>
      </c>
    </row>
    <row r="5411">
      <c r="B5411" s="21">
        <f>IF(AND(C5411&lt;&gt;"", J5411&lt;&gt;""), HYPERLINK("#'" &amp; C5411 &amp; "'!" &amp; J5411, J5411), "")</f>
        <v/>
      </c>
    </row>
    <row r="5412">
      <c r="B5412" s="21">
        <f>IF(AND(C5412&lt;&gt;"", J5412&lt;&gt;""), HYPERLINK("#'" &amp; C5412 &amp; "'!" &amp; J5412, J5412), "")</f>
        <v/>
      </c>
    </row>
    <row r="5413">
      <c r="B5413" s="21">
        <f>IF(AND(C5413&lt;&gt;"", J5413&lt;&gt;""), HYPERLINK("#'" &amp; C5413 &amp; "'!" &amp; J5413, J5413), "")</f>
        <v/>
      </c>
    </row>
    <row r="5414">
      <c r="B5414" s="21">
        <f>IF(AND(C5414&lt;&gt;"", J5414&lt;&gt;""), HYPERLINK("#'" &amp; C5414 &amp; "'!" &amp; J5414, J5414), "")</f>
        <v/>
      </c>
    </row>
    <row r="5415">
      <c r="B5415" s="21">
        <f>IF(AND(C5415&lt;&gt;"", J5415&lt;&gt;""), HYPERLINK("#'" &amp; C5415 &amp; "'!" &amp; J5415, J5415), "")</f>
        <v/>
      </c>
    </row>
    <row r="5416">
      <c r="B5416" s="21">
        <f>IF(AND(C5416&lt;&gt;"", J5416&lt;&gt;""), HYPERLINK("#'" &amp; C5416 &amp; "'!" &amp; J5416, J5416), "")</f>
        <v/>
      </c>
    </row>
    <row r="5417">
      <c r="B5417" s="21">
        <f>IF(AND(C5417&lt;&gt;"", J5417&lt;&gt;""), HYPERLINK("#'" &amp; C5417 &amp; "'!" &amp; J5417, J5417), "")</f>
        <v/>
      </c>
    </row>
    <row r="5418">
      <c r="B5418" s="21">
        <f>IF(AND(C5418&lt;&gt;"", J5418&lt;&gt;""), HYPERLINK("#'" &amp; C5418 &amp; "'!" &amp; J5418, J5418), "")</f>
        <v/>
      </c>
    </row>
    <row r="5419">
      <c r="B5419" s="21">
        <f>IF(AND(C5419&lt;&gt;"", J5419&lt;&gt;""), HYPERLINK("#'" &amp; C5419 &amp; "'!" &amp; J5419, J5419), "")</f>
        <v/>
      </c>
    </row>
    <row r="5420">
      <c r="B5420" s="21">
        <f>IF(AND(C5420&lt;&gt;"", J5420&lt;&gt;""), HYPERLINK("#'" &amp; C5420 &amp; "'!" &amp; J5420, J5420), "")</f>
        <v/>
      </c>
    </row>
    <row r="5421">
      <c r="B5421" s="21">
        <f>IF(AND(C5421&lt;&gt;"", J5421&lt;&gt;""), HYPERLINK("#'" &amp; C5421 &amp; "'!" &amp; J5421, J5421), "")</f>
        <v/>
      </c>
    </row>
    <row r="5422">
      <c r="B5422" s="21">
        <f>IF(AND(C5422&lt;&gt;"", J5422&lt;&gt;""), HYPERLINK("#'" &amp; C5422 &amp; "'!" &amp; J5422, J5422), "")</f>
        <v/>
      </c>
    </row>
    <row r="5423">
      <c r="B5423" s="21">
        <f>IF(AND(C5423&lt;&gt;"", J5423&lt;&gt;""), HYPERLINK("#'" &amp; C5423 &amp; "'!" &amp; J5423, J5423), "")</f>
        <v/>
      </c>
    </row>
    <row r="5424">
      <c r="B5424" s="21">
        <f>IF(AND(C5424&lt;&gt;"", J5424&lt;&gt;""), HYPERLINK("#'" &amp; C5424 &amp; "'!" &amp; J5424, J5424), "")</f>
        <v/>
      </c>
    </row>
    <row r="5425">
      <c r="B5425" s="21">
        <f>IF(AND(C5425&lt;&gt;"", J5425&lt;&gt;""), HYPERLINK("#'" &amp; C5425 &amp; "'!" &amp; J5425, J5425), "")</f>
        <v/>
      </c>
    </row>
    <row r="5426">
      <c r="B5426" s="21">
        <f>IF(AND(C5426&lt;&gt;"", J5426&lt;&gt;""), HYPERLINK("#'" &amp; C5426 &amp; "'!" &amp; J5426, J5426), "")</f>
        <v/>
      </c>
    </row>
    <row r="5427">
      <c r="B5427" s="21">
        <f>IF(AND(C5427&lt;&gt;"", J5427&lt;&gt;""), HYPERLINK("#'" &amp; C5427 &amp; "'!" &amp; J5427, J5427), "")</f>
        <v/>
      </c>
    </row>
    <row r="5428">
      <c r="B5428" s="21">
        <f>IF(AND(C5428&lt;&gt;"", J5428&lt;&gt;""), HYPERLINK("#'" &amp; C5428 &amp; "'!" &amp; J5428, J5428), "")</f>
        <v/>
      </c>
    </row>
    <row r="5429">
      <c r="B5429" s="21">
        <f>IF(AND(C5429&lt;&gt;"", J5429&lt;&gt;""), HYPERLINK("#'" &amp; C5429 &amp; "'!" &amp; J5429, J5429), "")</f>
        <v/>
      </c>
    </row>
    <row r="5430">
      <c r="B5430" s="21">
        <f>IF(AND(C5430&lt;&gt;"", J5430&lt;&gt;""), HYPERLINK("#'" &amp; C5430 &amp; "'!" &amp; J5430, J5430), "")</f>
        <v/>
      </c>
    </row>
    <row r="5431">
      <c r="B5431" s="21">
        <f>IF(AND(C5431&lt;&gt;"", J5431&lt;&gt;""), HYPERLINK("#'" &amp; C5431 &amp; "'!" &amp; J5431, J5431), "")</f>
        <v/>
      </c>
    </row>
    <row r="5432">
      <c r="B5432" s="21">
        <f>IF(AND(C5432&lt;&gt;"", J5432&lt;&gt;""), HYPERLINK("#'" &amp; C5432 &amp; "'!" &amp; J5432, J5432), "")</f>
        <v/>
      </c>
    </row>
    <row r="5433">
      <c r="B5433" s="21">
        <f>IF(AND(C5433&lt;&gt;"", J5433&lt;&gt;""), HYPERLINK("#'" &amp; C5433 &amp; "'!" &amp; J5433, J5433), "")</f>
        <v/>
      </c>
    </row>
    <row r="5434">
      <c r="B5434" s="21">
        <f>IF(AND(C5434&lt;&gt;"", J5434&lt;&gt;""), HYPERLINK("#'" &amp; C5434 &amp; "'!" &amp; J5434, J5434), "")</f>
        <v/>
      </c>
    </row>
    <row r="5435">
      <c r="B5435" s="21">
        <f>IF(AND(C5435&lt;&gt;"", J5435&lt;&gt;""), HYPERLINK("#'" &amp; C5435 &amp; "'!" &amp; J5435, J5435), "")</f>
        <v/>
      </c>
    </row>
    <row r="5436">
      <c r="B5436" s="21">
        <f>IF(AND(C5436&lt;&gt;"", J5436&lt;&gt;""), HYPERLINK("#'" &amp; C5436 &amp; "'!" &amp; J5436, J5436), "")</f>
        <v/>
      </c>
    </row>
    <row r="5437">
      <c r="B5437" s="21">
        <f>IF(AND(C5437&lt;&gt;"", J5437&lt;&gt;""), HYPERLINK("#'" &amp; C5437 &amp; "'!" &amp; J5437, J5437), "")</f>
        <v/>
      </c>
    </row>
    <row r="5438">
      <c r="B5438" s="21">
        <f>IF(AND(C5438&lt;&gt;"", J5438&lt;&gt;""), HYPERLINK("#'" &amp; C5438 &amp; "'!" &amp; J5438, J5438), "")</f>
        <v/>
      </c>
    </row>
    <row r="5439">
      <c r="B5439" s="21">
        <f>IF(AND(C5439&lt;&gt;"", J5439&lt;&gt;""), HYPERLINK("#'" &amp; C5439 &amp; "'!" &amp; J5439, J5439), "")</f>
        <v/>
      </c>
    </row>
    <row r="5440">
      <c r="B5440" s="21">
        <f>IF(AND(C5440&lt;&gt;"", J5440&lt;&gt;""), HYPERLINK("#'" &amp; C5440 &amp; "'!" &amp; J5440, J5440), "")</f>
        <v/>
      </c>
    </row>
    <row r="5441">
      <c r="B5441" s="21">
        <f>IF(AND(C5441&lt;&gt;"", J5441&lt;&gt;""), HYPERLINK("#'" &amp; C5441 &amp; "'!" &amp; J5441, J5441), "")</f>
        <v/>
      </c>
    </row>
    <row r="5442">
      <c r="B5442" s="21">
        <f>IF(AND(C5442&lt;&gt;"", J5442&lt;&gt;""), HYPERLINK("#'" &amp; C5442 &amp; "'!" &amp; J5442, J5442), "")</f>
        <v/>
      </c>
    </row>
    <row r="5443">
      <c r="B5443" s="21">
        <f>IF(AND(C5443&lt;&gt;"", J5443&lt;&gt;""), HYPERLINK("#'" &amp; C5443 &amp; "'!" &amp; J5443, J5443), "")</f>
        <v/>
      </c>
    </row>
    <row r="5444">
      <c r="B5444" s="21">
        <f>IF(AND(C5444&lt;&gt;"", J5444&lt;&gt;""), HYPERLINK("#'" &amp; C5444 &amp; "'!" &amp; J5444, J5444), "")</f>
        <v/>
      </c>
    </row>
    <row r="5445">
      <c r="B5445" s="21">
        <f>IF(AND(C5445&lt;&gt;"", J5445&lt;&gt;""), HYPERLINK("#'" &amp; C5445 &amp; "'!" &amp; J5445, J5445), "")</f>
        <v/>
      </c>
    </row>
    <row r="5446">
      <c r="B5446" s="21">
        <f>IF(AND(C5446&lt;&gt;"", J5446&lt;&gt;""), HYPERLINK("#'" &amp; C5446 &amp; "'!" &amp; J5446, J5446), "")</f>
        <v/>
      </c>
    </row>
    <row r="5447">
      <c r="B5447" s="21">
        <f>IF(AND(C5447&lt;&gt;"", J5447&lt;&gt;""), HYPERLINK("#'" &amp; C5447 &amp; "'!" &amp; J5447, J5447), "")</f>
        <v/>
      </c>
    </row>
    <row r="5448">
      <c r="B5448" s="21">
        <f>IF(AND(C5448&lt;&gt;"", J5448&lt;&gt;""), HYPERLINK("#'" &amp; C5448 &amp; "'!" &amp; J5448, J5448), "")</f>
        <v/>
      </c>
    </row>
    <row r="5449">
      <c r="B5449" s="21">
        <f>IF(AND(C5449&lt;&gt;"", J5449&lt;&gt;""), HYPERLINK("#'" &amp; C5449 &amp; "'!" &amp; J5449, J5449), "")</f>
        <v/>
      </c>
    </row>
    <row r="5450">
      <c r="B5450" s="21">
        <f>IF(AND(C5450&lt;&gt;"", J5450&lt;&gt;""), HYPERLINK("#'" &amp; C5450 &amp; "'!" &amp; J5450, J5450), "")</f>
        <v/>
      </c>
    </row>
    <row r="5451">
      <c r="B5451" s="21">
        <f>IF(AND(C5451&lt;&gt;"", J5451&lt;&gt;""), HYPERLINK("#'" &amp; C5451 &amp; "'!" &amp; J5451, J5451), "")</f>
        <v/>
      </c>
    </row>
    <row r="5452">
      <c r="B5452" s="21">
        <f>IF(AND(C5452&lt;&gt;"", J5452&lt;&gt;""), HYPERLINK("#'" &amp; C5452 &amp; "'!" &amp; J5452, J5452), "")</f>
        <v/>
      </c>
    </row>
    <row r="5453">
      <c r="B5453" s="21">
        <f>IF(AND(C5453&lt;&gt;"", J5453&lt;&gt;""), HYPERLINK("#'" &amp; C5453 &amp; "'!" &amp; J5453, J5453), "")</f>
        <v/>
      </c>
    </row>
    <row r="5454">
      <c r="B5454" s="21">
        <f>IF(AND(C5454&lt;&gt;"", J5454&lt;&gt;""), HYPERLINK("#'" &amp; C5454 &amp; "'!" &amp; J5454, J5454), "")</f>
        <v/>
      </c>
    </row>
    <row r="5455">
      <c r="B5455" s="21">
        <f>IF(AND(C5455&lt;&gt;"", J5455&lt;&gt;""), HYPERLINK("#'" &amp; C5455 &amp; "'!" &amp; J5455, J5455), "")</f>
        <v/>
      </c>
    </row>
    <row r="5456">
      <c r="B5456" s="21">
        <f>IF(AND(C5456&lt;&gt;"", J5456&lt;&gt;""), HYPERLINK("#'" &amp; C5456 &amp; "'!" &amp; J5456, J5456), "")</f>
        <v/>
      </c>
    </row>
    <row r="5457">
      <c r="B5457" s="21">
        <f>IF(AND(C5457&lt;&gt;"", J5457&lt;&gt;""), HYPERLINK("#'" &amp; C5457 &amp; "'!" &amp; J5457, J5457), "")</f>
        <v/>
      </c>
    </row>
    <row r="5458">
      <c r="B5458" s="21">
        <f>IF(AND(C5458&lt;&gt;"", J5458&lt;&gt;""), HYPERLINK("#'" &amp; C5458 &amp; "'!" &amp; J5458, J5458), "")</f>
        <v/>
      </c>
    </row>
    <row r="5459">
      <c r="B5459" s="21">
        <f>IF(AND(C5459&lt;&gt;"", J5459&lt;&gt;""), HYPERLINK("#'" &amp; C5459 &amp; "'!" &amp; J5459, J5459), "")</f>
        <v/>
      </c>
    </row>
    <row r="5460">
      <c r="B5460" s="21">
        <f>IF(AND(C5460&lt;&gt;"", J5460&lt;&gt;""), HYPERLINK("#'" &amp; C5460 &amp; "'!" &amp; J5460, J5460), "")</f>
        <v/>
      </c>
    </row>
    <row r="5461">
      <c r="B5461" s="21">
        <f>IF(AND(C5461&lt;&gt;"", J5461&lt;&gt;""), HYPERLINK("#'" &amp; C5461 &amp; "'!" &amp; J5461, J5461), "")</f>
        <v/>
      </c>
    </row>
    <row r="5462">
      <c r="B5462" s="21">
        <f>IF(AND(C5462&lt;&gt;"", J5462&lt;&gt;""), HYPERLINK("#'" &amp; C5462 &amp; "'!" &amp; J5462, J5462), "")</f>
        <v/>
      </c>
    </row>
    <row r="5463">
      <c r="B5463" s="21">
        <f>IF(AND(C5463&lt;&gt;"", J5463&lt;&gt;""), HYPERLINK("#'" &amp; C5463 &amp; "'!" &amp; J5463, J5463), "")</f>
        <v/>
      </c>
    </row>
    <row r="5464">
      <c r="B5464" s="21">
        <f>IF(AND(C5464&lt;&gt;"", J5464&lt;&gt;""), HYPERLINK("#'" &amp; C5464 &amp; "'!" &amp; J5464, J5464), "")</f>
        <v/>
      </c>
    </row>
    <row r="5465">
      <c r="B5465" s="21">
        <f>IF(AND(C5465&lt;&gt;"", J5465&lt;&gt;""), HYPERLINK("#'" &amp; C5465 &amp; "'!" &amp; J5465, J5465), "")</f>
        <v/>
      </c>
    </row>
    <row r="5466">
      <c r="B5466" s="21">
        <f>IF(AND(C5466&lt;&gt;"", J5466&lt;&gt;""), HYPERLINK("#'" &amp; C5466 &amp; "'!" &amp; J5466, J5466), "")</f>
        <v/>
      </c>
    </row>
    <row r="5467">
      <c r="B5467" s="21">
        <f>IF(AND(C5467&lt;&gt;"", J5467&lt;&gt;""), HYPERLINK("#'" &amp; C5467 &amp; "'!" &amp; J5467, J5467), "")</f>
        <v/>
      </c>
    </row>
    <row r="5468">
      <c r="B5468" s="21">
        <f>IF(AND(C5468&lt;&gt;"", J5468&lt;&gt;""), HYPERLINK("#'" &amp; C5468 &amp; "'!" &amp; J5468, J5468), "")</f>
        <v/>
      </c>
    </row>
    <row r="5469">
      <c r="B5469" s="21">
        <f>IF(AND(C5469&lt;&gt;"", J5469&lt;&gt;""), HYPERLINK("#'" &amp; C5469 &amp; "'!" &amp; J5469, J5469), "")</f>
        <v/>
      </c>
    </row>
    <row r="5470">
      <c r="B5470" s="21">
        <f>IF(AND(C5470&lt;&gt;"", J5470&lt;&gt;""), HYPERLINK("#'" &amp; C5470 &amp; "'!" &amp; J5470, J5470), "")</f>
        <v/>
      </c>
    </row>
    <row r="5471">
      <c r="B5471" s="21">
        <f>IF(AND(C5471&lt;&gt;"", J5471&lt;&gt;""), HYPERLINK("#'" &amp; C5471 &amp; "'!" &amp; J5471, J5471), "")</f>
        <v/>
      </c>
    </row>
    <row r="5472">
      <c r="B5472" s="21">
        <f>IF(AND(C5472&lt;&gt;"", J5472&lt;&gt;""), HYPERLINK("#'" &amp; C5472 &amp; "'!" &amp; J5472, J5472), "")</f>
        <v/>
      </c>
    </row>
    <row r="5473">
      <c r="B5473" s="21">
        <f>IF(AND(C5473&lt;&gt;"", J5473&lt;&gt;""), HYPERLINK("#'" &amp; C5473 &amp; "'!" &amp; J5473, J5473), "")</f>
        <v/>
      </c>
    </row>
    <row r="5474">
      <c r="B5474" s="21">
        <f>IF(AND(C5474&lt;&gt;"", J5474&lt;&gt;""), HYPERLINK("#'" &amp; C5474 &amp; "'!" &amp; J5474, J5474), "")</f>
        <v/>
      </c>
    </row>
    <row r="5475">
      <c r="B5475" s="21">
        <f>IF(AND(C5475&lt;&gt;"", J5475&lt;&gt;""), HYPERLINK("#'" &amp; C5475 &amp; "'!" &amp; J5475, J5475), "")</f>
        <v/>
      </c>
    </row>
    <row r="5476">
      <c r="B5476" s="21">
        <f>IF(AND(C5476&lt;&gt;"", J5476&lt;&gt;""), HYPERLINK("#'" &amp; C5476 &amp; "'!" &amp; J5476, J5476), "")</f>
        <v/>
      </c>
    </row>
    <row r="5477">
      <c r="B5477" s="21">
        <f>IF(AND(C5477&lt;&gt;"", J5477&lt;&gt;""), HYPERLINK("#'" &amp; C5477 &amp; "'!" &amp; J5477, J5477), "")</f>
        <v/>
      </c>
    </row>
    <row r="5478">
      <c r="B5478" s="21">
        <f>IF(AND(C5478&lt;&gt;"", J5478&lt;&gt;""), HYPERLINK("#'" &amp; C5478 &amp; "'!" &amp; J5478, J5478), "")</f>
        <v/>
      </c>
    </row>
    <row r="5479">
      <c r="B5479" s="21">
        <f>IF(AND(C5479&lt;&gt;"", J5479&lt;&gt;""), HYPERLINK("#'" &amp; C5479 &amp; "'!" &amp; J5479, J5479), "")</f>
        <v/>
      </c>
    </row>
    <row r="5480">
      <c r="B5480" s="21">
        <f>IF(AND(C5480&lt;&gt;"", J5480&lt;&gt;""), HYPERLINK("#'" &amp; C5480 &amp; "'!" &amp; J5480, J5480), "")</f>
        <v/>
      </c>
    </row>
    <row r="5481">
      <c r="B5481" s="21">
        <f>IF(AND(C5481&lt;&gt;"", J5481&lt;&gt;""), HYPERLINK("#'" &amp; C5481 &amp; "'!" &amp; J5481, J5481), "")</f>
        <v/>
      </c>
    </row>
    <row r="5482">
      <c r="B5482" s="21">
        <f>IF(AND(C5482&lt;&gt;"", J5482&lt;&gt;""), HYPERLINK("#'" &amp; C5482 &amp; "'!" &amp; J5482, J5482), "")</f>
        <v/>
      </c>
    </row>
    <row r="5483">
      <c r="B5483" s="21">
        <f>IF(AND(C5483&lt;&gt;"", J5483&lt;&gt;""), HYPERLINK("#'" &amp; C5483 &amp; "'!" &amp; J5483, J5483), "")</f>
        <v/>
      </c>
    </row>
    <row r="5484">
      <c r="B5484" s="21">
        <f>IF(AND(C5484&lt;&gt;"", J5484&lt;&gt;""), HYPERLINK("#'" &amp; C5484 &amp; "'!" &amp; J5484, J5484), "")</f>
        <v/>
      </c>
    </row>
    <row r="5485">
      <c r="B5485" s="21">
        <f>IF(AND(C5485&lt;&gt;"", J5485&lt;&gt;""), HYPERLINK("#'" &amp; C5485 &amp; "'!" &amp; J5485, J5485), "")</f>
        <v/>
      </c>
    </row>
    <row r="5486">
      <c r="B5486" s="21">
        <f>IF(AND(C5486&lt;&gt;"", J5486&lt;&gt;""), HYPERLINK("#'" &amp; C5486 &amp; "'!" &amp; J5486, J5486), "")</f>
        <v/>
      </c>
    </row>
    <row r="5487">
      <c r="B5487" s="21">
        <f>IF(AND(C5487&lt;&gt;"", J5487&lt;&gt;""), HYPERLINK("#'" &amp; C5487 &amp; "'!" &amp; J5487, J5487), "")</f>
        <v/>
      </c>
    </row>
    <row r="5488">
      <c r="B5488" s="21">
        <f>IF(AND(C5488&lt;&gt;"", J5488&lt;&gt;""), HYPERLINK("#'" &amp; C5488 &amp; "'!" &amp; J5488, J5488), "")</f>
        <v/>
      </c>
    </row>
    <row r="5489">
      <c r="B5489" s="21">
        <f>IF(AND(C5489&lt;&gt;"", J5489&lt;&gt;""), HYPERLINK("#'" &amp; C5489 &amp; "'!" &amp; J5489, J5489), "")</f>
        <v/>
      </c>
    </row>
    <row r="5490">
      <c r="B5490" s="21">
        <f>IF(AND(C5490&lt;&gt;"", J5490&lt;&gt;""), HYPERLINK("#'" &amp; C5490 &amp; "'!" &amp; J5490, J5490), "")</f>
        <v/>
      </c>
    </row>
    <row r="5491">
      <c r="B5491" s="21">
        <f>IF(AND(C5491&lt;&gt;"", J5491&lt;&gt;""), HYPERLINK("#'" &amp; C5491 &amp; "'!" &amp; J5491, J5491), "")</f>
        <v/>
      </c>
    </row>
    <row r="5492">
      <c r="B5492" s="21">
        <f>IF(AND(C5492&lt;&gt;"", J5492&lt;&gt;""), HYPERLINK("#'" &amp; C5492 &amp; "'!" &amp; J5492, J5492), "")</f>
        <v/>
      </c>
    </row>
    <row r="5493">
      <c r="B5493" s="21">
        <f>IF(AND(C5493&lt;&gt;"", J5493&lt;&gt;""), HYPERLINK("#'" &amp; C5493 &amp; "'!" &amp; J5493, J5493), "")</f>
        <v/>
      </c>
    </row>
    <row r="5494">
      <c r="B5494" s="21">
        <f>IF(AND(C5494&lt;&gt;"", J5494&lt;&gt;""), HYPERLINK("#'" &amp; C5494 &amp; "'!" &amp; J5494, J5494), "")</f>
        <v/>
      </c>
    </row>
    <row r="5495">
      <c r="B5495" s="21">
        <f>IF(AND(C5495&lt;&gt;"", J5495&lt;&gt;""), HYPERLINK("#'" &amp; C5495 &amp; "'!" &amp; J5495, J5495), "")</f>
        <v/>
      </c>
    </row>
    <row r="5496">
      <c r="B5496" s="21">
        <f>IF(AND(C5496&lt;&gt;"", J5496&lt;&gt;""), HYPERLINK("#'" &amp; C5496 &amp; "'!" &amp; J5496, J5496), "")</f>
        <v/>
      </c>
    </row>
    <row r="5497">
      <c r="B5497" s="21">
        <f>IF(AND(C5497&lt;&gt;"", J5497&lt;&gt;""), HYPERLINK("#'" &amp; C5497 &amp; "'!" &amp; J5497, J5497), "")</f>
        <v/>
      </c>
    </row>
    <row r="5498">
      <c r="B5498" s="21">
        <f>IF(AND(C5498&lt;&gt;"", J5498&lt;&gt;""), HYPERLINK("#'" &amp; C5498 &amp; "'!" &amp; J5498, J5498), "")</f>
        <v/>
      </c>
    </row>
    <row r="5499">
      <c r="B5499" s="21">
        <f>IF(AND(C5499&lt;&gt;"", J5499&lt;&gt;""), HYPERLINK("#'" &amp; C5499 &amp; "'!" &amp; J5499, J5499), "")</f>
        <v/>
      </c>
    </row>
    <row r="5500">
      <c r="B5500" s="21">
        <f>IF(AND(C5500&lt;&gt;"", J5500&lt;&gt;""), HYPERLINK("#'" &amp; C5500 &amp; "'!" &amp; J5500, J5500), "")</f>
        <v/>
      </c>
    </row>
    <row r="5501">
      <c r="B5501" s="21">
        <f>IF(AND(C5501&lt;&gt;"", J5501&lt;&gt;""), HYPERLINK("#'" &amp; C5501 &amp; "'!" &amp; J5501, J5501), "")</f>
        <v/>
      </c>
    </row>
    <row r="5502">
      <c r="B5502" s="21">
        <f>IF(AND(C5502&lt;&gt;"", J5502&lt;&gt;""), HYPERLINK("#'" &amp; C5502 &amp; "'!" &amp; J5502, J5502), "")</f>
        <v/>
      </c>
    </row>
    <row r="5503">
      <c r="B5503" s="21">
        <f>IF(AND(C5503&lt;&gt;"", J5503&lt;&gt;""), HYPERLINK("#'" &amp; C5503 &amp; "'!" &amp; J5503, J5503), "")</f>
        <v/>
      </c>
    </row>
    <row r="5504">
      <c r="B5504" s="21">
        <f>IF(AND(C5504&lt;&gt;"", J5504&lt;&gt;""), HYPERLINK("#'" &amp; C5504 &amp; "'!" &amp; J5504, J5504), "")</f>
        <v/>
      </c>
    </row>
    <row r="5505">
      <c r="B5505" s="21">
        <f>IF(AND(C5505&lt;&gt;"", J5505&lt;&gt;""), HYPERLINK("#'" &amp; C5505 &amp; "'!" &amp; J5505, J5505), "")</f>
        <v/>
      </c>
    </row>
    <row r="5506">
      <c r="B5506" s="21">
        <f>IF(AND(C5506&lt;&gt;"", J5506&lt;&gt;""), HYPERLINK("#'" &amp; C5506 &amp; "'!" &amp; J5506, J5506), "")</f>
        <v/>
      </c>
    </row>
    <row r="5507">
      <c r="B5507" s="21">
        <f>IF(AND(C5507&lt;&gt;"", J5507&lt;&gt;""), HYPERLINK("#'" &amp; C5507 &amp; "'!" &amp; J5507, J5507), "")</f>
        <v/>
      </c>
    </row>
    <row r="5508">
      <c r="B5508" s="21">
        <f>IF(AND(C5508&lt;&gt;"", J5508&lt;&gt;""), HYPERLINK("#'" &amp; C5508 &amp; "'!" &amp; J5508, J5508), "")</f>
        <v/>
      </c>
    </row>
    <row r="5509">
      <c r="B5509" s="21">
        <f>IF(AND(C5509&lt;&gt;"", J5509&lt;&gt;""), HYPERLINK("#'" &amp; C5509 &amp; "'!" &amp; J5509, J5509), "")</f>
        <v/>
      </c>
    </row>
    <row r="5510">
      <c r="B5510" s="21">
        <f>IF(AND(C5510&lt;&gt;"", J5510&lt;&gt;""), HYPERLINK("#'" &amp; C5510 &amp; "'!" &amp; J5510, J5510), "")</f>
        <v/>
      </c>
    </row>
    <row r="5511">
      <c r="B5511" s="21">
        <f>IF(AND(C5511&lt;&gt;"", J5511&lt;&gt;""), HYPERLINK("#'" &amp; C5511 &amp; "'!" &amp; J5511, J5511), "")</f>
        <v/>
      </c>
    </row>
    <row r="5512">
      <c r="B5512" s="21">
        <f>IF(AND(C5512&lt;&gt;"", J5512&lt;&gt;""), HYPERLINK("#'" &amp; C5512 &amp; "'!" &amp; J5512, J5512), "")</f>
        <v/>
      </c>
    </row>
    <row r="5513">
      <c r="B5513" s="21">
        <f>IF(AND(C5513&lt;&gt;"", J5513&lt;&gt;""), HYPERLINK("#'" &amp; C5513 &amp; "'!" &amp; J5513, J5513), "")</f>
        <v/>
      </c>
    </row>
    <row r="5514">
      <c r="B5514" s="21">
        <f>IF(AND(C5514&lt;&gt;"", J5514&lt;&gt;""), HYPERLINK("#'" &amp; C5514 &amp; "'!" &amp; J5514, J5514), "")</f>
        <v/>
      </c>
    </row>
    <row r="5515">
      <c r="B5515" s="21">
        <f>IF(AND(C5515&lt;&gt;"", J5515&lt;&gt;""), HYPERLINK("#'" &amp; C5515 &amp; "'!" &amp; J5515, J5515), "")</f>
        <v/>
      </c>
    </row>
    <row r="5516">
      <c r="B5516" s="21">
        <f>IF(AND(C5516&lt;&gt;"", J5516&lt;&gt;""), HYPERLINK("#'" &amp; C5516 &amp; "'!" &amp; J5516, J5516), "")</f>
        <v/>
      </c>
    </row>
    <row r="5517">
      <c r="B5517" s="21">
        <f>IF(AND(C5517&lt;&gt;"", J5517&lt;&gt;""), HYPERLINK("#'" &amp; C5517 &amp; "'!" &amp; J5517, J5517), "")</f>
        <v/>
      </c>
    </row>
    <row r="5518">
      <c r="B5518" s="21">
        <f>IF(AND(C5518&lt;&gt;"", J5518&lt;&gt;""), HYPERLINK("#'" &amp; C5518 &amp; "'!" &amp; J5518, J5518), "")</f>
        <v/>
      </c>
    </row>
    <row r="5519">
      <c r="B5519" s="21">
        <f>IF(AND(C5519&lt;&gt;"", J5519&lt;&gt;""), HYPERLINK("#'" &amp; C5519 &amp; "'!" &amp; J5519, J5519), "")</f>
        <v/>
      </c>
    </row>
    <row r="5520">
      <c r="B5520" s="21">
        <f>IF(AND(C5520&lt;&gt;"", J5520&lt;&gt;""), HYPERLINK("#'" &amp; C5520 &amp; "'!" &amp; J5520, J5520), "")</f>
        <v/>
      </c>
    </row>
    <row r="5521">
      <c r="B5521" s="21">
        <f>IF(AND(C5521&lt;&gt;"", J5521&lt;&gt;""), HYPERLINK("#'" &amp; C5521 &amp; "'!" &amp; J5521, J5521), "")</f>
        <v/>
      </c>
    </row>
    <row r="5522">
      <c r="B5522" s="21">
        <f>IF(AND(C5522&lt;&gt;"", J5522&lt;&gt;""), HYPERLINK("#'" &amp; C5522 &amp; "'!" &amp; J5522, J5522), "")</f>
        <v/>
      </c>
    </row>
    <row r="5523">
      <c r="B5523" s="21">
        <f>IF(AND(C5523&lt;&gt;"", J5523&lt;&gt;""), HYPERLINK("#'" &amp; C5523 &amp; "'!" &amp; J5523, J5523), "")</f>
        <v/>
      </c>
    </row>
    <row r="5524">
      <c r="B5524" s="21">
        <f>IF(AND(C5524&lt;&gt;"", J5524&lt;&gt;""), HYPERLINK("#'" &amp; C5524 &amp; "'!" &amp; J5524, J5524), "")</f>
        <v/>
      </c>
    </row>
    <row r="5525">
      <c r="B5525" s="21">
        <f>IF(AND(C5525&lt;&gt;"", J5525&lt;&gt;""), HYPERLINK("#'" &amp; C5525 &amp; "'!" &amp; J5525, J5525), "")</f>
        <v/>
      </c>
    </row>
    <row r="5526">
      <c r="B5526" s="21">
        <f>IF(AND(C5526&lt;&gt;"", J5526&lt;&gt;""), HYPERLINK("#'" &amp; C5526 &amp; "'!" &amp; J5526, J5526), "")</f>
        <v/>
      </c>
    </row>
    <row r="5527">
      <c r="B5527" s="21">
        <f>IF(AND(C5527&lt;&gt;"", J5527&lt;&gt;""), HYPERLINK("#'" &amp; C5527 &amp; "'!" &amp; J5527, J5527), "")</f>
        <v/>
      </c>
    </row>
    <row r="5528">
      <c r="B5528" s="21">
        <f>IF(AND(C5528&lt;&gt;"", J5528&lt;&gt;""), HYPERLINK("#'" &amp; C5528 &amp; "'!" &amp; J5528, J5528), "")</f>
        <v/>
      </c>
    </row>
    <row r="5529">
      <c r="B5529" s="21">
        <f>IF(AND(C5529&lt;&gt;"", J5529&lt;&gt;""), HYPERLINK("#'" &amp; C5529 &amp; "'!" &amp; J5529, J5529), "")</f>
        <v/>
      </c>
    </row>
    <row r="5530">
      <c r="B5530" s="21">
        <f>IF(AND(C5530&lt;&gt;"", J5530&lt;&gt;""), HYPERLINK("#'" &amp; C5530 &amp; "'!" &amp; J5530, J5530), "")</f>
        <v/>
      </c>
    </row>
    <row r="5531">
      <c r="B5531" s="21">
        <f>IF(AND(C5531&lt;&gt;"", J5531&lt;&gt;""), HYPERLINK("#'" &amp; C5531 &amp; "'!" &amp; J5531, J5531), "")</f>
        <v/>
      </c>
    </row>
    <row r="5532">
      <c r="B5532" s="21">
        <f>IF(AND(C5532&lt;&gt;"", J5532&lt;&gt;""), HYPERLINK("#'" &amp; C5532 &amp; "'!" &amp; J5532, J5532), "")</f>
        <v/>
      </c>
    </row>
    <row r="5533">
      <c r="B5533" s="21">
        <f>IF(AND(C5533&lt;&gt;"", J5533&lt;&gt;""), HYPERLINK("#'" &amp; C5533 &amp; "'!" &amp; J5533, J5533), "")</f>
        <v/>
      </c>
    </row>
    <row r="5534">
      <c r="B5534" s="21">
        <f>IF(AND(C5534&lt;&gt;"", J5534&lt;&gt;""), HYPERLINK("#'" &amp; C5534 &amp; "'!" &amp; J5534, J5534), "")</f>
        <v/>
      </c>
    </row>
    <row r="5535">
      <c r="B5535" s="21">
        <f>IF(AND(C5535&lt;&gt;"", J5535&lt;&gt;""), HYPERLINK("#'" &amp; C5535 &amp; "'!" &amp; J5535, J5535), "")</f>
        <v/>
      </c>
    </row>
    <row r="5536">
      <c r="B5536" s="21">
        <f>IF(AND(C5536&lt;&gt;"", J5536&lt;&gt;""), HYPERLINK("#'" &amp; C5536 &amp; "'!" &amp; J5536, J5536), "")</f>
        <v/>
      </c>
    </row>
    <row r="5537">
      <c r="B5537" s="21">
        <f>IF(AND(C5537&lt;&gt;"", J5537&lt;&gt;""), HYPERLINK("#'" &amp; C5537 &amp; "'!" &amp; J5537, J5537), "")</f>
        <v/>
      </c>
    </row>
    <row r="5538">
      <c r="B5538" s="21">
        <f>IF(AND(C5538&lt;&gt;"", J5538&lt;&gt;""), HYPERLINK("#'" &amp; C5538 &amp; "'!" &amp; J5538, J5538), "")</f>
        <v/>
      </c>
    </row>
    <row r="5539">
      <c r="B5539" s="21">
        <f>IF(AND(C5539&lt;&gt;"", J5539&lt;&gt;""), HYPERLINK("#'" &amp; C5539 &amp; "'!" &amp; J5539, J5539), "")</f>
        <v/>
      </c>
    </row>
    <row r="5540">
      <c r="B5540" s="21">
        <f>IF(AND(C5540&lt;&gt;"", J5540&lt;&gt;""), HYPERLINK("#'" &amp; C5540 &amp; "'!" &amp; J5540, J5540), "")</f>
        <v/>
      </c>
    </row>
    <row r="5541">
      <c r="B5541" s="21">
        <f>IF(AND(C5541&lt;&gt;"", J5541&lt;&gt;""), HYPERLINK("#'" &amp; C5541 &amp; "'!" &amp; J5541, J5541), "")</f>
        <v/>
      </c>
    </row>
    <row r="5542">
      <c r="B5542" s="21">
        <f>IF(AND(C5542&lt;&gt;"", J5542&lt;&gt;""), HYPERLINK("#'" &amp; C5542 &amp; "'!" &amp; J5542, J5542), "")</f>
        <v/>
      </c>
    </row>
    <row r="5543">
      <c r="B5543" s="21">
        <f>IF(AND(C5543&lt;&gt;"", J5543&lt;&gt;""), HYPERLINK("#'" &amp; C5543 &amp; "'!" &amp; J5543, J5543), "")</f>
        <v/>
      </c>
    </row>
    <row r="5544">
      <c r="B5544" s="21">
        <f>IF(AND(C5544&lt;&gt;"", J5544&lt;&gt;""), HYPERLINK("#'" &amp; C5544 &amp; "'!" &amp; J5544, J5544), "")</f>
        <v/>
      </c>
    </row>
    <row r="5545">
      <c r="B5545" s="21">
        <f>IF(AND(C5545&lt;&gt;"", J5545&lt;&gt;""), HYPERLINK("#'" &amp; C5545 &amp; "'!" &amp; J5545, J5545), "")</f>
        <v/>
      </c>
    </row>
    <row r="5546">
      <c r="B5546" s="21">
        <f>IF(AND(C5546&lt;&gt;"", J5546&lt;&gt;""), HYPERLINK("#'" &amp; C5546 &amp; "'!" &amp; J5546, J5546), "")</f>
        <v/>
      </c>
    </row>
    <row r="5547">
      <c r="B5547" s="21">
        <f>IF(AND(C5547&lt;&gt;"", J5547&lt;&gt;""), HYPERLINK("#'" &amp; C5547 &amp; "'!" &amp; J5547, J5547), "")</f>
        <v/>
      </c>
    </row>
    <row r="5548">
      <c r="B5548" s="21">
        <f>IF(AND(C5548&lt;&gt;"", J5548&lt;&gt;""), HYPERLINK("#'" &amp; C5548 &amp; "'!" &amp; J5548, J5548), "")</f>
        <v/>
      </c>
    </row>
    <row r="5549">
      <c r="B5549" s="21">
        <f>IF(AND(C5549&lt;&gt;"", J5549&lt;&gt;""), HYPERLINK("#'" &amp; C5549 &amp; "'!" &amp; J5549, J5549), "")</f>
        <v/>
      </c>
    </row>
    <row r="5550">
      <c r="B5550" s="21">
        <f>IF(AND(C5550&lt;&gt;"", J5550&lt;&gt;""), HYPERLINK("#'" &amp; C5550 &amp; "'!" &amp; J5550, J5550), "")</f>
        <v/>
      </c>
    </row>
    <row r="5551">
      <c r="B5551" s="21">
        <f>IF(AND(C5551&lt;&gt;"", J5551&lt;&gt;""), HYPERLINK("#'" &amp; C5551 &amp; "'!" &amp; J5551, J5551), "")</f>
        <v/>
      </c>
    </row>
    <row r="5552">
      <c r="B5552" s="21">
        <f>IF(AND(C5552&lt;&gt;"", J5552&lt;&gt;""), HYPERLINK("#'" &amp; C5552 &amp; "'!" &amp; J5552, J5552), "")</f>
        <v/>
      </c>
    </row>
    <row r="5553">
      <c r="B5553" s="21">
        <f>IF(AND(C5553&lt;&gt;"", J5553&lt;&gt;""), HYPERLINK("#'" &amp; C5553 &amp; "'!" &amp; J5553, J5553), "")</f>
        <v/>
      </c>
    </row>
    <row r="5554">
      <c r="B5554" s="21">
        <f>IF(AND(C5554&lt;&gt;"", J5554&lt;&gt;""), HYPERLINK("#'" &amp; C5554 &amp; "'!" &amp; J5554, J5554), "")</f>
        <v/>
      </c>
    </row>
    <row r="5555">
      <c r="B5555" s="21">
        <f>IF(AND(C5555&lt;&gt;"", J5555&lt;&gt;""), HYPERLINK("#'" &amp; C5555 &amp; "'!" &amp; J5555, J5555), "")</f>
        <v/>
      </c>
    </row>
    <row r="5556">
      <c r="B5556" s="21">
        <f>IF(AND(C5556&lt;&gt;"", J5556&lt;&gt;""), HYPERLINK("#'" &amp; C5556 &amp; "'!" &amp; J5556, J5556), "")</f>
        <v/>
      </c>
    </row>
    <row r="5557">
      <c r="B5557" s="21">
        <f>IF(AND(C5557&lt;&gt;"", J5557&lt;&gt;""), HYPERLINK("#'" &amp; C5557 &amp; "'!" &amp; J5557, J5557), "")</f>
        <v/>
      </c>
    </row>
    <row r="5558">
      <c r="B5558" s="21">
        <f>IF(AND(C5558&lt;&gt;"", J5558&lt;&gt;""), HYPERLINK("#'" &amp; C5558 &amp; "'!" &amp; J5558, J5558), "")</f>
        <v/>
      </c>
    </row>
    <row r="5559">
      <c r="B5559" s="21">
        <f>IF(AND(C5559&lt;&gt;"", J5559&lt;&gt;""), HYPERLINK("#'" &amp; C5559 &amp; "'!" &amp; J5559, J5559), "")</f>
        <v/>
      </c>
    </row>
    <row r="5560">
      <c r="B5560" s="21">
        <f>IF(AND(C5560&lt;&gt;"", J5560&lt;&gt;""), HYPERLINK("#'" &amp; C5560 &amp; "'!" &amp; J5560, J5560), "")</f>
        <v/>
      </c>
    </row>
    <row r="5561">
      <c r="B5561" s="21">
        <f>IF(AND(C5561&lt;&gt;"", J5561&lt;&gt;""), HYPERLINK("#'" &amp; C5561 &amp; "'!" &amp; J5561, J5561), "")</f>
        <v/>
      </c>
    </row>
    <row r="5562">
      <c r="B5562" s="21">
        <f>IF(AND(C5562&lt;&gt;"", J5562&lt;&gt;""), HYPERLINK("#'" &amp; C5562 &amp; "'!" &amp; J5562, J5562), "")</f>
        <v/>
      </c>
    </row>
    <row r="5563">
      <c r="B5563" s="21">
        <f>IF(AND(C5563&lt;&gt;"", J5563&lt;&gt;""), HYPERLINK("#'" &amp; C5563 &amp; "'!" &amp; J5563, J5563), "")</f>
        <v/>
      </c>
    </row>
    <row r="5564">
      <c r="B5564" s="21">
        <f>IF(AND(C5564&lt;&gt;"", J5564&lt;&gt;""), HYPERLINK("#'" &amp; C5564 &amp; "'!" &amp; J5564, J5564), "")</f>
        <v/>
      </c>
    </row>
    <row r="5565">
      <c r="B5565" s="21">
        <f>IF(AND(C5565&lt;&gt;"", J5565&lt;&gt;""), HYPERLINK("#'" &amp; C5565 &amp; "'!" &amp; J5565, J5565), "")</f>
        <v/>
      </c>
    </row>
    <row r="5566">
      <c r="B5566" s="21">
        <f>IF(AND(C5566&lt;&gt;"", J5566&lt;&gt;""), HYPERLINK("#'" &amp; C5566 &amp; "'!" &amp; J5566, J5566), "")</f>
        <v/>
      </c>
    </row>
    <row r="5567">
      <c r="B5567" s="21">
        <f>IF(AND(C5567&lt;&gt;"", J5567&lt;&gt;""), HYPERLINK("#'" &amp; C5567 &amp; "'!" &amp; J5567, J5567), "")</f>
        <v/>
      </c>
    </row>
    <row r="5568">
      <c r="B5568" s="21">
        <f>IF(AND(C5568&lt;&gt;"", J5568&lt;&gt;""), HYPERLINK("#'" &amp; C5568 &amp; "'!" &amp; J5568, J5568), "")</f>
        <v/>
      </c>
    </row>
    <row r="5569">
      <c r="B5569" s="21">
        <f>IF(AND(C5569&lt;&gt;"", J5569&lt;&gt;""), HYPERLINK("#'" &amp; C5569 &amp; "'!" &amp; J5569, J5569), "")</f>
        <v/>
      </c>
    </row>
    <row r="5570">
      <c r="B5570" s="21">
        <f>IF(AND(C5570&lt;&gt;"", J5570&lt;&gt;""), HYPERLINK("#'" &amp; C5570 &amp; "'!" &amp; J5570, J5570), "")</f>
        <v/>
      </c>
    </row>
    <row r="5571">
      <c r="B5571" s="21">
        <f>IF(AND(C5571&lt;&gt;"", J5571&lt;&gt;""), HYPERLINK("#'" &amp; C5571 &amp; "'!" &amp; J5571, J5571), "")</f>
        <v/>
      </c>
    </row>
    <row r="5572">
      <c r="B5572" s="21">
        <f>IF(AND(C5572&lt;&gt;"", J5572&lt;&gt;""), HYPERLINK("#'" &amp; C5572 &amp; "'!" &amp; J5572, J5572), "")</f>
        <v/>
      </c>
    </row>
    <row r="5573">
      <c r="B5573" s="21">
        <f>IF(AND(C5573&lt;&gt;"", J5573&lt;&gt;""), HYPERLINK("#'" &amp; C5573 &amp; "'!" &amp; J5573, J5573), "")</f>
        <v/>
      </c>
    </row>
    <row r="5574">
      <c r="B5574" s="21">
        <f>IF(AND(C5574&lt;&gt;"", J5574&lt;&gt;""), HYPERLINK("#'" &amp; C5574 &amp; "'!" &amp; J5574, J5574), "")</f>
        <v/>
      </c>
    </row>
    <row r="5575">
      <c r="B5575" s="21">
        <f>IF(AND(C5575&lt;&gt;"", J5575&lt;&gt;""), HYPERLINK("#'" &amp; C5575 &amp; "'!" &amp; J5575, J5575), "")</f>
        <v/>
      </c>
    </row>
    <row r="5576">
      <c r="B5576" s="21">
        <f>IF(AND(C5576&lt;&gt;"", J5576&lt;&gt;""), HYPERLINK("#'" &amp; C5576 &amp; "'!" &amp; J5576, J5576), "")</f>
        <v/>
      </c>
    </row>
    <row r="5577">
      <c r="B5577" s="21">
        <f>IF(AND(C5577&lt;&gt;"", J5577&lt;&gt;""), HYPERLINK("#'" &amp; C5577 &amp; "'!" &amp; J5577, J5577), "")</f>
        <v/>
      </c>
    </row>
    <row r="5578">
      <c r="B5578" s="21">
        <f>IF(AND(C5578&lt;&gt;"", J5578&lt;&gt;""), HYPERLINK("#'" &amp; C5578 &amp; "'!" &amp; J5578, J5578), "")</f>
        <v/>
      </c>
    </row>
    <row r="5579">
      <c r="B5579" s="21">
        <f>IF(AND(C5579&lt;&gt;"", J5579&lt;&gt;""), HYPERLINK("#'" &amp; C5579 &amp; "'!" &amp; J5579, J5579), "")</f>
        <v/>
      </c>
    </row>
    <row r="5580">
      <c r="B5580" s="21">
        <f>IF(AND(C5580&lt;&gt;"", J5580&lt;&gt;""), HYPERLINK("#'" &amp; C5580 &amp; "'!" &amp; J5580, J5580), "")</f>
        <v/>
      </c>
    </row>
    <row r="5581">
      <c r="B5581" s="21">
        <f>IF(AND(C5581&lt;&gt;"", J5581&lt;&gt;""), HYPERLINK("#'" &amp; C5581 &amp; "'!" &amp; J5581, J5581), "")</f>
        <v/>
      </c>
    </row>
    <row r="5582">
      <c r="B5582" s="21">
        <f>IF(AND(C5582&lt;&gt;"", J5582&lt;&gt;""), HYPERLINK("#'" &amp; C5582 &amp; "'!" &amp; J5582, J5582), "")</f>
        <v/>
      </c>
    </row>
    <row r="5583">
      <c r="B5583" s="21">
        <f>IF(AND(C5583&lt;&gt;"", J5583&lt;&gt;""), HYPERLINK("#'" &amp; C5583 &amp; "'!" &amp; J5583, J5583), "")</f>
        <v/>
      </c>
    </row>
    <row r="5584">
      <c r="B5584" s="21">
        <f>IF(AND(C5584&lt;&gt;"", J5584&lt;&gt;""), HYPERLINK("#'" &amp; C5584 &amp; "'!" &amp; J5584, J5584), "")</f>
        <v/>
      </c>
    </row>
    <row r="5585">
      <c r="B5585" s="21">
        <f>IF(AND(C5585&lt;&gt;"", J5585&lt;&gt;""), HYPERLINK("#'" &amp; C5585 &amp; "'!" &amp; J5585, J5585), "")</f>
        <v/>
      </c>
    </row>
    <row r="5586">
      <c r="B5586" s="21">
        <f>IF(AND(C5586&lt;&gt;"", J5586&lt;&gt;""), HYPERLINK("#'" &amp; C5586 &amp; "'!" &amp; J5586, J5586), "")</f>
        <v/>
      </c>
    </row>
    <row r="5587">
      <c r="B5587" s="21">
        <f>IF(AND(C5587&lt;&gt;"", J5587&lt;&gt;""), HYPERLINK("#'" &amp; C5587 &amp; "'!" &amp; J5587, J5587), "")</f>
        <v/>
      </c>
    </row>
    <row r="5588">
      <c r="B5588" s="21">
        <f>IF(AND(C5588&lt;&gt;"", J5588&lt;&gt;""), HYPERLINK("#'" &amp; C5588 &amp; "'!" &amp; J5588, J5588), "")</f>
        <v/>
      </c>
    </row>
    <row r="5589">
      <c r="B5589" s="21">
        <f>IF(AND(C5589&lt;&gt;"", J5589&lt;&gt;""), HYPERLINK("#'" &amp; C5589 &amp; "'!" &amp; J5589, J5589), "")</f>
        <v/>
      </c>
    </row>
    <row r="5590">
      <c r="B5590" s="21">
        <f>IF(AND(C5590&lt;&gt;"", J5590&lt;&gt;""), HYPERLINK("#'" &amp; C5590 &amp; "'!" &amp; J5590, J5590), "")</f>
        <v/>
      </c>
    </row>
    <row r="5591">
      <c r="B5591" s="21">
        <f>IF(AND(C5591&lt;&gt;"", J5591&lt;&gt;""), HYPERLINK("#'" &amp; C5591 &amp; "'!" &amp; J5591, J5591), "")</f>
        <v/>
      </c>
    </row>
    <row r="5592">
      <c r="B5592" s="21">
        <f>IF(AND(C5592&lt;&gt;"", J5592&lt;&gt;""), HYPERLINK("#'" &amp; C5592 &amp; "'!" &amp; J5592, J5592), "")</f>
        <v/>
      </c>
    </row>
    <row r="5593">
      <c r="B5593" s="21">
        <f>IF(AND(C5593&lt;&gt;"", J5593&lt;&gt;""), HYPERLINK("#'" &amp; C5593 &amp; "'!" &amp; J5593, J5593), "")</f>
        <v/>
      </c>
    </row>
    <row r="5594">
      <c r="B5594" s="21">
        <f>IF(AND(C5594&lt;&gt;"", J5594&lt;&gt;""), HYPERLINK("#'" &amp; C5594 &amp; "'!" &amp; J5594, J5594), "")</f>
        <v/>
      </c>
    </row>
    <row r="5595">
      <c r="B5595" s="21">
        <f>IF(AND(C5595&lt;&gt;"", J5595&lt;&gt;""), HYPERLINK("#'" &amp; C5595 &amp; "'!" &amp; J5595, J5595), "")</f>
        <v/>
      </c>
    </row>
    <row r="5596">
      <c r="B5596" s="21">
        <f>IF(AND(C5596&lt;&gt;"", J5596&lt;&gt;""), HYPERLINK("#'" &amp; C5596 &amp; "'!" &amp; J5596, J5596), "")</f>
        <v/>
      </c>
    </row>
    <row r="5597">
      <c r="B5597" s="21">
        <f>IF(AND(C5597&lt;&gt;"", J5597&lt;&gt;""), HYPERLINK("#'" &amp; C5597 &amp; "'!" &amp; J5597, J5597), "")</f>
        <v/>
      </c>
    </row>
    <row r="5598">
      <c r="B5598" s="21">
        <f>IF(AND(C5598&lt;&gt;"", J5598&lt;&gt;""), HYPERLINK("#'" &amp; C5598 &amp; "'!" &amp; J5598, J5598), "")</f>
        <v/>
      </c>
    </row>
    <row r="5599">
      <c r="B5599" s="21">
        <f>IF(AND(C5599&lt;&gt;"", J5599&lt;&gt;""), HYPERLINK("#'" &amp; C5599 &amp; "'!" &amp; J5599, J5599), "")</f>
        <v/>
      </c>
    </row>
    <row r="5600">
      <c r="B5600" s="21">
        <f>IF(AND(C5600&lt;&gt;"", J5600&lt;&gt;""), HYPERLINK("#'" &amp; C5600 &amp; "'!" &amp; J5600, J5600), "")</f>
        <v/>
      </c>
    </row>
    <row r="5601">
      <c r="B5601" s="21">
        <f>IF(AND(C5601&lt;&gt;"", J5601&lt;&gt;""), HYPERLINK("#'" &amp; C5601 &amp; "'!" &amp; J5601, J5601), "")</f>
        <v/>
      </c>
    </row>
    <row r="5602">
      <c r="B5602" s="21">
        <f>IF(AND(C5602&lt;&gt;"", J5602&lt;&gt;""), HYPERLINK("#'" &amp; C5602 &amp; "'!" &amp; J5602, J5602), "")</f>
        <v/>
      </c>
    </row>
    <row r="5603">
      <c r="B5603" s="21">
        <f>IF(AND(C5603&lt;&gt;"", J5603&lt;&gt;""), HYPERLINK("#'" &amp; C5603 &amp; "'!" &amp; J5603, J5603), "")</f>
        <v/>
      </c>
    </row>
    <row r="5604">
      <c r="B5604" s="21">
        <f>IF(AND(C5604&lt;&gt;"", J5604&lt;&gt;""), HYPERLINK("#'" &amp; C5604 &amp; "'!" &amp; J5604, J5604), "")</f>
        <v/>
      </c>
    </row>
    <row r="5605">
      <c r="B5605" s="21">
        <f>IF(AND(C5605&lt;&gt;"", J5605&lt;&gt;""), HYPERLINK("#'" &amp; C5605 &amp; "'!" &amp; J5605, J5605), "")</f>
        <v/>
      </c>
    </row>
    <row r="5606">
      <c r="B5606" s="21">
        <f>IF(AND(C5606&lt;&gt;"", J5606&lt;&gt;""), HYPERLINK("#'" &amp; C5606 &amp; "'!" &amp; J5606, J5606), "")</f>
        <v/>
      </c>
    </row>
    <row r="5607">
      <c r="B5607" s="21">
        <f>IF(AND(C5607&lt;&gt;"", J5607&lt;&gt;""), HYPERLINK("#'" &amp; C5607 &amp; "'!" &amp; J5607, J5607), "")</f>
        <v/>
      </c>
    </row>
    <row r="5608">
      <c r="B5608" s="21">
        <f>IF(AND(C5608&lt;&gt;"", J5608&lt;&gt;""), HYPERLINK("#'" &amp; C5608 &amp; "'!" &amp; J5608, J5608), "")</f>
        <v/>
      </c>
    </row>
    <row r="5609">
      <c r="B5609" s="21">
        <f>IF(AND(C5609&lt;&gt;"", J5609&lt;&gt;""), HYPERLINK("#'" &amp; C5609 &amp; "'!" &amp; J5609, J5609), "")</f>
        <v/>
      </c>
    </row>
    <row r="5610">
      <c r="B5610" s="21">
        <f>IF(AND(C5610&lt;&gt;"", J5610&lt;&gt;""), HYPERLINK("#'" &amp; C5610 &amp; "'!" &amp; J5610, J5610), "")</f>
        <v/>
      </c>
    </row>
    <row r="5611">
      <c r="B5611" s="21">
        <f>IF(AND(C5611&lt;&gt;"", J5611&lt;&gt;""), HYPERLINK("#'" &amp; C5611 &amp; "'!" &amp; J5611, J5611), "")</f>
        <v/>
      </c>
    </row>
    <row r="5612">
      <c r="B5612" s="21">
        <f>IF(AND(C5612&lt;&gt;"", J5612&lt;&gt;""), HYPERLINK("#'" &amp; C5612 &amp; "'!" &amp; J5612, J5612), "")</f>
        <v/>
      </c>
    </row>
    <row r="5613">
      <c r="B5613" s="21">
        <f>IF(AND(C5613&lt;&gt;"", J5613&lt;&gt;""), HYPERLINK("#'" &amp; C5613 &amp; "'!" &amp; J5613, J5613), "")</f>
        <v/>
      </c>
    </row>
    <row r="5614">
      <c r="B5614" s="21">
        <f>IF(AND(C5614&lt;&gt;"", J5614&lt;&gt;""), HYPERLINK("#'" &amp; C5614 &amp; "'!" &amp; J5614, J5614), "")</f>
        <v/>
      </c>
    </row>
    <row r="5615">
      <c r="B5615" s="21">
        <f>IF(AND(C5615&lt;&gt;"", J5615&lt;&gt;""), HYPERLINK("#'" &amp; C5615 &amp; "'!" &amp; J5615, J5615), "")</f>
        <v/>
      </c>
    </row>
    <row r="5616">
      <c r="B5616" s="21">
        <f>IF(AND(C5616&lt;&gt;"", J5616&lt;&gt;""), HYPERLINK("#'" &amp; C5616 &amp; "'!" &amp; J5616, J5616), "")</f>
        <v/>
      </c>
    </row>
    <row r="5617">
      <c r="B5617" s="21">
        <f>IF(AND(C5617&lt;&gt;"", J5617&lt;&gt;""), HYPERLINK("#'" &amp; C5617 &amp; "'!" &amp; J5617, J5617), "")</f>
        <v/>
      </c>
    </row>
    <row r="5618">
      <c r="B5618" s="21">
        <f>IF(AND(C5618&lt;&gt;"", J5618&lt;&gt;""), HYPERLINK("#'" &amp; C5618 &amp; "'!" &amp; J5618, J5618), "")</f>
        <v/>
      </c>
    </row>
    <row r="5619">
      <c r="B5619" s="21">
        <f>IF(AND(C5619&lt;&gt;"", J5619&lt;&gt;""), HYPERLINK("#'" &amp; C5619 &amp; "'!" &amp; J5619, J5619), "")</f>
        <v/>
      </c>
    </row>
    <row r="5620">
      <c r="B5620" s="21">
        <f>IF(AND(C5620&lt;&gt;"", J5620&lt;&gt;""), HYPERLINK("#'" &amp; C5620 &amp; "'!" &amp; J5620, J5620), "")</f>
        <v/>
      </c>
    </row>
    <row r="5621">
      <c r="B5621" s="21">
        <f>IF(AND(C5621&lt;&gt;"", J5621&lt;&gt;""), HYPERLINK("#'" &amp; C5621 &amp; "'!" &amp; J5621, J5621), "")</f>
        <v/>
      </c>
    </row>
    <row r="5622">
      <c r="B5622" s="21">
        <f>IF(AND(C5622&lt;&gt;"", J5622&lt;&gt;""), HYPERLINK("#'" &amp; C5622 &amp; "'!" &amp; J5622, J5622), "")</f>
        <v/>
      </c>
    </row>
    <row r="5623">
      <c r="B5623" s="21">
        <f>IF(AND(C5623&lt;&gt;"", J5623&lt;&gt;""), HYPERLINK("#'" &amp; C5623 &amp; "'!" &amp; J5623, J5623), "")</f>
        <v/>
      </c>
    </row>
    <row r="5624">
      <c r="B5624" s="21">
        <f>IF(AND(C5624&lt;&gt;"", J5624&lt;&gt;""), HYPERLINK("#'" &amp; C5624 &amp; "'!" &amp; J5624, J5624), "")</f>
        <v/>
      </c>
    </row>
    <row r="5625">
      <c r="B5625" s="21">
        <f>IF(AND(C5625&lt;&gt;"", J5625&lt;&gt;""), HYPERLINK("#'" &amp; C5625 &amp; "'!" &amp; J5625, J5625), "")</f>
        <v/>
      </c>
    </row>
    <row r="5626">
      <c r="B5626" s="21">
        <f>IF(AND(C5626&lt;&gt;"", J5626&lt;&gt;""), HYPERLINK("#'" &amp; C5626 &amp; "'!" &amp; J5626, J5626), "")</f>
        <v/>
      </c>
    </row>
    <row r="5627">
      <c r="B5627" s="21">
        <f>IF(AND(C5627&lt;&gt;"", J5627&lt;&gt;""), HYPERLINK("#'" &amp; C5627 &amp; "'!" &amp; J5627, J5627), "")</f>
        <v/>
      </c>
    </row>
    <row r="5628">
      <c r="B5628" s="21">
        <f>IF(AND(C5628&lt;&gt;"", J5628&lt;&gt;""), HYPERLINK("#'" &amp; C5628 &amp; "'!" &amp; J5628, J5628), "")</f>
        <v/>
      </c>
    </row>
    <row r="5629">
      <c r="B5629" s="21">
        <f>IF(AND(C5629&lt;&gt;"", J5629&lt;&gt;""), HYPERLINK("#'" &amp; C5629 &amp; "'!" &amp; J5629, J5629), "")</f>
        <v/>
      </c>
    </row>
    <row r="5630">
      <c r="B5630" s="21">
        <f>IF(AND(C5630&lt;&gt;"", J5630&lt;&gt;""), HYPERLINK("#'" &amp; C5630 &amp; "'!" &amp; J5630, J5630), "")</f>
        <v/>
      </c>
    </row>
    <row r="5631">
      <c r="B5631" s="21">
        <f>IF(AND(C5631&lt;&gt;"", J5631&lt;&gt;""), HYPERLINK("#'" &amp; C5631 &amp; "'!" &amp; J5631, J5631), "")</f>
        <v/>
      </c>
    </row>
    <row r="5632">
      <c r="B5632" s="21">
        <f>IF(AND(C5632&lt;&gt;"", J5632&lt;&gt;""), HYPERLINK("#'" &amp; C5632 &amp; "'!" &amp; J5632, J5632), "")</f>
        <v/>
      </c>
    </row>
    <row r="5633">
      <c r="B5633" s="21">
        <f>IF(AND(C5633&lt;&gt;"", J5633&lt;&gt;""), HYPERLINK("#'" &amp; C5633 &amp; "'!" &amp; J5633, J5633), "")</f>
        <v/>
      </c>
    </row>
    <row r="5634">
      <c r="B5634" s="21">
        <f>IF(AND(C5634&lt;&gt;"", J5634&lt;&gt;""), HYPERLINK("#'" &amp; C5634 &amp; "'!" &amp; J5634, J5634), "")</f>
        <v/>
      </c>
    </row>
    <row r="5635">
      <c r="B5635" s="21">
        <f>IF(AND(C5635&lt;&gt;"", J5635&lt;&gt;""), HYPERLINK("#'" &amp; C5635 &amp; "'!" &amp; J5635, J5635), "")</f>
        <v/>
      </c>
    </row>
    <row r="5636">
      <c r="B5636" s="21">
        <f>IF(AND(C5636&lt;&gt;"", J5636&lt;&gt;""), HYPERLINK("#'" &amp; C5636 &amp; "'!" &amp; J5636, J5636), "")</f>
        <v/>
      </c>
    </row>
    <row r="5637">
      <c r="B5637" s="21">
        <f>IF(AND(C5637&lt;&gt;"", J5637&lt;&gt;""), HYPERLINK("#'" &amp; C5637 &amp; "'!" &amp; J5637, J5637), "")</f>
        <v/>
      </c>
    </row>
    <row r="5638">
      <c r="B5638" s="21">
        <f>IF(AND(C5638&lt;&gt;"", J5638&lt;&gt;""), HYPERLINK("#'" &amp; C5638 &amp; "'!" &amp; J5638, J5638), "")</f>
        <v/>
      </c>
    </row>
    <row r="5639">
      <c r="B5639" s="21">
        <f>IF(AND(C5639&lt;&gt;"", J5639&lt;&gt;""), HYPERLINK("#'" &amp; C5639 &amp; "'!" &amp; J5639, J5639), "")</f>
        <v/>
      </c>
    </row>
    <row r="5640">
      <c r="B5640" s="21">
        <f>IF(AND(C5640&lt;&gt;"", J5640&lt;&gt;""), HYPERLINK("#'" &amp; C5640 &amp; "'!" &amp; J5640, J5640), "")</f>
        <v/>
      </c>
    </row>
    <row r="5641">
      <c r="B5641" s="21">
        <f>IF(AND(C5641&lt;&gt;"", J5641&lt;&gt;""), HYPERLINK("#'" &amp; C5641 &amp; "'!" &amp; J5641, J5641), "")</f>
        <v/>
      </c>
    </row>
    <row r="5642">
      <c r="B5642" s="21">
        <f>IF(AND(C5642&lt;&gt;"", J5642&lt;&gt;""), HYPERLINK("#'" &amp; C5642 &amp; "'!" &amp; J5642, J5642), "")</f>
        <v/>
      </c>
    </row>
    <row r="5643">
      <c r="B5643" s="21">
        <f>IF(AND(C5643&lt;&gt;"", J5643&lt;&gt;""), HYPERLINK("#'" &amp; C5643 &amp; "'!" &amp; J5643, J5643), "")</f>
        <v/>
      </c>
    </row>
    <row r="5644">
      <c r="B5644" s="21">
        <f>IF(AND(C5644&lt;&gt;"", J5644&lt;&gt;""), HYPERLINK("#'" &amp; C5644 &amp; "'!" &amp; J5644, J5644), "")</f>
        <v/>
      </c>
    </row>
    <row r="5645">
      <c r="B5645" s="21">
        <f>IF(AND(C5645&lt;&gt;"", J5645&lt;&gt;""), HYPERLINK("#'" &amp; C5645 &amp; "'!" &amp; J5645, J5645), "")</f>
        <v/>
      </c>
    </row>
    <row r="5646">
      <c r="B5646" s="21">
        <f>IF(AND(C5646&lt;&gt;"", J5646&lt;&gt;""), HYPERLINK("#'" &amp; C5646 &amp; "'!" &amp; J5646, J5646), "")</f>
        <v/>
      </c>
    </row>
    <row r="5647">
      <c r="B5647" s="21">
        <f>IF(AND(C5647&lt;&gt;"", J5647&lt;&gt;""), HYPERLINK("#'" &amp; C5647 &amp; "'!" &amp; J5647, J5647), "")</f>
        <v/>
      </c>
    </row>
    <row r="5648">
      <c r="B5648" s="21">
        <f>IF(AND(C5648&lt;&gt;"", J5648&lt;&gt;""), HYPERLINK("#'" &amp; C5648 &amp; "'!" &amp; J5648, J5648), "")</f>
        <v/>
      </c>
    </row>
    <row r="5649">
      <c r="B5649" s="21">
        <f>IF(AND(C5649&lt;&gt;"", J5649&lt;&gt;""), HYPERLINK("#'" &amp; C5649 &amp; "'!" &amp; J5649, J5649), "")</f>
        <v/>
      </c>
    </row>
    <row r="5650">
      <c r="B5650" s="21">
        <f>IF(AND(C5650&lt;&gt;"", J5650&lt;&gt;""), HYPERLINK("#'" &amp; C5650 &amp; "'!" &amp; J5650, J5650), "")</f>
        <v/>
      </c>
    </row>
    <row r="5651">
      <c r="B5651" s="21">
        <f>IF(AND(C5651&lt;&gt;"", J5651&lt;&gt;""), HYPERLINK("#'" &amp; C5651 &amp; "'!" &amp; J5651, J5651), "")</f>
        <v/>
      </c>
    </row>
    <row r="5652">
      <c r="B5652" s="21">
        <f>IF(AND(C5652&lt;&gt;"", J5652&lt;&gt;""), HYPERLINK("#'" &amp; C5652 &amp; "'!" &amp; J5652, J5652), "")</f>
        <v/>
      </c>
    </row>
    <row r="5653">
      <c r="B5653" s="21">
        <f>IF(AND(C5653&lt;&gt;"", J5653&lt;&gt;""), HYPERLINK("#'" &amp; C5653 &amp; "'!" &amp; J5653, J5653), "")</f>
        <v/>
      </c>
    </row>
    <row r="5654">
      <c r="B5654" s="21">
        <f>IF(AND(C5654&lt;&gt;"", J5654&lt;&gt;""), HYPERLINK("#'" &amp; C5654 &amp; "'!" &amp; J5654, J5654), "")</f>
        <v/>
      </c>
    </row>
    <row r="5655">
      <c r="B5655" s="21">
        <f>IF(AND(C5655&lt;&gt;"", J5655&lt;&gt;""), HYPERLINK("#'" &amp; C5655 &amp; "'!" &amp; J5655, J5655), "")</f>
        <v/>
      </c>
    </row>
    <row r="5656">
      <c r="B5656" s="21">
        <f>IF(AND(C5656&lt;&gt;"", J5656&lt;&gt;""), HYPERLINK("#'" &amp; C5656 &amp; "'!" &amp; J5656, J5656), "")</f>
        <v/>
      </c>
    </row>
    <row r="5657">
      <c r="B5657" s="21">
        <f>IF(AND(C5657&lt;&gt;"", J5657&lt;&gt;""), HYPERLINK("#'" &amp; C5657 &amp; "'!" &amp; J5657, J5657), "")</f>
        <v/>
      </c>
    </row>
    <row r="5658">
      <c r="B5658" s="21">
        <f>IF(AND(C5658&lt;&gt;"", J5658&lt;&gt;""), HYPERLINK("#'" &amp; C5658 &amp; "'!" &amp; J5658, J5658), "")</f>
        <v/>
      </c>
    </row>
    <row r="5659">
      <c r="B5659" s="21">
        <f>IF(AND(C5659&lt;&gt;"", J5659&lt;&gt;""), HYPERLINK("#'" &amp; C5659 &amp; "'!" &amp; J5659, J5659), "")</f>
        <v/>
      </c>
    </row>
    <row r="5660">
      <c r="B5660" s="21">
        <f>IF(AND(C5660&lt;&gt;"", J5660&lt;&gt;""), HYPERLINK("#'" &amp; C5660 &amp; "'!" &amp; J5660, J5660), "")</f>
        <v/>
      </c>
    </row>
    <row r="5661">
      <c r="B5661" s="21">
        <f>IF(AND(C5661&lt;&gt;"", J5661&lt;&gt;""), HYPERLINK("#'" &amp; C5661 &amp; "'!" &amp; J5661, J5661), "")</f>
        <v/>
      </c>
    </row>
    <row r="5662">
      <c r="B5662" s="21">
        <f>IF(AND(C5662&lt;&gt;"", J5662&lt;&gt;""), HYPERLINK("#'" &amp; C5662 &amp; "'!" &amp; J5662, J5662), "")</f>
        <v/>
      </c>
    </row>
    <row r="5663">
      <c r="B5663" s="21">
        <f>IF(AND(C5663&lt;&gt;"", J5663&lt;&gt;""), HYPERLINK("#'" &amp; C5663 &amp; "'!" &amp; J5663, J5663), "")</f>
        <v/>
      </c>
    </row>
    <row r="5664">
      <c r="B5664" s="21">
        <f>IF(AND(C5664&lt;&gt;"", J5664&lt;&gt;""), HYPERLINK("#'" &amp; C5664 &amp; "'!" &amp; J5664, J5664), "")</f>
        <v/>
      </c>
    </row>
    <row r="5665">
      <c r="B5665" s="21">
        <f>IF(AND(C5665&lt;&gt;"", J5665&lt;&gt;""), HYPERLINK("#'" &amp; C5665 &amp; "'!" &amp; J5665, J5665), "")</f>
        <v/>
      </c>
    </row>
    <row r="5666">
      <c r="B5666" s="21">
        <f>IF(AND(C5666&lt;&gt;"", J5666&lt;&gt;""), HYPERLINK("#'" &amp; C5666 &amp; "'!" &amp; J5666, J5666), "")</f>
        <v/>
      </c>
    </row>
    <row r="5667">
      <c r="B5667" s="21">
        <f>IF(AND(C5667&lt;&gt;"", J5667&lt;&gt;""), HYPERLINK("#'" &amp; C5667 &amp; "'!" &amp; J5667, J5667), "")</f>
        <v/>
      </c>
    </row>
    <row r="5668">
      <c r="B5668" s="21">
        <f>IF(AND(C5668&lt;&gt;"", J5668&lt;&gt;""), HYPERLINK("#'" &amp; C5668 &amp; "'!" &amp; J5668, J5668), "")</f>
        <v/>
      </c>
    </row>
    <row r="5669">
      <c r="B5669" s="21">
        <f>IF(AND(C5669&lt;&gt;"", J5669&lt;&gt;""), HYPERLINK("#'" &amp; C5669 &amp; "'!" &amp; J5669, J5669), "")</f>
        <v/>
      </c>
    </row>
    <row r="5670">
      <c r="B5670" s="21">
        <f>IF(AND(C5670&lt;&gt;"", J5670&lt;&gt;""), HYPERLINK("#'" &amp; C5670 &amp; "'!" &amp; J5670, J5670), "")</f>
        <v/>
      </c>
    </row>
    <row r="5671">
      <c r="B5671" s="21">
        <f>IF(AND(C5671&lt;&gt;"", J5671&lt;&gt;""), HYPERLINK("#'" &amp; C5671 &amp; "'!" &amp; J5671, J5671), "")</f>
        <v/>
      </c>
    </row>
    <row r="5672">
      <c r="B5672" s="21">
        <f>IF(AND(C5672&lt;&gt;"", J5672&lt;&gt;""), HYPERLINK("#'" &amp; C5672 &amp; "'!" &amp; J5672, J5672), "")</f>
        <v/>
      </c>
    </row>
    <row r="5673">
      <c r="B5673" s="21">
        <f>IF(AND(C5673&lt;&gt;"", J5673&lt;&gt;""), HYPERLINK("#'" &amp; C5673 &amp; "'!" &amp; J5673, J5673), "")</f>
        <v/>
      </c>
    </row>
    <row r="5674">
      <c r="B5674" s="21">
        <f>IF(AND(C5674&lt;&gt;"", J5674&lt;&gt;""), HYPERLINK("#'" &amp; C5674 &amp; "'!" &amp; J5674, J5674), "")</f>
        <v/>
      </c>
    </row>
    <row r="5675">
      <c r="B5675" s="21">
        <f>IF(AND(C5675&lt;&gt;"", J5675&lt;&gt;""), HYPERLINK("#'" &amp; C5675 &amp; "'!" &amp; J5675, J5675), "")</f>
        <v/>
      </c>
    </row>
    <row r="5676">
      <c r="B5676" s="21">
        <f>IF(AND(C5676&lt;&gt;"", J5676&lt;&gt;""), HYPERLINK("#'" &amp; C5676 &amp; "'!" &amp; J5676, J5676), "")</f>
        <v/>
      </c>
    </row>
    <row r="5677">
      <c r="B5677" s="21">
        <f>IF(AND(C5677&lt;&gt;"", J5677&lt;&gt;""), HYPERLINK("#'" &amp; C5677 &amp; "'!" &amp; J5677, J5677), "")</f>
        <v/>
      </c>
    </row>
    <row r="5678">
      <c r="B5678" s="21">
        <f>IF(AND(C5678&lt;&gt;"", J5678&lt;&gt;""), HYPERLINK("#'" &amp; C5678 &amp; "'!" &amp; J5678, J5678), "")</f>
        <v/>
      </c>
    </row>
    <row r="5679">
      <c r="B5679" s="21">
        <f>IF(AND(C5679&lt;&gt;"", J5679&lt;&gt;""), HYPERLINK("#'" &amp; C5679 &amp; "'!" &amp; J5679, J5679), "")</f>
        <v/>
      </c>
    </row>
    <row r="5680">
      <c r="B5680" s="21">
        <f>IF(AND(C5680&lt;&gt;"", J5680&lt;&gt;""), HYPERLINK("#'" &amp; C5680 &amp; "'!" &amp; J5680, J5680), "")</f>
        <v/>
      </c>
    </row>
    <row r="5681">
      <c r="B5681" s="21">
        <f>IF(AND(C5681&lt;&gt;"", J5681&lt;&gt;""), HYPERLINK("#'" &amp; C5681 &amp; "'!" &amp; J5681, J5681), "")</f>
        <v/>
      </c>
    </row>
    <row r="5682">
      <c r="B5682" s="21">
        <f>IF(AND(C5682&lt;&gt;"", J5682&lt;&gt;""), HYPERLINK("#'" &amp; C5682 &amp; "'!" &amp; J5682, J5682), "")</f>
        <v/>
      </c>
    </row>
    <row r="5683">
      <c r="B5683" s="21">
        <f>IF(AND(C5683&lt;&gt;"", J5683&lt;&gt;""), HYPERLINK("#'" &amp; C5683 &amp; "'!" &amp; J5683, J5683), "")</f>
        <v/>
      </c>
    </row>
    <row r="5684">
      <c r="B5684" s="21">
        <f>IF(AND(C5684&lt;&gt;"", J5684&lt;&gt;""), HYPERLINK("#'" &amp; C5684 &amp; "'!" &amp; J5684, J5684), "")</f>
        <v/>
      </c>
    </row>
    <row r="5685">
      <c r="B5685" s="21">
        <f>IF(AND(C5685&lt;&gt;"", J5685&lt;&gt;""), HYPERLINK("#'" &amp; C5685 &amp; "'!" &amp; J5685, J5685), "")</f>
        <v/>
      </c>
    </row>
    <row r="5686">
      <c r="B5686" s="21">
        <f>IF(AND(C5686&lt;&gt;"", J5686&lt;&gt;""), HYPERLINK("#'" &amp; C5686 &amp; "'!" &amp; J5686, J5686), "")</f>
        <v/>
      </c>
    </row>
    <row r="5687">
      <c r="B5687" s="21">
        <f>IF(AND(C5687&lt;&gt;"", J5687&lt;&gt;""), HYPERLINK("#'" &amp; C5687 &amp; "'!" &amp; J5687, J5687), "")</f>
        <v/>
      </c>
    </row>
    <row r="5688">
      <c r="B5688" s="21">
        <f>IF(AND(C5688&lt;&gt;"", J5688&lt;&gt;""), HYPERLINK("#'" &amp; C5688 &amp; "'!" &amp; J5688, J5688), "")</f>
        <v/>
      </c>
    </row>
    <row r="5689">
      <c r="B5689" s="21">
        <f>IF(AND(C5689&lt;&gt;"", J5689&lt;&gt;""), HYPERLINK("#'" &amp; C5689 &amp; "'!" &amp; J5689, J5689), "")</f>
        <v/>
      </c>
    </row>
    <row r="5690">
      <c r="B5690" s="21">
        <f>IF(AND(C5690&lt;&gt;"", J5690&lt;&gt;""), HYPERLINK("#'" &amp; C5690 &amp; "'!" &amp; J5690, J5690), "")</f>
        <v/>
      </c>
    </row>
    <row r="5691">
      <c r="B5691" s="21">
        <f>IF(AND(C5691&lt;&gt;"", J5691&lt;&gt;""), HYPERLINK("#'" &amp; C5691 &amp; "'!" &amp; J5691, J5691), "")</f>
        <v/>
      </c>
    </row>
    <row r="5692">
      <c r="B5692" s="21">
        <f>IF(AND(C5692&lt;&gt;"", J5692&lt;&gt;""), HYPERLINK("#'" &amp; C5692 &amp; "'!" &amp; J5692, J5692), "")</f>
        <v/>
      </c>
    </row>
    <row r="5693">
      <c r="B5693" s="21">
        <f>IF(AND(C5693&lt;&gt;"", J5693&lt;&gt;""), HYPERLINK("#'" &amp; C5693 &amp; "'!" &amp; J5693, J5693), "")</f>
        <v/>
      </c>
    </row>
    <row r="5694">
      <c r="B5694" s="21">
        <f>IF(AND(C5694&lt;&gt;"", J5694&lt;&gt;""), HYPERLINK("#'" &amp; C5694 &amp; "'!" &amp; J5694, J5694), "")</f>
        <v/>
      </c>
    </row>
    <row r="5695">
      <c r="B5695" s="21">
        <f>IF(AND(C5695&lt;&gt;"", J5695&lt;&gt;""), HYPERLINK("#'" &amp; C5695 &amp; "'!" &amp; J5695, J5695), "")</f>
        <v/>
      </c>
    </row>
    <row r="5696">
      <c r="B5696" s="21">
        <f>IF(AND(C5696&lt;&gt;"", J5696&lt;&gt;""), HYPERLINK("#'" &amp; C5696 &amp; "'!" &amp; J5696, J5696), "")</f>
        <v/>
      </c>
    </row>
    <row r="5697">
      <c r="B5697" s="21">
        <f>IF(AND(C5697&lt;&gt;"", J5697&lt;&gt;""), HYPERLINK("#'" &amp; C5697 &amp; "'!" &amp; J5697, J5697), "")</f>
        <v/>
      </c>
    </row>
    <row r="5698">
      <c r="B5698" s="21">
        <f>IF(AND(C5698&lt;&gt;"", J5698&lt;&gt;""), HYPERLINK("#'" &amp; C5698 &amp; "'!" &amp; J5698, J5698), "")</f>
        <v/>
      </c>
    </row>
    <row r="5699">
      <c r="B5699" s="21">
        <f>IF(AND(C5699&lt;&gt;"", J5699&lt;&gt;""), HYPERLINK("#'" &amp; C5699 &amp; "'!" &amp; J5699, J5699), "")</f>
        <v/>
      </c>
    </row>
    <row r="5700">
      <c r="B5700" s="21">
        <f>IF(AND(C5700&lt;&gt;"", J5700&lt;&gt;""), HYPERLINK("#'" &amp; C5700 &amp; "'!" &amp; J5700, J5700), "")</f>
        <v/>
      </c>
    </row>
    <row r="5701">
      <c r="B5701" s="21">
        <f>IF(AND(C5701&lt;&gt;"", J5701&lt;&gt;""), HYPERLINK("#'" &amp; C5701 &amp; "'!" &amp; J5701, J5701), "")</f>
        <v/>
      </c>
    </row>
    <row r="5702">
      <c r="B5702" s="21">
        <f>IF(AND(C5702&lt;&gt;"", J5702&lt;&gt;""), HYPERLINK("#'" &amp; C5702 &amp; "'!" &amp; J5702, J5702), "")</f>
        <v/>
      </c>
    </row>
    <row r="5703">
      <c r="B5703" s="21">
        <f>IF(AND(C5703&lt;&gt;"", J5703&lt;&gt;""), HYPERLINK("#'" &amp; C5703 &amp; "'!" &amp; J5703, J5703), "")</f>
        <v/>
      </c>
    </row>
    <row r="5704">
      <c r="B5704" s="21">
        <f>IF(AND(C5704&lt;&gt;"", J5704&lt;&gt;""), HYPERLINK("#'" &amp; C5704 &amp; "'!" &amp; J5704, J5704), "")</f>
        <v/>
      </c>
    </row>
    <row r="5705">
      <c r="B5705" s="21">
        <f>IF(AND(C5705&lt;&gt;"", J5705&lt;&gt;""), HYPERLINK("#'" &amp; C5705 &amp; "'!" &amp; J5705, J5705), "")</f>
        <v/>
      </c>
    </row>
    <row r="5706">
      <c r="B5706" s="21">
        <f>IF(AND(C5706&lt;&gt;"", J5706&lt;&gt;""), HYPERLINK("#'" &amp; C5706 &amp; "'!" &amp; J5706, J5706), "")</f>
        <v/>
      </c>
    </row>
    <row r="5707">
      <c r="B5707" s="21">
        <f>IF(AND(C5707&lt;&gt;"", J5707&lt;&gt;""), HYPERLINK("#'" &amp; C5707 &amp; "'!" &amp; J5707, J5707), "")</f>
        <v/>
      </c>
    </row>
    <row r="5708">
      <c r="B5708" s="21">
        <f>IF(AND(C5708&lt;&gt;"", J5708&lt;&gt;""), HYPERLINK("#'" &amp; C5708 &amp; "'!" &amp; J5708, J5708), "")</f>
        <v/>
      </c>
    </row>
    <row r="5709">
      <c r="B5709" s="21">
        <f>IF(AND(C5709&lt;&gt;"", J5709&lt;&gt;""), HYPERLINK("#'" &amp; C5709 &amp; "'!" &amp; J5709, J5709), "")</f>
        <v/>
      </c>
    </row>
    <row r="5710">
      <c r="B5710" s="21">
        <f>IF(AND(C5710&lt;&gt;"", J5710&lt;&gt;""), HYPERLINK("#'" &amp; C5710 &amp; "'!" &amp; J5710, J5710), "")</f>
        <v/>
      </c>
    </row>
    <row r="5711">
      <c r="B5711" s="21">
        <f>IF(AND(C5711&lt;&gt;"", J5711&lt;&gt;""), HYPERLINK("#'" &amp; C5711 &amp; "'!" &amp; J5711, J5711), "")</f>
        <v/>
      </c>
    </row>
    <row r="5712">
      <c r="B5712" s="21">
        <f>IF(AND(C5712&lt;&gt;"", J5712&lt;&gt;""), HYPERLINK("#'" &amp; C5712 &amp; "'!" &amp; J5712, J5712), "")</f>
        <v/>
      </c>
    </row>
    <row r="5713">
      <c r="B5713" s="21">
        <f>IF(AND(C5713&lt;&gt;"", J5713&lt;&gt;""), HYPERLINK("#'" &amp; C5713 &amp; "'!" &amp; J5713, J5713), "")</f>
        <v/>
      </c>
    </row>
    <row r="5714">
      <c r="B5714" s="21">
        <f>IF(AND(C5714&lt;&gt;"", J5714&lt;&gt;""), HYPERLINK("#'" &amp; C5714 &amp; "'!" &amp; J5714, J5714), "")</f>
        <v/>
      </c>
    </row>
    <row r="5715">
      <c r="B5715" s="21">
        <f>IF(AND(C5715&lt;&gt;"", J5715&lt;&gt;""), HYPERLINK("#'" &amp; C5715 &amp; "'!" &amp; J5715, J5715), "")</f>
        <v/>
      </c>
    </row>
    <row r="5716">
      <c r="B5716" s="21">
        <f>IF(AND(C5716&lt;&gt;"", J5716&lt;&gt;""), HYPERLINK("#'" &amp; C5716 &amp; "'!" &amp; J5716, J5716), "")</f>
        <v/>
      </c>
    </row>
    <row r="5717">
      <c r="B5717" s="21">
        <f>IF(AND(C5717&lt;&gt;"", J5717&lt;&gt;""), HYPERLINK("#'" &amp; C5717 &amp; "'!" &amp; J5717, J5717), "")</f>
        <v/>
      </c>
    </row>
    <row r="5718">
      <c r="B5718" s="21">
        <f>IF(AND(C5718&lt;&gt;"", J5718&lt;&gt;""), HYPERLINK("#'" &amp; C5718 &amp; "'!" &amp; J5718, J5718), "")</f>
        <v/>
      </c>
    </row>
    <row r="5719">
      <c r="B5719" s="21">
        <f>IF(AND(C5719&lt;&gt;"", J5719&lt;&gt;""), HYPERLINK("#'" &amp; C5719 &amp; "'!" &amp; J5719, J5719), "")</f>
        <v/>
      </c>
    </row>
    <row r="5720">
      <c r="B5720" s="21">
        <f>IF(AND(C5720&lt;&gt;"", J5720&lt;&gt;""), HYPERLINK("#'" &amp; C5720 &amp; "'!" &amp; J5720, J5720), "")</f>
        <v/>
      </c>
    </row>
    <row r="5721">
      <c r="B5721" s="21">
        <f>IF(AND(C5721&lt;&gt;"", J5721&lt;&gt;""), HYPERLINK("#'" &amp; C5721 &amp; "'!" &amp; J5721, J5721), "")</f>
        <v/>
      </c>
    </row>
    <row r="5722">
      <c r="B5722" s="21">
        <f>IF(AND(C5722&lt;&gt;"", J5722&lt;&gt;""), HYPERLINK("#'" &amp; C5722 &amp; "'!" &amp; J5722, J5722), "")</f>
        <v/>
      </c>
    </row>
    <row r="5723">
      <c r="B5723" s="21">
        <f>IF(AND(C5723&lt;&gt;"", J5723&lt;&gt;""), HYPERLINK("#'" &amp; C5723 &amp; "'!" &amp; J5723, J5723), "")</f>
        <v/>
      </c>
    </row>
    <row r="5724">
      <c r="B5724" s="21">
        <f>IF(AND(C5724&lt;&gt;"", J5724&lt;&gt;""), HYPERLINK("#'" &amp; C5724 &amp; "'!" &amp; J5724, J5724), "")</f>
        <v/>
      </c>
    </row>
    <row r="5725">
      <c r="B5725" s="21">
        <f>IF(AND(C5725&lt;&gt;"", J5725&lt;&gt;""), HYPERLINK("#'" &amp; C5725 &amp; "'!" &amp; J5725, J5725), "")</f>
        <v/>
      </c>
    </row>
    <row r="5726">
      <c r="B5726" s="21">
        <f>IF(AND(C5726&lt;&gt;"", J5726&lt;&gt;""), HYPERLINK("#'" &amp; C5726 &amp; "'!" &amp; J5726, J5726), "")</f>
        <v/>
      </c>
    </row>
    <row r="5727">
      <c r="B5727" s="21">
        <f>IF(AND(C5727&lt;&gt;"", J5727&lt;&gt;""), HYPERLINK("#'" &amp; C5727 &amp; "'!" &amp; J5727, J5727), "")</f>
        <v/>
      </c>
    </row>
    <row r="5728">
      <c r="B5728" s="21">
        <f>IF(AND(C5728&lt;&gt;"", J5728&lt;&gt;""), HYPERLINK("#'" &amp; C5728 &amp; "'!" &amp; J5728, J5728), "")</f>
        <v/>
      </c>
    </row>
    <row r="5729">
      <c r="B5729" s="21">
        <f>IF(AND(C5729&lt;&gt;"", J5729&lt;&gt;""), HYPERLINK("#'" &amp; C5729 &amp; "'!" &amp; J5729, J5729), "")</f>
        <v/>
      </c>
    </row>
    <row r="5730">
      <c r="B5730" s="21">
        <f>IF(AND(C5730&lt;&gt;"", J5730&lt;&gt;""), HYPERLINK("#'" &amp; C5730 &amp; "'!" &amp; J5730, J5730), "")</f>
        <v/>
      </c>
    </row>
    <row r="5731">
      <c r="B5731" s="21">
        <f>IF(AND(C5731&lt;&gt;"", J5731&lt;&gt;""), HYPERLINK("#'" &amp; C5731 &amp; "'!" &amp; J5731, J5731), "")</f>
        <v/>
      </c>
    </row>
    <row r="5732">
      <c r="B5732" s="21">
        <f>IF(AND(C5732&lt;&gt;"", J5732&lt;&gt;""), HYPERLINK("#'" &amp; C5732 &amp; "'!" &amp; J5732, J5732), "")</f>
        <v/>
      </c>
    </row>
    <row r="5733">
      <c r="B5733" s="21">
        <f>IF(AND(C5733&lt;&gt;"", J5733&lt;&gt;""), HYPERLINK("#'" &amp; C5733 &amp; "'!" &amp; J5733, J5733), "")</f>
        <v/>
      </c>
    </row>
    <row r="5734">
      <c r="B5734" s="21">
        <f>IF(AND(C5734&lt;&gt;"", J5734&lt;&gt;""), HYPERLINK("#'" &amp; C5734 &amp; "'!" &amp; J5734, J5734), "")</f>
        <v/>
      </c>
    </row>
    <row r="5735">
      <c r="B5735" s="21">
        <f>IF(AND(C5735&lt;&gt;"", J5735&lt;&gt;""), HYPERLINK("#'" &amp; C5735 &amp; "'!" &amp; J5735, J5735), "")</f>
        <v/>
      </c>
    </row>
    <row r="5736">
      <c r="B5736" s="21">
        <f>IF(AND(C5736&lt;&gt;"", J5736&lt;&gt;""), HYPERLINK("#'" &amp; C5736 &amp; "'!" &amp; J5736, J5736), "")</f>
        <v/>
      </c>
    </row>
    <row r="5737">
      <c r="B5737" s="21">
        <f>IF(AND(C5737&lt;&gt;"", J5737&lt;&gt;""), HYPERLINK("#'" &amp; C5737 &amp; "'!" &amp; J5737, J5737), "")</f>
        <v/>
      </c>
    </row>
    <row r="5738">
      <c r="B5738" s="21">
        <f>IF(AND(C5738&lt;&gt;"", J5738&lt;&gt;""), HYPERLINK("#'" &amp; C5738 &amp; "'!" &amp; J5738, J5738), "")</f>
        <v/>
      </c>
    </row>
    <row r="5739">
      <c r="B5739" s="21">
        <f>IF(AND(C5739&lt;&gt;"", J5739&lt;&gt;""), HYPERLINK("#'" &amp; C5739 &amp; "'!" &amp; J5739, J5739), "")</f>
        <v/>
      </c>
    </row>
    <row r="5740">
      <c r="B5740" s="21">
        <f>IF(AND(C5740&lt;&gt;"", J5740&lt;&gt;""), HYPERLINK("#'" &amp; C5740 &amp; "'!" &amp; J5740, J5740), "")</f>
        <v/>
      </c>
    </row>
    <row r="5741">
      <c r="B5741" s="21">
        <f>IF(AND(C5741&lt;&gt;"", J5741&lt;&gt;""), HYPERLINK("#'" &amp; C5741 &amp; "'!" &amp; J5741, J5741), "")</f>
        <v/>
      </c>
    </row>
    <row r="5742">
      <c r="B5742" s="21">
        <f>IF(AND(C5742&lt;&gt;"", J5742&lt;&gt;""), HYPERLINK("#'" &amp; C5742 &amp; "'!" &amp; J5742, J5742), "")</f>
        <v/>
      </c>
    </row>
    <row r="5743">
      <c r="B5743" s="21">
        <f>IF(AND(C5743&lt;&gt;"", J5743&lt;&gt;""), HYPERLINK("#'" &amp; C5743 &amp; "'!" &amp; J5743, J5743), "")</f>
        <v/>
      </c>
    </row>
    <row r="5744">
      <c r="B5744" s="21">
        <f>IF(AND(C5744&lt;&gt;"", J5744&lt;&gt;""), HYPERLINK("#'" &amp; C5744 &amp; "'!" &amp; J5744, J5744), "")</f>
        <v/>
      </c>
    </row>
    <row r="5745">
      <c r="B5745" s="21">
        <f>IF(AND(C5745&lt;&gt;"", J5745&lt;&gt;""), HYPERLINK("#'" &amp; C5745 &amp; "'!" &amp; J5745, J5745), "")</f>
        <v/>
      </c>
    </row>
    <row r="5746">
      <c r="B5746" s="21">
        <f>IF(AND(C5746&lt;&gt;"", J5746&lt;&gt;""), HYPERLINK("#'" &amp; C5746 &amp; "'!" &amp; J5746, J5746), "")</f>
        <v/>
      </c>
    </row>
    <row r="5747">
      <c r="B5747" s="21">
        <f>IF(AND(C5747&lt;&gt;"", J5747&lt;&gt;""), HYPERLINK("#'" &amp; C5747 &amp; "'!" &amp; J5747, J5747), "")</f>
        <v/>
      </c>
    </row>
    <row r="5748">
      <c r="B5748" s="21">
        <f>IF(AND(C5748&lt;&gt;"", J5748&lt;&gt;""), HYPERLINK("#'" &amp; C5748 &amp; "'!" &amp; J5748, J5748), "")</f>
        <v/>
      </c>
    </row>
    <row r="5749">
      <c r="B5749" s="21">
        <f>IF(AND(C5749&lt;&gt;"", J5749&lt;&gt;""), HYPERLINK("#'" &amp; C5749 &amp; "'!" &amp; J5749, J5749), "")</f>
        <v/>
      </c>
    </row>
    <row r="5750">
      <c r="B5750" s="21">
        <f>IF(AND(C5750&lt;&gt;"", J5750&lt;&gt;""), HYPERLINK("#'" &amp; C5750 &amp; "'!" &amp; J5750, J5750), "")</f>
        <v/>
      </c>
    </row>
    <row r="5751">
      <c r="B5751" s="21">
        <f>IF(AND(C5751&lt;&gt;"", J5751&lt;&gt;""), HYPERLINK("#'" &amp; C5751 &amp; "'!" &amp; J5751, J5751), "")</f>
        <v/>
      </c>
    </row>
    <row r="5752">
      <c r="B5752" s="21">
        <f>IF(AND(C5752&lt;&gt;"", J5752&lt;&gt;""), HYPERLINK("#'" &amp; C5752 &amp; "'!" &amp; J5752, J5752), "")</f>
        <v/>
      </c>
    </row>
    <row r="5753">
      <c r="B5753" s="21">
        <f>IF(AND(C5753&lt;&gt;"", J5753&lt;&gt;""), HYPERLINK("#'" &amp; C5753 &amp; "'!" &amp; J5753, J5753), "")</f>
        <v/>
      </c>
    </row>
    <row r="5754">
      <c r="B5754" s="21">
        <f>IF(AND(C5754&lt;&gt;"", J5754&lt;&gt;""), HYPERLINK("#'" &amp; C5754 &amp; "'!" &amp; J5754, J5754), "")</f>
        <v/>
      </c>
    </row>
    <row r="5755">
      <c r="B5755" s="21">
        <f>IF(AND(C5755&lt;&gt;"", J5755&lt;&gt;""), HYPERLINK("#'" &amp; C5755 &amp; "'!" &amp; J5755, J5755), "")</f>
        <v/>
      </c>
    </row>
    <row r="5756">
      <c r="B5756" s="21">
        <f>IF(AND(C5756&lt;&gt;"", J5756&lt;&gt;""), HYPERLINK("#'" &amp; C5756 &amp; "'!" &amp; J5756, J5756), "")</f>
        <v/>
      </c>
    </row>
    <row r="5757">
      <c r="B5757" s="21">
        <f>IF(AND(C5757&lt;&gt;"", J5757&lt;&gt;""), HYPERLINK("#'" &amp; C5757 &amp; "'!" &amp; J5757, J5757), "")</f>
        <v/>
      </c>
    </row>
    <row r="5758">
      <c r="B5758" s="21">
        <f>IF(AND(C5758&lt;&gt;"", J5758&lt;&gt;""), HYPERLINK("#'" &amp; C5758 &amp; "'!" &amp; J5758, J5758), "")</f>
        <v/>
      </c>
    </row>
    <row r="5759">
      <c r="B5759" s="21">
        <f>IF(AND(C5759&lt;&gt;"", J5759&lt;&gt;""), HYPERLINK("#'" &amp; C5759 &amp; "'!" &amp; J5759, J5759), "")</f>
        <v/>
      </c>
    </row>
    <row r="5760">
      <c r="B5760" s="21">
        <f>IF(AND(C5760&lt;&gt;"", J5760&lt;&gt;""), HYPERLINK("#'" &amp; C5760 &amp; "'!" &amp; J5760, J5760), "")</f>
        <v/>
      </c>
    </row>
    <row r="5761">
      <c r="B5761" s="21">
        <f>IF(AND(C5761&lt;&gt;"", J5761&lt;&gt;""), HYPERLINK("#'" &amp; C5761 &amp; "'!" &amp; J5761, J5761), "")</f>
        <v/>
      </c>
    </row>
    <row r="5762">
      <c r="B5762" s="21">
        <f>IF(AND(C5762&lt;&gt;"", J5762&lt;&gt;""), HYPERLINK("#'" &amp; C5762 &amp; "'!" &amp; J5762, J5762), "")</f>
        <v/>
      </c>
    </row>
    <row r="5763">
      <c r="B5763" s="21">
        <f>IF(AND(C5763&lt;&gt;"", J5763&lt;&gt;""), HYPERLINK("#'" &amp; C5763 &amp; "'!" &amp; J5763, J5763), "")</f>
        <v/>
      </c>
    </row>
    <row r="5764">
      <c r="B5764" s="21">
        <f>IF(AND(C5764&lt;&gt;"", J5764&lt;&gt;""), HYPERLINK("#'" &amp; C5764 &amp; "'!" &amp; J5764, J5764), "")</f>
        <v/>
      </c>
    </row>
    <row r="5765">
      <c r="B5765" s="21">
        <f>IF(AND(C5765&lt;&gt;"", J5765&lt;&gt;""), HYPERLINK("#'" &amp; C5765 &amp; "'!" &amp; J5765, J5765), "")</f>
        <v/>
      </c>
    </row>
    <row r="5766">
      <c r="B5766" s="21">
        <f>IF(AND(C5766&lt;&gt;"", J5766&lt;&gt;""), HYPERLINK("#'" &amp; C5766 &amp; "'!" &amp; J5766, J5766), "")</f>
        <v/>
      </c>
    </row>
    <row r="5767">
      <c r="B5767" s="21">
        <f>IF(AND(C5767&lt;&gt;"", J5767&lt;&gt;""), HYPERLINK("#'" &amp; C5767 &amp; "'!" &amp; J5767, J5767), "")</f>
        <v/>
      </c>
    </row>
    <row r="5768">
      <c r="B5768" s="21">
        <f>IF(AND(C5768&lt;&gt;"", J5768&lt;&gt;""), HYPERLINK("#'" &amp; C5768 &amp; "'!" &amp; J5768, J5768), "")</f>
        <v/>
      </c>
    </row>
    <row r="5769">
      <c r="B5769" s="21">
        <f>IF(AND(C5769&lt;&gt;"", J5769&lt;&gt;""), HYPERLINK("#'" &amp; C5769 &amp; "'!" &amp; J5769, J5769), "")</f>
        <v/>
      </c>
    </row>
    <row r="5770">
      <c r="B5770" s="21">
        <f>IF(AND(C5770&lt;&gt;"", J5770&lt;&gt;""), HYPERLINK("#'" &amp; C5770 &amp; "'!" &amp; J5770, J5770), "")</f>
        <v/>
      </c>
    </row>
    <row r="5771">
      <c r="B5771" s="21">
        <f>IF(AND(C5771&lt;&gt;"", J5771&lt;&gt;""), HYPERLINK("#'" &amp; C5771 &amp; "'!" &amp; J5771, J5771), "")</f>
        <v/>
      </c>
    </row>
    <row r="5772">
      <c r="B5772" s="21">
        <f>IF(AND(C5772&lt;&gt;"", J5772&lt;&gt;""), HYPERLINK("#'" &amp; C5772 &amp; "'!" &amp; J5772, J5772), "")</f>
        <v/>
      </c>
    </row>
    <row r="5773">
      <c r="B5773" s="21">
        <f>IF(AND(C5773&lt;&gt;"", J5773&lt;&gt;""), HYPERLINK("#'" &amp; C5773 &amp; "'!" &amp; J5773, J5773), "")</f>
        <v/>
      </c>
    </row>
    <row r="5774">
      <c r="B5774" s="21">
        <f>IF(AND(C5774&lt;&gt;"", J5774&lt;&gt;""), HYPERLINK("#'" &amp; C5774 &amp; "'!" &amp; J5774, J5774), "")</f>
        <v/>
      </c>
    </row>
    <row r="5775">
      <c r="B5775" s="21">
        <f>IF(AND(C5775&lt;&gt;"", J5775&lt;&gt;""), HYPERLINK("#'" &amp; C5775 &amp; "'!" &amp; J5775, J5775), "")</f>
        <v/>
      </c>
    </row>
    <row r="5776">
      <c r="B5776" s="21">
        <f>IF(AND(C5776&lt;&gt;"", J5776&lt;&gt;""), HYPERLINK("#'" &amp; C5776 &amp; "'!" &amp; J5776, J5776), "")</f>
        <v/>
      </c>
    </row>
    <row r="5777">
      <c r="B5777" s="21">
        <f>IF(AND(C5777&lt;&gt;"", J5777&lt;&gt;""), HYPERLINK("#'" &amp; C5777 &amp; "'!" &amp; J5777, J5777), "")</f>
        <v/>
      </c>
    </row>
    <row r="5778">
      <c r="B5778" s="21">
        <f>IF(AND(C5778&lt;&gt;"", J5778&lt;&gt;""), HYPERLINK("#'" &amp; C5778 &amp; "'!" &amp; J5778, J5778), "")</f>
        <v/>
      </c>
    </row>
    <row r="5779">
      <c r="B5779" s="21">
        <f>IF(AND(C5779&lt;&gt;"", J5779&lt;&gt;""), HYPERLINK("#'" &amp; C5779 &amp; "'!" &amp; J5779, J5779), "")</f>
        <v/>
      </c>
    </row>
    <row r="5780">
      <c r="B5780" s="21">
        <f>IF(AND(C5780&lt;&gt;"", J5780&lt;&gt;""), HYPERLINK("#'" &amp; C5780 &amp; "'!" &amp; J5780, J5780), "")</f>
        <v/>
      </c>
    </row>
    <row r="5781">
      <c r="B5781" s="21">
        <f>IF(AND(C5781&lt;&gt;"", J5781&lt;&gt;""), HYPERLINK("#'" &amp; C5781 &amp; "'!" &amp; J5781, J5781), "")</f>
        <v/>
      </c>
    </row>
    <row r="5782">
      <c r="B5782" s="21">
        <f>IF(AND(C5782&lt;&gt;"", J5782&lt;&gt;""), HYPERLINK("#'" &amp; C5782 &amp; "'!" &amp; J5782, J5782), "")</f>
        <v/>
      </c>
    </row>
    <row r="5783">
      <c r="B5783" s="21">
        <f>IF(AND(C5783&lt;&gt;"", J5783&lt;&gt;""), HYPERLINK("#'" &amp; C5783 &amp; "'!" &amp; J5783, J5783), "")</f>
        <v/>
      </c>
    </row>
    <row r="5784">
      <c r="B5784" s="21">
        <f>IF(AND(C5784&lt;&gt;"", J5784&lt;&gt;""), HYPERLINK("#'" &amp; C5784 &amp; "'!" &amp; J5784, J5784), "")</f>
        <v/>
      </c>
    </row>
    <row r="5785">
      <c r="B5785" s="21">
        <f>IF(AND(C5785&lt;&gt;"", J5785&lt;&gt;""), HYPERLINK("#'" &amp; C5785 &amp; "'!" &amp; J5785, J5785), "")</f>
        <v/>
      </c>
    </row>
    <row r="5786">
      <c r="B5786" s="21">
        <f>IF(AND(C5786&lt;&gt;"", J5786&lt;&gt;""), HYPERLINK("#'" &amp; C5786 &amp; "'!" &amp; J5786, J5786), "")</f>
        <v/>
      </c>
    </row>
    <row r="5787">
      <c r="B5787" s="21">
        <f>IF(AND(C5787&lt;&gt;"", J5787&lt;&gt;""), HYPERLINK("#'" &amp; C5787 &amp; "'!" &amp; J5787, J5787), "")</f>
        <v/>
      </c>
    </row>
    <row r="5788">
      <c r="B5788" s="21">
        <f>IF(AND(C5788&lt;&gt;"", J5788&lt;&gt;""), HYPERLINK("#'" &amp; C5788 &amp; "'!" &amp; J5788, J5788), "")</f>
        <v/>
      </c>
    </row>
    <row r="5789">
      <c r="B5789" s="21">
        <f>IF(AND(C5789&lt;&gt;"", J5789&lt;&gt;""), HYPERLINK("#'" &amp; C5789 &amp; "'!" &amp; J5789, J5789), "")</f>
        <v/>
      </c>
    </row>
    <row r="5790">
      <c r="B5790" s="21">
        <f>IF(AND(C5790&lt;&gt;"", J5790&lt;&gt;""), HYPERLINK("#'" &amp; C5790 &amp; "'!" &amp; J5790, J5790), "")</f>
        <v/>
      </c>
    </row>
    <row r="5791">
      <c r="B5791" s="21">
        <f>IF(AND(C5791&lt;&gt;"", J5791&lt;&gt;""), HYPERLINK("#'" &amp; C5791 &amp; "'!" &amp; J5791, J5791), "")</f>
        <v/>
      </c>
    </row>
    <row r="5792">
      <c r="B5792" s="21">
        <f>IF(AND(C5792&lt;&gt;"", J5792&lt;&gt;""), HYPERLINK("#'" &amp; C5792 &amp; "'!" &amp; J5792, J5792), "")</f>
        <v/>
      </c>
    </row>
    <row r="5793">
      <c r="B5793" s="21">
        <f>IF(AND(C5793&lt;&gt;"", J5793&lt;&gt;""), HYPERLINK("#'" &amp; C5793 &amp; "'!" &amp; J5793, J5793), "")</f>
        <v/>
      </c>
    </row>
    <row r="5794">
      <c r="B5794" s="21">
        <f>IF(AND(C5794&lt;&gt;"", J5794&lt;&gt;""), HYPERLINK("#'" &amp; C5794 &amp; "'!" &amp; J5794, J5794), "")</f>
        <v/>
      </c>
    </row>
    <row r="5795">
      <c r="B5795" s="21">
        <f>IF(AND(C5795&lt;&gt;"", J5795&lt;&gt;""), HYPERLINK("#'" &amp; C5795 &amp; "'!" &amp; J5795, J5795), "")</f>
        <v/>
      </c>
    </row>
    <row r="5796">
      <c r="B5796" s="21">
        <f>IF(AND(C5796&lt;&gt;"", J5796&lt;&gt;""), HYPERLINK("#'" &amp; C5796 &amp; "'!" &amp; J5796, J5796), "")</f>
        <v/>
      </c>
    </row>
    <row r="5797">
      <c r="B5797" s="21">
        <f>IF(AND(C5797&lt;&gt;"", J5797&lt;&gt;""), HYPERLINK("#'" &amp; C5797 &amp; "'!" &amp; J5797, J5797), "")</f>
        <v/>
      </c>
    </row>
    <row r="5798">
      <c r="B5798" s="21">
        <f>IF(AND(C5798&lt;&gt;"", J5798&lt;&gt;""), HYPERLINK("#'" &amp; C5798 &amp; "'!" &amp; J5798, J5798), "")</f>
        <v/>
      </c>
    </row>
    <row r="5799">
      <c r="B5799" s="21">
        <f>IF(AND(C5799&lt;&gt;"", J5799&lt;&gt;""), HYPERLINK("#'" &amp; C5799 &amp; "'!" &amp; J5799, J5799), "")</f>
        <v/>
      </c>
    </row>
    <row r="5800">
      <c r="B5800" s="21">
        <f>IF(AND(C5800&lt;&gt;"", J5800&lt;&gt;""), HYPERLINK("#'" &amp; C5800 &amp; "'!" &amp; J5800, J5800), "")</f>
        <v/>
      </c>
    </row>
    <row r="5801">
      <c r="B5801" s="21">
        <f>IF(AND(C5801&lt;&gt;"", J5801&lt;&gt;""), HYPERLINK("#'" &amp; C5801 &amp; "'!" &amp; J5801, J5801), "")</f>
        <v/>
      </c>
    </row>
    <row r="5802">
      <c r="B5802" s="21">
        <f>IF(AND(C5802&lt;&gt;"", J5802&lt;&gt;""), HYPERLINK("#'" &amp; C5802 &amp; "'!" &amp; J5802, J5802), "")</f>
        <v/>
      </c>
    </row>
    <row r="5803">
      <c r="B5803" s="21">
        <f>IF(AND(C5803&lt;&gt;"", J5803&lt;&gt;""), HYPERLINK("#'" &amp; C5803 &amp; "'!" &amp; J5803, J5803), "")</f>
        <v/>
      </c>
    </row>
    <row r="5804">
      <c r="B5804" s="21">
        <f>IF(AND(C5804&lt;&gt;"", J5804&lt;&gt;""), HYPERLINK("#'" &amp; C5804 &amp; "'!" &amp; J5804, J5804), "")</f>
        <v/>
      </c>
    </row>
    <row r="5805">
      <c r="B5805" s="21">
        <f>IF(AND(C5805&lt;&gt;"", J5805&lt;&gt;""), HYPERLINK("#'" &amp; C5805 &amp; "'!" &amp; J5805, J5805), "")</f>
        <v/>
      </c>
    </row>
    <row r="5806">
      <c r="B5806" s="21">
        <f>IF(AND(C5806&lt;&gt;"", J5806&lt;&gt;""), HYPERLINK("#'" &amp; C5806 &amp; "'!" &amp; J5806, J5806), "")</f>
        <v/>
      </c>
    </row>
    <row r="5807">
      <c r="B5807" s="21">
        <f>IF(AND(C5807&lt;&gt;"", J5807&lt;&gt;""), HYPERLINK("#'" &amp; C5807 &amp; "'!" &amp; J5807, J5807), "")</f>
        <v/>
      </c>
    </row>
    <row r="5808">
      <c r="B5808" s="21">
        <f>IF(AND(C5808&lt;&gt;"", J5808&lt;&gt;""), HYPERLINK("#'" &amp; C5808 &amp; "'!" &amp; J5808, J5808), "")</f>
        <v/>
      </c>
    </row>
    <row r="5809">
      <c r="B5809" s="21">
        <f>IF(AND(C5809&lt;&gt;"", J5809&lt;&gt;""), HYPERLINK("#'" &amp; C5809 &amp; "'!" &amp; J5809, J5809), "")</f>
        <v/>
      </c>
    </row>
    <row r="5810">
      <c r="B5810" s="21">
        <f>IF(AND(C5810&lt;&gt;"", J5810&lt;&gt;""), HYPERLINK("#'" &amp; C5810 &amp; "'!" &amp; J5810, J5810), "")</f>
        <v/>
      </c>
    </row>
    <row r="5811">
      <c r="B5811" s="21">
        <f>IF(AND(C5811&lt;&gt;"", J5811&lt;&gt;""), HYPERLINK("#'" &amp; C5811 &amp; "'!" &amp; J5811, J5811), "")</f>
        <v/>
      </c>
    </row>
    <row r="5812">
      <c r="B5812" s="21">
        <f>IF(AND(C5812&lt;&gt;"", J5812&lt;&gt;""), HYPERLINK("#'" &amp; C5812 &amp; "'!" &amp; J5812, J5812), "")</f>
        <v/>
      </c>
    </row>
    <row r="5813">
      <c r="B5813" s="21">
        <f>IF(AND(C5813&lt;&gt;"", J5813&lt;&gt;""), HYPERLINK("#'" &amp; C5813 &amp; "'!" &amp; J5813, J5813), "")</f>
        <v/>
      </c>
    </row>
    <row r="5814">
      <c r="B5814" s="21">
        <f>IF(AND(C5814&lt;&gt;"", J5814&lt;&gt;""), HYPERLINK("#'" &amp; C5814 &amp; "'!" &amp; J5814, J5814), "")</f>
        <v/>
      </c>
    </row>
    <row r="5815">
      <c r="B5815" s="21">
        <f>IF(AND(C5815&lt;&gt;"", J5815&lt;&gt;""), HYPERLINK("#'" &amp; C5815 &amp; "'!" &amp; J5815, J5815), "")</f>
        <v/>
      </c>
    </row>
    <row r="5816">
      <c r="B5816" s="21">
        <f>IF(AND(C5816&lt;&gt;"", J5816&lt;&gt;""), HYPERLINK("#'" &amp; C5816 &amp; "'!" &amp; J5816, J5816), "")</f>
        <v/>
      </c>
    </row>
    <row r="5817">
      <c r="B5817" s="21">
        <f>IF(AND(C5817&lt;&gt;"", J5817&lt;&gt;""), HYPERLINK("#'" &amp; C5817 &amp; "'!" &amp; J5817, J5817), "")</f>
        <v/>
      </c>
    </row>
    <row r="5818">
      <c r="B5818" s="21">
        <f>IF(AND(C5818&lt;&gt;"", J5818&lt;&gt;""), HYPERLINK("#'" &amp; C5818 &amp; "'!" &amp; J5818, J5818), "")</f>
        <v/>
      </c>
    </row>
    <row r="5819">
      <c r="B5819" s="21">
        <f>IF(AND(C5819&lt;&gt;"", J5819&lt;&gt;""), HYPERLINK("#'" &amp; C5819 &amp; "'!" &amp; J5819, J5819), "")</f>
        <v/>
      </c>
    </row>
    <row r="5820">
      <c r="B5820" s="21">
        <f>IF(AND(C5820&lt;&gt;"", J5820&lt;&gt;""), HYPERLINK("#'" &amp; C5820 &amp; "'!" &amp; J5820, J5820), "")</f>
        <v/>
      </c>
    </row>
    <row r="5821">
      <c r="B5821" s="21">
        <f>IF(AND(C5821&lt;&gt;"", J5821&lt;&gt;""), HYPERLINK("#'" &amp; C5821 &amp; "'!" &amp; J5821, J5821), "")</f>
        <v/>
      </c>
    </row>
    <row r="5822">
      <c r="B5822" s="21">
        <f>IF(AND(C5822&lt;&gt;"", J5822&lt;&gt;""), HYPERLINK("#'" &amp; C5822 &amp; "'!" &amp; J5822, J5822), "")</f>
        <v/>
      </c>
    </row>
    <row r="5823">
      <c r="B5823" s="21">
        <f>IF(AND(C5823&lt;&gt;"", J5823&lt;&gt;""), HYPERLINK("#'" &amp; C5823 &amp; "'!" &amp; J5823, J5823), "")</f>
        <v/>
      </c>
    </row>
    <row r="5824">
      <c r="B5824" s="21">
        <f>IF(AND(C5824&lt;&gt;"", J5824&lt;&gt;""), HYPERLINK("#'" &amp; C5824 &amp; "'!" &amp; J5824, J5824), "")</f>
        <v/>
      </c>
    </row>
    <row r="5825">
      <c r="B5825" s="21">
        <f>IF(AND(C5825&lt;&gt;"", J5825&lt;&gt;""), HYPERLINK("#'" &amp; C5825 &amp; "'!" &amp; J5825, J5825), "")</f>
        <v/>
      </c>
    </row>
    <row r="5826">
      <c r="B5826" s="21">
        <f>IF(AND(C5826&lt;&gt;"", J5826&lt;&gt;""), HYPERLINK("#'" &amp; C5826 &amp; "'!" &amp; J5826, J5826), "")</f>
        <v/>
      </c>
    </row>
    <row r="5827">
      <c r="B5827" s="21">
        <f>IF(AND(C5827&lt;&gt;"", J5827&lt;&gt;""), HYPERLINK("#'" &amp; C5827 &amp; "'!" &amp; J5827, J5827), "")</f>
        <v/>
      </c>
    </row>
    <row r="5828">
      <c r="B5828" s="21">
        <f>IF(AND(C5828&lt;&gt;"", J5828&lt;&gt;""), HYPERLINK("#'" &amp; C5828 &amp; "'!" &amp; J5828, J5828), "")</f>
        <v/>
      </c>
    </row>
    <row r="5829">
      <c r="B5829" s="21">
        <f>IF(AND(C5829&lt;&gt;"", J5829&lt;&gt;""), HYPERLINK("#'" &amp; C5829 &amp; "'!" &amp; J5829, J5829), "")</f>
        <v/>
      </c>
    </row>
    <row r="5830">
      <c r="B5830" s="21">
        <f>IF(AND(C5830&lt;&gt;"", J5830&lt;&gt;""), HYPERLINK("#'" &amp; C5830 &amp; "'!" &amp; J5830, J5830), "")</f>
        <v/>
      </c>
    </row>
    <row r="5831">
      <c r="B5831" s="21">
        <f>IF(AND(C5831&lt;&gt;"", J5831&lt;&gt;""), HYPERLINK("#'" &amp; C5831 &amp; "'!" &amp; J5831, J5831), "")</f>
        <v/>
      </c>
    </row>
    <row r="5832">
      <c r="B5832" s="21">
        <f>IF(AND(C5832&lt;&gt;"", J5832&lt;&gt;""), HYPERLINK("#'" &amp; C5832 &amp; "'!" &amp; J5832, J5832), "")</f>
        <v/>
      </c>
    </row>
    <row r="5833">
      <c r="B5833" s="21">
        <f>IF(AND(C5833&lt;&gt;"", J5833&lt;&gt;""), HYPERLINK("#'" &amp; C5833 &amp; "'!" &amp; J5833, J5833), "")</f>
        <v/>
      </c>
    </row>
    <row r="5834">
      <c r="B5834" s="21">
        <f>IF(AND(C5834&lt;&gt;"", J5834&lt;&gt;""), HYPERLINK("#'" &amp; C5834 &amp; "'!" &amp; J5834, J5834), "")</f>
        <v/>
      </c>
    </row>
    <row r="5835">
      <c r="B5835" s="21">
        <f>IF(AND(C5835&lt;&gt;"", J5835&lt;&gt;""), HYPERLINK("#'" &amp; C5835 &amp; "'!" &amp; J5835, J5835), "")</f>
        <v/>
      </c>
    </row>
    <row r="5836">
      <c r="B5836" s="21">
        <f>IF(AND(C5836&lt;&gt;"", J5836&lt;&gt;""), HYPERLINK("#'" &amp; C5836 &amp; "'!" &amp; J5836, J5836), "")</f>
        <v/>
      </c>
    </row>
    <row r="5837">
      <c r="B5837" s="21">
        <f>IF(AND(C5837&lt;&gt;"", J5837&lt;&gt;""), HYPERLINK("#'" &amp; C5837 &amp; "'!" &amp; J5837, J5837), "")</f>
        <v/>
      </c>
    </row>
    <row r="5838">
      <c r="B5838" s="21">
        <f>IF(AND(C5838&lt;&gt;"", J5838&lt;&gt;""), HYPERLINK("#'" &amp; C5838 &amp; "'!" &amp; J5838, J5838), "")</f>
        <v/>
      </c>
    </row>
    <row r="5839">
      <c r="B5839" s="21">
        <f>IF(AND(C5839&lt;&gt;"", J5839&lt;&gt;""), HYPERLINK("#'" &amp; C5839 &amp; "'!" &amp; J5839, J5839), "")</f>
        <v/>
      </c>
    </row>
    <row r="5840">
      <c r="B5840" s="21">
        <f>IF(AND(C5840&lt;&gt;"", J5840&lt;&gt;""), HYPERLINK("#'" &amp; C5840 &amp; "'!" &amp; J5840, J5840), "")</f>
        <v/>
      </c>
    </row>
    <row r="5841">
      <c r="B5841" s="21">
        <f>IF(AND(C5841&lt;&gt;"", J5841&lt;&gt;""), HYPERLINK("#'" &amp; C5841 &amp; "'!" &amp; J5841, J5841), "")</f>
        <v/>
      </c>
    </row>
    <row r="5842">
      <c r="B5842" s="21">
        <f>IF(AND(C5842&lt;&gt;"", J5842&lt;&gt;""), HYPERLINK("#'" &amp; C5842 &amp; "'!" &amp; J5842, J5842), "")</f>
        <v/>
      </c>
    </row>
    <row r="5843">
      <c r="B5843" s="21">
        <f>IF(AND(C5843&lt;&gt;"", J5843&lt;&gt;""), HYPERLINK("#'" &amp; C5843 &amp; "'!" &amp; J5843, J5843), "")</f>
        <v/>
      </c>
    </row>
    <row r="5844">
      <c r="B5844" s="21">
        <f>IF(AND(C5844&lt;&gt;"", J5844&lt;&gt;""), HYPERLINK("#'" &amp; C5844 &amp; "'!" &amp; J5844, J5844), "")</f>
        <v/>
      </c>
    </row>
    <row r="5845">
      <c r="B5845" s="21">
        <f>IF(AND(C5845&lt;&gt;"", J5845&lt;&gt;""), HYPERLINK("#'" &amp; C5845 &amp; "'!" &amp; J5845, J5845), "")</f>
        <v/>
      </c>
    </row>
    <row r="5846">
      <c r="B5846" s="21">
        <f>IF(AND(C5846&lt;&gt;"", J5846&lt;&gt;""), HYPERLINK("#'" &amp; C5846 &amp; "'!" &amp; J5846, J5846), "")</f>
        <v/>
      </c>
    </row>
    <row r="5847">
      <c r="B5847" s="21">
        <f>IF(AND(C5847&lt;&gt;"", J5847&lt;&gt;""), HYPERLINK("#'" &amp; C5847 &amp; "'!" &amp; J5847, J5847), "")</f>
        <v/>
      </c>
    </row>
    <row r="5848">
      <c r="B5848" s="21">
        <f>IF(AND(C5848&lt;&gt;"", J5848&lt;&gt;""), HYPERLINK("#'" &amp; C5848 &amp; "'!" &amp; J5848, J5848), "")</f>
        <v/>
      </c>
    </row>
    <row r="5849">
      <c r="B5849" s="21">
        <f>IF(AND(C5849&lt;&gt;"", J5849&lt;&gt;""), HYPERLINK("#'" &amp; C5849 &amp; "'!" &amp; J5849, J5849), "")</f>
        <v/>
      </c>
    </row>
    <row r="5850">
      <c r="B5850" s="21">
        <f>IF(AND(C5850&lt;&gt;"", J5850&lt;&gt;""), HYPERLINK("#'" &amp; C5850 &amp; "'!" &amp; J5850, J5850), "")</f>
        <v/>
      </c>
    </row>
    <row r="5851">
      <c r="B5851" s="21">
        <f>IF(AND(C5851&lt;&gt;"", J5851&lt;&gt;""), HYPERLINK("#'" &amp; C5851 &amp; "'!" &amp; J5851, J5851), "")</f>
        <v/>
      </c>
    </row>
    <row r="5852">
      <c r="B5852" s="21">
        <f>IF(AND(C5852&lt;&gt;"", J5852&lt;&gt;""), HYPERLINK("#'" &amp; C5852 &amp; "'!" &amp; J5852, J5852), "")</f>
        <v/>
      </c>
    </row>
    <row r="5853">
      <c r="B5853" s="21">
        <f>IF(AND(C5853&lt;&gt;"", J5853&lt;&gt;""), HYPERLINK("#'" &amp; C5853 &amp; "'!" &amp; J5853, J5853), "")</f>
        <v/>
      </c>
    </row>
    <row r="5854">
      <c r="B5854" s="21">
        <f>IF(AND(C5854&lt;&gt;"", J5854&lt;&gt;""), HYPERLINK("#'" &amp; C5854 &amp; "'!" &amp; J5854, J5854), "")</f>
        <v/>
      </c>
    </row>
    <row r="5855">
      <c r="B5855" s="21">
        <f>IF(AND(C5855&lt;&gt;"", J5855&lt;&gt;""), HYPERLINK("#'" &amp; C5855 &amp; "'!" &amp; J5855, J5855), "")</f>
        <v/>
      </c>
    </row>
    <row r="5856">
      <c r="B5856" s="21">
        <f>IF(AND(C5856&lt;&gt;"", J5856&lt;&gt;""), HYPERLINK("#'" &amp; C5856 &amp; "'!" &amp; J5856, J5856), "")</f>
        <v/>
      </c>
    </row>
    <row r="5857">
      <c r="B5857" s="21">
        <f>IF(AND(C5857&lt;&gt;"", J5857&lt;&gt;""), HYPERLINK("#'" &amp; C5857 &amp; "'!" &amp; J5857, J5857), "")</f>
        <v/>
      </c>
    </row>
    <row r="5858">
      <c r="B5858" s="21">
        <f>IF(AND(C5858&lt;&gt;"", J5858&lt;&gt;""), HYPERLINK("#'" &amp; C5858 &amp; "'!" &amp; J5858, J5858), "")</f>
        <v/>
      </c>
    </row>
    <row r="5859">
      <c r="B5859" s="21">
        <f>IF(AND(C5859&lt;&gt;"", J5859&lt;&gt;""), HYPERLINK("#'" &amp; C5859 &amp; "'!" &amp; J5859, J5859), "")</f>
        <v/>
      </c>
    </row>
    <row r="5860">
      <c r="B5860" s="21">
        <f>IF(AND(C5860&lt;&gt;"", J5860&lt;&gt;""), HYPERLINK("#'" &amp; C5860 &amp; "'!" &amp; J5860, J5860), "")</f>
        <v/>
      </c>
    </row>
    <row r="5861">
      <c r="B5861" s="21">
        <f>IF(AND(C5861&lt;&gt;"", J5861&lt;&gt;""), HYPERLINK("#'" &amp; C5861 &amp; "'!" &amp; J5861, J5861), "")</f>
        <v/>
      </c>
    </row>
    <row r="5862">
      <c r="B5862" s="21">
        <f>IF(AND(C5862&lt;&gt;"", J5862&lt;&gt;""), HYPERLINK("#'" &amp; C5862 &amp; "'!" &amp; J5862, J5862), "")</f>
        <v/>
      </c>
    </row>
    <row r="5863">
      <c r="B5863" s="21">
        <f>IF(AND(C5863&lt;&gt;"", J5863&lt;&gt;""), HYPERLINK("#'" &amp; C5863 &amp; "'!" &amp; J5863, J5863), "")</f>
        <v/>
      </c>
    </row>
    <row r="5864">
      <c r="B5864" s="21">
        <f>IF(AND(C5864&lt;&gt;"", J5864&lt;&gt;""), HYPERLINK("#'" &amp; C5864 &amp; "'!" &amp; J5864, J5864), "")</f>
        <v/>
      </c>
    </row>
    <row r="5865">
      <c r="B5865" s="21">
        <f>IF(AND(C5865&lt;&gt;"", J5865&lt;&gt;""), HYPERLINK("#'" &amp; C5865 &amp; "'!" &amp; J5865, J5865), "")</f>
        <v/>
      </c>
    </row>
    <row r="5866">
      <c r="B5866" s="21">
        <f>IF(AND(C5866&lt;&gt;"", J5866&lt;&gt;""), HYPERLINK("#'" &amp; C5866 &amp; "'!" &amp; J5866, J5866), "")</f>
        <v/>
      </c>
    </row>
    <row r="5867">
      <c r="B5867" s="21">
        <f>IF(AND(C5867&lt;&gt;"", J5867&lt;&gt;""), HYPERLINK("#'" &amp; C5867 &amp; "'!" &amp; J5867, J5867), "")</f>
        <v/>
      </c>
    </row>
    <row r="5868">
      <c r="B5868" s="21">
        <f>IF(AND(C5868&lt;&gt;"", J5868&lt;&gt;""), HYPERLINK("#'" &amp; C5868 &amp; "'!" &amp; J5868, J5868), "")</f>
        <v/>
      </c>
    </row>
    <row r="5869">
      <c r="B5869" s="21">
        <f>IF(AND(C5869&lt;&gt;"", J5869&lt;&gt;""), HYPERLINK("#'" &amp; C5869 &amp; "'!" &amp; J5869, J5869), "")</f>
        <v/>
      </c>
    </row>
    <row r="5870">
      <c r="B5870" s="21">
        <f>IF(AND(C5870&lt;&gt;"", J5870&lt;&gt;""), HYPERLINK("#'" &amp; C5870 &amp; "'!" &amp; J5870, J5870), "")</f>
        <v/>
      </c>
    </row>
    <row r="5871">
      <c r="B5871" s="21">
        <f>IF(AND(C5871&lt;&gt;"", J5871&lt;&gt;""), HYPERLINK("#'" &amp; C5871 &amp; "'!" &amp; J5871, J5871), "")</f>
        <v/>
      </c>
    </row>
    <row r="5872">
      <c r="B5872" s="21">
        <f>IF(AND(C5872&lt;&gt;"", J5872&lt;&gt;""), HYPERLINK("#'" &amp; C5872 &amp; "'!" &amp; J5872, J5872), "")</f>
        <v/>
      </c>
    </row>
    <row r="5873">
      <c r="B5873" s="21">
        <f>IF(AND(C5873&lt;&gt;"", J5873&lt;&gt;""), HYPERLINK("#'" &amp; C5873 &amp; "'!" &amp; J5873, J5873), "")</f>
        <v/>
      </c>
    </row>
    <row r="5874">
      <c r="B5874" s="21">
        <f>IF(AND(C5874&lt;&gt;"", J5874&lt;&gt;""), HYPERLINK("#'" &amp; C5874 &amp; "'!" &amp; J5874, J5874), "")</f>
        <v/>
      </c>
    </row>
    <row r="5875">
      <c r="B5875" s="21">
        <f>IF(AND(C5875&lt;&gt;"", J5875&lt;&gt;""), HYPERLINK("#'" &amp; C5875 &amp; "'!" &amp; J5875, J5875), "")</f>
        <v/>
      </c>
    </row>
    <row r="5876">
      <c r="B5876" s="21">
        <f>IF(AND(C5876&lt;&gt;"", J5876&lt;&gt;""), HYPERLINK("#'" &amp; C5876 &amp; "'!" &amp; J5876, J5876), "")</f>
        <v/>
      </c>
    </row>
    <row r="5877">
      <c r="B5877" s="21">
        <f>IF(AND(C5877&lt;&gt;"", J5877&lt;&gt;""), HYPERLINK("#'" &amp; C5877 &amp; "'!" &amp; J5877, J5877), "")</f>
        <v/>
      </c>
    </row>
    <row r="5878">
      <c r="B5878" s="21">
        <f>IF(AND(C5878&lt;&gt;"", J5878&lt;&gt;""), HYPERLINK("#'" &amp; C5878 &amp; "'!" &amp; J5878, J5878), "")</f>
        <v/>
      </c>
    </row>
    <row r="5879">
      <c r="B5879" s="21">
        <f>IF(AND(C5879&lt;&gt;"", J5879&lt;&gt;""), HYPERLINK("#'" &amp; C5879 &amp; "'!" &amp; J5879, J5879), "")</f>
        <v/>
      </c>
    </row>
    <row r="5880">
      <c r="B5880" s="21">
        <f>IF(AND(C5880&lt;&gt;"", J5880&lt;&gt;""), HYPERLINK("#'" &amp; C5880 &amp; "'!" &amp; J5880, J5880), "")</f>
        <v/>
      </c>
    </row>
    <row r="5881">
      <c r="B5881" s="21">
        <f>IF(AND(C5881&lt;&gt;"", J5881&lt;&gt;""), HYPERLINK("#'" &amp; C5881 &amp; "'!" &amp; J5881, J5881), "")</f>
        <v/>
      </c>
    </row>
    <row r="5882">
      <c r="B5882" s="21">
        <f>IF(AND(C5882&lt;&gt;"", J5882&lt;&gt;""), HYPERLINK("#'" &amp; C5882 &amp; "'!" &amp; J5882, J5882), "")</f>
        <v/>
      </c>
    </row>
    <row r="5883">
      <c r="B5883" s="21">
        <f>IF(AND(C5883&lt;&gt;"", J5883&lt;&gt;""), HYPERLINK("#'" &amp; C5883 &amp; "'!" &amp; J5883, J5883), "")</f>
        <v/>
      </c>
    </row>
    <row r="5884">
      <c r="B5884" s="21">
        <f>IF(AND(C5884&lt;&gt;"", J5884&lt;&gt;""), HYPERLINK("#'" &amp; C5884 &amp; "'!" &amp; J5884, J5884), "")</f>
        <v/>
      </c>
    </row>
    <row r="5885">
      <c r="B5885" s="21">
        <f>IF(AND(C5885&lt;&gt;"", J5885&lt;&gt;""), HYPERLINK("#'" &amp; C5885 &amp; "'!" &amp; J5885, J5885), "")</f>
        <v/>
      </c>
    </row>
    <row r="5886">
      <c r="B5886" s="21">
        <f>IF(AND(C5886&lt;&gt;"", J5886&lt;&gt;""), HYPERLINK("#'" &amp; C5886 &amp; "'!" &amp; J5886, J5886), "")</f>
        <v/>
      </c>
    </row>
    <row r="5887">
      <c r="B5887" s="21">
        <f>IF(AND(C5887&lt;&gt;"", J5887&lt;&gt;""), HYPERLINK("#'" &amp; C5887 &amp; "'!" &amp; J5887, J5887), "")</f>
        <v/>
      </c>
    </row>
    <row r="5888">
      <c r="B5888" s="21">
        <f>IF(AND(C5888&lt;&gt;"", J5888&lt;&gt;""), HYPERLINK("#'" &amp; C5888 &amp; "'!" &amp; J5888, J5888), "")</f>
        <v/>
      </c>
    </row>
    <row r="5889">
      <c r="B5889" s="21">
        <f>IF(AND(C5889&lt;&gt;"", J5889&lt;&gt;""), HYPERLINK("#'" &amp; C5889 &amp; "'!" &amp; J5889, J5889), "")</f>
        <v/>
      </c>
    </row>
    <row r="5890">
      <c r="B5890" s="21">
        <f>IF(AND(C5890&lt;&gt;"", J5890&lt;&gt;""), HYPERLINK("#'" &amp; C5890 &amp; "'!" &amp; J5890, J5890), "")</f>
        <v/>
      </c>
    </row>
    <row r="5891">
      <c r="B5891" s="21">
        <f>IF(AND(C5891&lt;&gt;"", J5891&lt;&gt;""), HYPERLINK("#'" &amp; C5891 &amp; "'!" &amp; J5891, J5891), "")</f>
        <v/>
      </c>
    </row>
    <row r="5892">
      <c r="B5892" s="21">
        <f>IF(AND(C5892&lt;&gt;"", J5892&lt;&gt;""), HYPERLINK("#'" &amp; C5892 &amp; "'!" &amp; J5892, J5892), "")</f>
        <v/>
      </c>
    </row>
    <row r="5893">
      <c r="B5893" s="21">
        <f>IF(AND(C5893&lt;&gt;"", J5893&lt;&gt;""), HYPERLINK("#'" &amp; C5893 &amp; "'!" &amp; J5893, J5893), "")</f>
        <v/>
      </c>
    </row>
    <row r="5894">
      <c r="B5894" s="21">
        <f>IF(AND(C5894&lt;&gt;"", J5894&lt;&gt;""), HYPERLINK("#'" &amp; C5894 &amp; "'!" &amp; J5894, J5894), "")</f>
        <v/>
      </c>
    </row>
    <row r="5895">
      <c r="B5895" s="21">
        <f>IF(AND(C5895&lt;&gt;"", J5895&lt;&gt;""), HYPERLINK("#'" &amp; C5895 &amp; "'!" &amp; J5895, J5895), "")</f>
        <v/>
      </c>
    </row>
    <row r="5896">
      <c r="B5896" s="21">
        <f>IF(AND(C5896&lt;&gt;"", J5896&lt;&gt;""), HYPERLINK("#'" &amp; C5896 &amp; "'!" &amp; J5896, J5896), "")</f>
        <v/>
      </c>
    </row>
    <row r="5897">
      <c r="B5897" s="21">
        <f>IF(AND(C5897&lt;&gt;"", J5897&lt;&gt;""), HYPERLINK("#'" &amp; C5897 &amp; "'!" &amp; J5897, J5897), "")</f>
        <v/>
      </c>
    </row>
    <row r="5898">
      <c r="B5898" s="21">
        <f>IF(AND(C5898&lt;&gt;"", J5898&lt;&gt;""), HYPERLINK("#'" &amp; C5898 &amp; "'!" &amp; J5898, J5898), "")</f>
        <v/>
      </c>
    </row>
    <row r="5899">
      <c r="B5899" s="21">
        <f>IF(AND(C5899&lt;&gt;"", J5899&lt;&gt;""), HYPERLINK("#'" &amp; C5899 &amp; "'!" &amp; J5899, J5899), "")</f>
        <v/>
      </c>
    </row>
    <row r="5900">
      <c r="B5900" s="21">
        <f>IF(AND(C5900&lt;&gt;"", J5900&lt;&gt;""), HYPERLINK("#'" &amp; C5900 &amp; "'!" &amp; J5900, J5900), "")</f>
        <v/>
      </c>
    </row>
    <row r="5901">
      <c r="B5901" s="21">
        <f>IF(AND(C5901&lt;&gt;"", J5901&lt;&gt;""), HYPERLINK("#'" &amp; C5901 &amp; "'!" &amp; J5901, J5901), "")</f>
        <v/>
      </c>
    </row>
    <row r="5902">
      <c r="B5902" s="21">
        <f>IF(AND(C5902&lt;&gt;"", J5902&lt;&gt;""), HYPERLINK("#'" &amp; C5902 &amp; "'!" &amp; J5902, J5902), "")</f>
        <v/>
      </c>
    </row>
    <row r="5903">
      <c r="B5903" s="21">
        <f>IF(AND(C5903&lt;&gt;"", J5903&lt;&gt;""), HYPERLINK("#'" &amp; C5903 &amp; "'!" &amp; J5903, J5903), "")</f>
        <v/>
      </c>
    </row>
    <row r="5904">
      <c r="B5904" s="21">
        <f>IF(AND(C5904&lt;&gt;"", J5904&lt;&gt;""), HYPERLINK("#'" &amp; C5904 &amp; "'!" &amp; J5904, J5904), "")</f>
        <v/>
      </c>
    </row>
    <row r="5905">
      <c r="B5905" s="21">
        <f>IF(AND(C5905&lt;&gt;"", J5905&lt;&gt;""), HYPERLINK("#'" &amp; C5905 &amp; "'!" &amp; J5905, J5905), "")</f>
        <v/>
      </c>
    </row>
    <row r="5906">
      <c r="B5906" s="21">
        <f>IF(AND(C5906&lt;&gt;"", J5906&lt;&gt;""), HYPERLINK("#'" &amp; C5906 &amp; "'!" &amp; J5906, J5906), "")</f>
        <v/>
      </c>
    </row>
    <row r="5907">
      <c r="B5907" s="21">
        <f>IF(AND(C5907&lt;&gt;"", J5907&lt;&gt;""), HYPERLINK("#'" &amp; C5907 &amp; "'!" &amp; J5907, J5907), "")</f>
        <v/>
      </c>
    </row>
    <row r="5908">
      <c r="B5908" s="21">
        <f>IF(AND(C5908&lt;&gt;"", J5908&lt;&gt;""), HYPERLINK("#'" &amp; C5908 &amp; "'!" &amp; J5908, J5908), "")</f>
        <v/>
      </c>
    </row>
    <row r="5909">
      <c r="B5909" s="21">
        <f>IF(AND(C5909&lt;&gt;"", J5909&lt;&gt;""), HYPERLINK("#'" &amp; C5909 &amp; "'!" &amp; J5909, J5909), "")</f>
        <v/>
      </c>
    </row>
    <row r="5910">
      <c r="B5910" s="21">
        <f>IF(AND(C5910&lt;&gt;"", J5910&lt;&gt;""), HYPERLINK("#'" &amp; C5910 &amp; "'!" &amp; J5910, J5910), "")</f>
        <v/>
      </c>
    </row>
    <row r="5911">
      <c r="B5911" s="21">
        <f>IF(AND(C5911&lt;&gt;"", J5911&lt;&gt;""), HYPERLINK("#'" &amp; C5911 &amp; "'!" &amp; J5911, J5911), "")</f>
        <v/>
      </c>
    </row>
    <row r="5912">
      <c r="B5912" s="21">
        <f>IF(AND(C5912&lt;&gt;"", J5912&lt;&gt;""), HYPERLINK("#'" &amp; C5912 &amp; "'!" &amp; J5912, J5912), "")</f>
        <v/>
      </c>
    </row>
    <row r="5913">
      <c r="B5913" s="21">
        <f>IF(AND(C5913&lt;&gt;"", J5913&lt;&gt;""), HYPERLINK("#'" &amp; C5913 &amp; "'!" &amp; J5913, J5913), "")</f>
        <v/>
      </c>
    </row>
    <row r="5914">
      <c r="B5914" s="21">
        <f>IF(AND(C5914&lt;&gt;"", J5914&lt;&gt;""), HYPERLINK("#'" &amp; C5914 &amp; "'!" &amp; J5914, J5914), "")</f>
        <v/>
      </c>
    </row>
    <row r="5915">
      <c r="B5915" s="21">
        <f>IF(AND(C5915&lt;&gt;"", J5915&lt;&gt;""), HYPERLINK("#'" &amp; C5915 &amp; "'!" &amp; J5915, J5915), "")</f>
        <v/>
      </c>
    </row>
    <row r="5916">
      <c r="B5916" s="21">
        <f>IF(AND(C5916&lt;&gt;"", J5916&lt;&gt;""), HYPERLINK("#'" &amp; C5916 &amp; "'!" &amp; J5916, J5916), "")</f>
        <v/>
      </c>
    </row>
    <row r="5917">
      <c r="B5917" s="21">
        <f>IF(AND(C5917&lt;&gt;"", J5917&lt;&gt;""), HYPERLINK("#'" &amp; C5917 &amp; "'!" &amp; J5917, J5917), "")</f>
        <v/>
      </c>
    </row>
    <row r="5918">
      <c r="B5918" s="21">
        <f>IF(AND(C5918&lt;&gt;"", J5918&lt;&gt;""), HYPERLINK("#'" &amp; C5918 &amp; "'!" &amp; J5918, J5918), "")</f>
        <v/>
      </c>
    </row>
    <row r="5919">
      <c r="B5919" s="21">
        <f>IF(AND(C5919&lt;&gt;"", J5919&lt;&gt;""), HYPERLINK("#'" &amp; C5919 &amp; "'!" &amp; J5919, J5919), "")</f>
        <v/>
      </c>
    </row>
    <row r="5920">
      <c r="B5920" s="21">
        <f>IF(AND(C5920&lt;&gt;"", J5920&lt;&gt;""), HYPERLINK("#'" &amp; C5920 &amp; "'!" &amp; J5920, J5920), "")</f>
        <v/>
      </c>
    </row>
    <row r="5921">
      <c r="B5921" s="21">
        <f>IF(AND(C5921&lt;&gt;"", J5921&lt;&gt;""), HYPERLINK("#'" &amp; C5921 &amp; "'!" &amp; J5921, J5921), "")</f>
        <v/>
      </c>
    </row>
    <row r="5922">
      <c r="B5922" s="21">
        <f>IF(AND(C5922&lt;&gt;"", J5922&lt;&gt;""), HYPERLINK("#'" &amp; C5922 &amp; "'!" &amp; J5922, J5922), "")</f>
        <v/>
      </c>
    </row>
    <row r="5923">
      <c r="B5923" s="21">
        <f>IF(AND(C5923&lt;&gt;"", J5923&lt;&gt;""), HYPERLINK("#'" &amp; C5923 &amp; "'!" &amp; J5923, J5923), "")</f>
        <v/>
      </c>
    </row>
    <row r="5924">
      <c r="B5924" s="21">
        <f>IF(AND(C5924&lt;&gt;"", J5924&lt;&gt;""), HYPERLINK("#'" &amp; C5924 &amp; "'!" &amp; J5924, J5924), "")</f>
        <v/>
      </c>
    </row>
    <row r="5925">
      <c r="B5925" s="21">
        <f>IF(AND(C5925&lt;&gt;"", J5925&lt;&gt;""), HYPERLINK("#'" &amp; C5925 &amp; "'!" &amp; J5925, J5925), "")</f>
        <v/>
      </c>
    </row>
    <row r="5926">
      <c r="B5926" s="21">
        <f>IF(AND(C5926&lt;&gt;"", J5926&lt;&gt;""), HYPERLINK("#'" &amp; C5926 &amp; "'!" &amp; J5926, J5926), "")</f>
        <v/>
      </c>
    </row>
    <row r="5927">
      <c r="B5927" s="21">
        <f>IF(AND(C5927&lt;&gt;"", J5927&lt;&gt;""), HYPERLINK("#'" &amp; C5927 &amp; "'!" &amp; J5927, J5927), "")</f>
        <v/>
      </c>
    </row>
    <row r="5928">
      <c r="B5928" s="21">
        <f>IF(AND(C5928&lt;&gt;"", J5928&lt;&gt;""), HYPERLINK("#'" &amp; C5928 &amp; "'!" &amp; J5928, J5928), "")</f>
        <v/>
      </c>
    </row>
    <row r="5929">
      <c r="B5929" s="21">
        <f>IF(AND(C5929&lt;&gt;"", J5929&lt;&gt;""), HYPERLINK("#'" &amp; C5929 &amp; "'!" &amp; J5929, J5929), "")</f>
        <v/>
      </c>
    </row>
    <row r="5930">
      <c r="B5930" s="21">
        <f>IF(AND(C5930&lt;&gt;"", J5930&lt;&gt;""), HYPERLINK("#'" &amp; C5930 &amp; "'!" &amp; J5930, J5930), "")</f>
        <v/>
      </c>
    </row>
    <row r="5931">
      <c r="B5931" s="21">
        <f>IF(AND(C5931&lt;&gt;"", J5931&lt;&gt;""), HYPERLINK("#'" &amp; C5931 &amp; "'!" &amp; J5931, J5931), "")</f>
        <v/>
      </c>
    </row>
    <row r="5932">
      <c r="B5932" s="21">
        <f>IF(AND(C5932&lt;&gt;"", J5932&lt;&gt;""), HYPERLINK("#'" &amp; C5932 &amp; "'!" &amp; J5932, J5932), "")</f>
        <v/>
      </c>
    </row>
    <row r="5933">
      <c r="B5933" s="21">
        <f>IF(AND(C5933&lt;&gt;"", J5933&lt;&gt;""), HYPERLINK("#'" &amp; C5933 &amp; "'!" &amp; J5933, J5933), "")</f>
        <v/>
      </c>
    </row>
    <row r="5934">
      <c r="B5934" s="21">
        <f>IF(AND(C5934&lt;&gt;"", J5934&lt;&gt;""), HYPERLINK("#'" &amp; C5934 &amp; "'!" &amp; J5934, J5934), "")</f>
        <v/>
      </c>
    </row>
    <row r="5935">
      <c r="B5935" s="21">
        <f>IF(AND(C5935&lt;&gt;"", J5935&lt;&gt;""), HYPERLINK("#'" &amp; C5935 &amp; "'!" &amp; J5935, J5935), "")</f>
        <v/>
      </c>
    </row>
    <row r="5936">
      <c r="B5936" s="21">
        <f>IF(AND(C5936&lt;&gt;"", J5936&lt;&gt;""), HYPERLINK("#'" &amp; C5936 &amp; "'!" &amp; J5936, J5936), "")</f>
        <v/>
      </c>
    </row>
    <row r="5937">
      <c r="B5937" s="21">
        <f>IF(AND(C5937&lt;&gt;"", J5937&lt;&gt;""), HYPERLINK("#'" &amp; C5937 &amp; "'!" &amp; J5937, J5937), "")</f>
        <v/>
      </c>
    </row>
    <row r="5938">
      <c r="B5938" s="21">
        <f>IF(AND(C5938&lt;&gt;"", J5938&lt;&gt;""), HYPERLINK("#'" &amp; C5938 &amp; "'!" &amp; J5938, J5938), "")</f>
        <v/>
      </c>
    </row>
    <row r="5939">
      <c r="B5939" s="21">
        <f>IF(AND(C5939&lt;&gt;"", J5939&lt;&gt;""), HYPERLINK("#'" &amp; C5939 &amp; "'!" &amp; J5939, J5939), "")</f>
        <v/>
      </c>
    </row>
    <row r="5940">
      <c r="B5940" s="21">
        <f>IF(AND(C5940&lt;&gt;"", J5940&lt;&gt;""), HYPERLINK("#'" &amp; C5940 &amp; "'!" &amp; J5940, J5940), "")</f>
        <v/>
      </c>
    </row>
    <row r="5941">
      <c r="B5941" s="21">
        <f>IF(AND(C5941&lt;&gt;"", J5941&lt;&gt;""), HYPERLINK("#'" &amp; C5941 &amp; "'!" &amp; J5941, J5941), "")</f>
        <v/>
      </c>
    </row>
    <row r="5942">
      <c r="B5942" s="21">
        <f>IF(AND(C5942&lt;&gt;"", J5942&lt;&gt;""), HYPERLINK("#'" &amp; C5942 &amp; "'!" &amp; J5942, J5942), "")</f>
        <v/>
      </c>
    </row>
    <row r="5943">
      <c r="B5943" s="21">
        <f>IF(AND(C5943&lt;&gt;"", J5943&lt;&gt;""), HYPERLINK("#'" &amp; C5943 &amp; "'!" &amp; J5943, J5943), "")</f>
        <v/>
      </c>
    </row>
    <row r="5944">
      <c r="B5944" s="21">
        <f>IF(AND(C5944&lt;&gt;"", J5944&lt;&gt;""), HYPERLINK("#'" &amp; C5944 &amp; "'!" &amp; J5944, J5944), "")</f>
        <v/>
      </c>
    </row>
    <row r="5945">
      <c r="B5945" s="21">
        <f>IF(AND(C5945&lt;&gt;"", J5945&lt;&gt;""), HYPERLINK("#'" &amp; C5945 &amp; "'!" &amp; J5945, J5945), "")</f>
        <v/>
      </c>
    </row>
    <row r="5946">
      <c r="B5946" s="21">
        <f>IF(AND(C5946&lt;&gt;"", J5946&lt;&gt;""), HYPERLINK("#'" &amp; C5946 &amp; "'!" &amp; J5946, J5946), "")</f>
        <v/>
      </c>
    </row>
    <row r="5947">
      <c r="B5947" s="21">
        <f>IF(AND(C5947&lt;&gt;"", J5947&lt;&gt;""), HYPERLINK("#'" &amp; C5947 &amp; "'!" &amp; J5947, J5947), "")</f>
        <v/>
      </c>
    </row>
    <row r="5948">
      <c r="B5948" s="21">
        <f>IF(AND(C5948&lt;&gt;"", J5948&lt;&gt;""), HYPERLINK("#'" &amp; C5948 &amp; "'!" &amp; J5948, J5948), "")</f>
        <v/>
      </c>
    </row>
    <row r="5949">
      <c r="B5949" s="21">
        <f>IF(AND(C5949&lt;&gt;"", J5949&lt;&gt;""), HYPERLINK("#'" &amp; C5949 &amp; "'!" &amp; J5949, J5949), "")</f>
        <v/>
      </c>
    </row>
    <row r="5950">
      <c r="B5950" s="21">
        <f>IF(AND(C5950&lt;&gt;"", J5950&lt;&gt;""), HYPERLINK("#'" &amp; C5950 &amp; "'!" &amp; J5950, J5950), "")</f>
        <v/>
      </c>
    </row>
    <row r="5951">
      <c r="B5951" s="21">
        <f>IF(AND(C5951&lt;&gt;"", J5951&lt;&gt;""), HYPERLINK("#'" &amp; C5951 &amp; "'!" &amp; J5951, J5951), "")</f>
        <v/>
      </c>
    </row>
    <row r="5952">
      <c r="B5952" s="21">
        <f>IF(AND(C5952&lt;&gt;"", J5952&lt;&gt;""), HYPERLINK("#'" &amp; C5952 &amp; "'!" &amp; J5952, J5952), "")</f>
        <v/>
      </c>
    </row>
    <row r="5953">
      <c r="B5953" s="21">
        <f>IF(AND(C5953&lt;&gt;"", J5953&lt;&gt;""), HYPERLINK("#'" &amp; C5953 &amp; "'!" &amp; J5953, J5953), "")</f>
        <v/>
      </c>
    </row>
    <row r="5954">
      <c r="B5954" s="21">
        <f>IF(AND(C5954&lt;&gt;"", J5954&lt;&gt;""), HYPERLINK("#'" &amp; C5954 &amp; "'!" &amp; J5954, J5954), "")</f>
        <v/>
      </c>
    </row>
    <row r="5955">
      <c r="B5955" s="21">
        <f>IF(AND(C5955&lt;&gt;"", J5955&lt;&gt;""), HYPERLINK("#'" &amp; C5955 &amp; "'!" &amp; J5955, J5955), "")</f>
        <v/>
      </c>
    </row>
    <row r="5956">
      <c r="B5956" s="21">
        <f>IF(AND(C5956&lt;&gt;"", J5956&lt;&gt;""), HYPERLINK("#'" &amp; C5956 &amp; "'!" &amp; J5956, J5956), "")</f>
        <v/>
      </c>
    </row>
    <row r="5957">
      <c r="B5957" s="21">
        <f>IF(AND(C5957&lt;&gt;"", J5957&lt;&gt;""), HYPERLINK("#'" &amp; C5957 &amp; "'!" &amp; J5957, J5957), "")</f>
        <v/>
      </c>
    </row>
    <row r="5958">
      <c r="B5958" s="21">
        <f>IF(AND(C5958&lt;&gt;"", J5958&lt;&gt;""), HYPERLINK("#'" &amp; C5958 &amp; "'!" &amp; J5958, J5958), "")</f>
        <v/>
      </c>
    </row>
    <row r="5959">
      <c r="B5959" s="21">
        <f>IF(AND(C5959&lt;&gt;"", J5959&lt;&gt;""), HYPERLINK("#'" &amp; C5959 &amp; "'!" &amp; J5959, J5959), "")</f>
        <v/>
      </c>
    </row>
    <row r="5960">
      <c r="B5960" s="21">
        <f>IF(AND(C5960&lt;&gt;"", J5960&lt;&gt;""), HYPERLINK("#'" &amp; C5960 &amp; "'!" &amp; J5960, J5960), "")</f>
        <v/>
      </c>
    </row>
    <row r="5961">
      <c r="B5961" s="21">
        <f>IF(AND(C5961&lt;&gt;"", J5961&lt;&gt;""), HYPERLINK("#'" &amp; C5961 &amp; "'!" &amp; J5961, J5961), "")</f>
        <v/>
      </c>
    </row>
    <row r="5962">
      <c r="B5962" s="21">
        <f>IF(AND(C5962&lt;&gt;"", J5962&lt;&gt;""), HYPERLINK("#'" &amp; C5962 &amp; "'!" &amp; J5962, J5962), "")</f>
        <v/>
      </c>
    </row>
    <row r="5963">
      <c r="B5963" s="21">
        <f>IF(AND(C5963&lt;&gt;"", J5963&lt;&gt;""), HYPERLINK("#'" &amp; C5963 &amp; "'!" &amp; J5963, J5963), "")</f>
        <v/>
      </c>
    </row>
    <row r="5964">
      <c r="B5964" s="21">
        <f>IF(AND(C5964&lt;&gt;"", J5964&lt;&gt;""), HYPERLINK("#'" &amp; C5964 &amp; "'!" &amp; J5964, J5964), "")</f>
        <v/>
      </c>
    </row>
    <row r="5965">
      <c r="B5965" s="21">
        <f>IF(AND(C5965&lt;&gt;"", J5965&lt;&gt;""), HYPERLINK("#'" &amp; C5965 &amp; "'!" &amp; J5965, J5965), "")</f>
        <v/>
      </c>
    </row>
    <row r="5966">
      <c r="B5966" s="21">
        <f>IF(AND(C5966&lt;&gt;"", J5966&lt;&gt;""), HYPERLINK("#'" &amp; C5966 &amp; "'!" &amp; J5966, J5966), "")</f>
        <v/>
      </c>
    </row>
    <row r="5967">
      <c r="B5967" s="21">
        <f>IF(AND(C5967&lt;&gt;"", J5967&lt;&gt;""), HYPERLINK("#'" &amp; C5967 &amp; "'!" &amp; J5967, J5967), "")</f>
        <v/>
      </c>
    </row>
    <row r="5968">
      <c r="B5968" s="21">
        <f>IF(AND(C5968&lt;&gt;"", J5968&lt;&gt;""), HYPERLINK("#'" &amp; C5968 &amp; "'!" &amp; J5968, J5968), "")</f>
        <v/>
      </c>
    </row>
    <row r="5969">
      <c r="B5969" s="21">
        <f>IF(AND(C5969&lt;&gt;"", J5969&lt;&gt;""), HYPERLINK("#'" &amp; C5969 &amp; "'!" &amp; J5969, J5969), "")</f>
        <v/>
      </c>
    </row>
    <row r="5970">
      <c r="B5970" s="21">
        <f>IF(AND(C5970&lt;&gt;"", J5970&lt;&gt;""), HYPERLINK("#'" &amp; C5970 &amp; "'!" &amp; J5970, J5970), "")</f>
        <v/>
      </c>
    </row>
    <row r="5971">
      <c r="B5971" s="21">
        <f>IF(AND(C5971&lt;&gt;"", J5971&lt;&gt;""), HYPERLINK("#'" &amp; C5971 &amp; "'!" &amp; J5971, J5971), "")</f>
        <v/>
      </c>
    </row>
    <row r="5972">
      <c r="B5972" s="21">
        <f>IF(AND(C5972&lt;&gt;"", J5972&lt;&gt;""), HYPERLINK("#'" &amp; C5972 &amp; "'!" &amp; J5972, J5972), "")</f>
        <v/>
      </c>
    </row>
    <row r="5973">
      <c r="B5973" s="21">
        <f>IF(AND(C5973&lt;&gt;"", J5973&lt;&gt;""), HYPERLINK("#'" &amp; C5973 &amp; "'!" &amp; J5973, J5973), "")</f>
        <v/>
      </c>
    </row>
    <row r="5974">
      <c r="B5974" s="21">
        <f>IF(AND(C5974&lt;&gt;"", J5974&lt;&gt;""), HYPERLINK("#'" &amp; C5974 &amp; "'!" &amp; J5974, J5974), "")</f>
        <v/>
      </c>
    </row>
    <row r="5975">
      <c r="B5975" s="21">
        <f>IF(AND(C5975&lt;&gt;"", J5975&lt;&gt;""), HYPERLINK("#'" &amp; C5975 &amp; "'!" &amp; J5975, J5975), "")</f>
        <v/>
      </c>
    </row>
    <row r="5976">
      <c r="B5976" s="21">
        <f>IF(AND(C5976&lt;&gt;"", J5976&lt;&gt;""), HYPERLINK("#'" &amp; C5976 &amp; "'!" &amp; J5976, J5976), "")</f>
        <v/>
      </c>
    </row>
    <row r="5977">
      <c r="B5977" s="21">
        <f>IF(AND(C5977&lt;&gt;"", J5977&lt;&gt;""), HYPERLINK("#'" &amp; C5977 &amp; "'!" &amp; J5977, J5977), "")</f>
        <v/>
      </c>
    </row>
    <row r="5978">
      <c r="B5978" s="21">
        <f>IF(AND(C5978&lt;&gt;"", J5978&lt;&gt;""), HYPERLINK("#'" &amp; C5978 &amp; "'!" &amp; J5978, J5978), "")</f>
        <v/>
      </c>
    </row>
    <row r="5979">
      <c r="B5979" s="21">
        <f>IF(AND(C5979&lt;&gt;"", J5979&lt;&gt;""), HYPERLINK("#'" &amp; C5979 &amp; "'!" &amp; J5979, J5979), "")</f>
        <v/>
      </c>
    </row>
    <row r="5980">
      <c r="B5980" s="21">
        <f>IF(AND(C5980&lt;&gt;"", J5980&lt;&gt;""), HYPERLINK("#'" &amp; C5980 &amp; "'!" &amp; J5980, J5980), "")</f>
        <v/>
      </c>
    </row>
    <row r="5981">
      <c r="B5981" s="21">
        <f>IF(AND(C5981&lt;&gt;"", J5981&lt;&gt;""), HYPERLINK("#'" &amp; C5981 &amp; "'!" &amp; J5981, J5981), "")</f>
        <v/>
      </c>
    </row>
    <row r="5982">
      <c r="B5982" s="21">
        <f>IF(AND(C5982&lt;&gt;"", J5982&lt;&gt;""), HYPERLINK("#'" &amp; C5982 &amp; "'!" &amp; J5982, J5982), "")</f>
        <v/>
      </c>
    </row>
    <row r="5983">
      <c r="B5983" s="21">
        <f>IF(AND(C5983&lt;&gt;"", J5983&lt;&gt;""), HYPERLINK("#'" &amp; C5983 &amp; "'!" &amp; J5983, J5983), "")</f>
        <v/>
      </c>
    </row>
    <row r="5984">
      <c r="B5984" s="21">
        <f>IF(AND(C5984&lt;&gt;"", J5984&lt;&gt;""), HYPERLINK("#'" &amp; C5984 &amp; "'!" &amp; J5984, J5984), "")</f>
        <v/>
      </c>
    </row>
    <row r="5985">
      <c r="B5985" s="21">
        <f>IF(AND(C5985&lt;&gt;"", J5985&lt;&gt;""), HYPERLINK("#'" &amp; C5985 &amp; "'!" &amp; J5985, J5985), "")</f>
        <v/>
      </c>
    </row>
    <row r="5986">
      <c r="B5986" s="21">
        <f>IF(AND(C5986&lt;&gt;"", J5986&lt;&gt;""), HYPERLINK("#'" &amp; C5986 &amp; "'!" &amp; J5986, J5986), "")</f>
        <v/>
      </c>
    </row>
    <row r="5987">
      <c r="B5987" s="21">
        <f>IF(AND(C5987&lt;&gt;"", J5987&lt;&gt;""), HYPERLINK("#'" &amp; C5987 &amp; "'!" &amp; J5987, J5987), "")</f>
        <v/>
      </c>
    </row>
    <row r="5988">
      <c r="B5988" s="21">
        <f>IF(AND(C5988&lt;&gt;"", J5988&lt;&gt;""), HYPERLINK("#'" &amp; C5988 &amp; "'!" &amp; J5988, J5988), "")</f>
        <v/>
      </c>
    </row>
    <row r="5989">
      <c r="B5989" s="21">
        <f>IF(AND(C5989&lt;&gt;"", J5989&lt;&gt;""), HYPERLINK("#'" &amp; C5989 &amp; "'!" &amp; J5989, J5989), "")</f>
        <v/>
      </c>
    </row>
    <row r="5990">
      <c r="B5990" s="21">
        <f>IF(AND(C5990&lt;&gt;"", J5990&lt;&gt;""), HYPERLINK("#'" &amp; C5990 &amp; "'!" &amp; J5990, J5990), "")</f>
        <v/>
      </c>
    </row>
    <row r="5991">
      <c r="B5991" s="21">
        <f>IF(AND(C5991&lt;&gt;"", J5991&lt;&gt;""), HYPERLINK("#'" &amp; C5991 &amp; "'!" &amp; J5991, J5991), "")</f>
        <v/>
      </c>
    </row>
    <row r="5992">
      <c r="B5992" s="21">
        <f>IF(AND(C5992&lt;&gt;"", J5992&lt;&gt;""), HYPERLINK("#'" &amp; C5992 &amp; "'!" &amp; J5992, J5992), "")</f>
        <v/>
      </c>
    </row>
    <row r="5993">
      <c r="B5993" s="21">
        <f>IF(AND(C5993&lt;&gt;"", J5993&lt;&gt;""), HYPERLINK("#'" &amp; C5993 &amp; "'!" &amp; J5993, J5993), "")</f>
        <v/>
      </c>
    </row>
    <row r="5994">
      <c r="B5994" s="21">
        <f>IF(AND(C5994&lt;&gt;"", J5994&lt;&gt;""), HYPERLINK("#'" &amp; C5994 &amp; "'!" &amp; J5994, J5994), "")</f>
        <v/>
      </c>
    </row>
    <row r="5995">
      <c r="B5995" s="21">
        <f>IF(AND(C5995&lt;&gt;"", J5995&lt;&gt;""), HYPERLINK("#'" &amp; C5995 &amp; "'!" &amp; J5995, J5995), "")</f>
        <v/>
      </c>
    </row>
    <row r="5996">
      <c r="B5996" s="21">
        <f>IF(AND(C5996&lt;&gt;"", J5996&lt;&gt;""), HYPERLINK("#'" &amp; C5996 &amp; "'!" &amp; J5996, J5996), "")</f>
        <v/>
      </c>
    </row>
    <row r="5997">
      <c r="B5997" s="21">
        <f>IF(AND(C5997&lt;&gt;"", J5997&lt;&gt;""), HYPERLINK("#'" &amp; C5997 &amp; "'!" &amp; J5997, J5997), "")</f>
        <v/>
      </c>
    </row>
    <row r="5998">
      <c r="B5998" s="21">
        <f>IF(AND(C5998&lt;&gt;"", J5998&lt;&gt;""), HYPERLINK("#'" &amp; C5998 &amp; "'!" &amp; J5998, J5998), "")</f>
        <v/>
      </c>
    </row>
    <row r="5999">
      <c r="B5999" s="21">
        <f>IF(AND(C5999&lt;&gt;"", J5999&lt;&gt;""), HYPERLINK("#'" &amp; C5999 &amp; "'!" &amp; J5999, J5999), "")</f>
        <v/>
      </c>
    </row>
    <row r="6000">
      <c r="B6000" s="21">
        <f>IF(AND(C6000&lt;&gt;"", J6000&lt;&gt;""), HYPERLINK("#'" &amp; C6000 &amp; "'!" &amp; J6000, J6000), "")</f>
        <v/>
      </c>
    </row>
    <row r="6001">
      <c r="B6001" s="21">
        <f>IF(AND(C6001&lt;&gt;"", J6001&lt;&gt;""), HYPERLINK("#'" &amp; C6001 &amp; "'!" &amp; J6001, J6001), "")</f>
        <v/>
      </c>
    </row>
    <row r="6002">
      <c r="B6002" s="21">
        <f>IF(AND(C6002&lt;&gt;"", J6002&lt;&gt;""), HYPERLINK("#'" &amp; C6002 &amp; "'!" &amp; J6002, J6002), "")</f>
        <v/>
      </c>
    </row>
  </sheetData>
  <sheetProtection selectLockedCells="0" selectUnlockedCells="0" sheet="1" objects="1" insertRows="1" insertHyperlinks="1" autoFilter="0" scenarios="1" formatColumns="0" deleteColumns="1" insertColumns="1" pivotTables="1" deleteRows="1" formatCells="1" formatRows="0" sort="0" password="F6B0"/>
  <autoFilter ref="A2:H2"/>
  <mergeCells count="1">
    <mergeCell ref="A1:H1"/>
  </mergeCells>
  <conditionalFormatting sqref="A3:A65001">
    <cfRule type="cellIs" priority="1" operator="equal" dxfId="9">
      <formula>"Error"</formula>
    </cfRule>
    <cfRule type="cellIs" priority="2" operator="equal" dxfId="10">
      <formula>"Warning"</formula>
    </cfRule>
    <cfRule type="cellIs" priority="3" operator="equal" dxfId="11">
      <formula>"Required"</formula>
    </cfRule>
  </conditionalFormatting>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BV908"/>
  <sheetViews>
    <sheetView workbookViewId="0">
      <selection activeCell="A1" sqref="A1"/>
    </sheetView>
  </sheetViews>
  <sheetFormatPr baseColWidth="8" defaultRowHeight="15"/>
  <sheetData>
    <row r="1">
      <c r="A1" t="inlineStr">
        <is>
          <t>{"brand_catalog_id": 1, "previous_upload_id": null, "template_type": "DEFAULT_QUESTIONS", "supplier_id": 455634, "template_context": "STANDARD", "app_version": "v2", "product_count": 0, "default_answers_included": true, "default_answers_supported": true, "use_legacy_excel_format": false, "include_variant_grouping": false, "download_template_request_id": "9dccca51-4ea6-414d-981d-669de11ec959", "sheet_metadata": null}</t>
        </is>
      </c>
      <c r="C1">
        <f>_xlfn.INFO("release")</f>
        <v/>
      </c>
    </row>
    <row r="2">
      <c r="C2">
        <f>_xlfn.INFO("system")</f>
        <v/>
      </c>
    </row>
    <row r="3">
      <c r="C3">
        <f t="array" ref="C3">IF(ISERROR(_xlfn.MAP(A8:A8,_xlfn.LAMBDA(_xlpm.class,_xlpm.class&lt;&gt;""))), "Not Available", "Supported")</f>
        <v/>
      </c>
    </row>
    <row r="8">
      <c r="A8" t="inlineStr">
        <is>
          <t>Carts &amp; Stands</t>
        </is>
      </c>
      <c r="B8" t="inlineStr">
        <is>
          <t>Entertainment Center</t>
        </is>
      </c>
      <c r="C8" t="inlineStr">
        <is>
          <t>Yes</t>
        </is>
      </c>
      <c r="D8" t="inlineStr">
        <is>
          <t>Yes</t>
        </is>
      </c>
      <c r="E8" t="inlineStr">
        <is>
          <t>No</t>
        </is>
      </c>
      <c r="F8" t="inlineStr">
        <is>
          <t>Yes</t>
        </is>
      </c>
      <c r="G8" t="inlineStr">
        <is>
          <t>Yes</t>
        </is>
      </c>
      <c r="H8" t="inlineStr">
        <is>
          <t>Yes</t>
        </is>
      </c>
      <c r="I8" t="inlineStr">
        <is>
          <t>No</t>
        </is>
      </c>
      <c r="J8" t="inlineStr">
        <is>
          <t>Yes</t>
        </is>
      </c>
      <c r="K8" t="inlineStr">
        <is>
          <t>Yes</t>
        </is>
      </c>
      <c r="L8" t="inlineStr">
        <is>
          <t>Yes</t>
        </is>
      </c>
      <c r="M8" t="inlineStr">
        <is>
          <t>Yes</t>
        </is>
      </c>
      <c r="N8" t="inlineStr">
        <is>
          <t>No</t>
        </is>
      </c>
      <c r="O8" t="inlineStr">
        <is>
          <t>Yes</t>
        </is>
      </c>
      <c r="P8" t="inlineStr">
        <is>
          <t>No</t>
        </is>
      </c>
      <c r="Q8" t="inlineStr">
        <is>
          <t>No</t>
        </is>
      </c>
      <c r="R8" t="inlineStr">
        <is>
          <t>No</t>
        </is>
      </c>
      <c r="S8" t="inlineStr">
        <is>
          <t>Yes</t>
        </is>
      </c>
      <c r="T8" t="inlineStr">
        <is>
          <t>No</t>
        </is>
      </c>
      <c r="U8" t="inlineStr">
        <is>
          <t>No</t>
        </is>
      </c>
      <c r="V8" t="inlineStr">
        <is>
          <t>Dovetail</t>
        </is>
      </c>
      <c r="W8" t="inlineStr">
        <is>
          <t>Yes</t>
        </is>
      </c>
      <c r="X8" t="inlineStr">
        <is>
          <t>Lithium Metal</t>
        </is>
      </c>
      <c r="Y8" t="inlineStr">
        <is>
          <t>Cell</t>
        </is>
      </c>
      <c r="Z8" t="inlineStr">
        <is>
          <t>1</t>
        </is>
      </c>
      <c r="AA8" t="inlineStr">
        <is>
          <t>Stand alone</t>
        </is>
      </c>
      <c r="AB8" t="inlineStr">
        <is>
          <t>Cells exceeding 5 grams</t>
        </is>
      </c>
      <c r="AC8" t="inlineStr">
        <is>
          <t>Cells of between 20w/h and 60w/h</t>
        </is>
      </c>
      <c r="AD8" t="inlineStr">
        <is>
          <t>2.5kg or less</t>
        </is>
      </c>
      <c r="AE8" t="inlineStr">
        <is>
          <t>Yes</t>
        </is>
      </c>
      <c r="AF8" t="inlineStr">
        <is>
          <t>No</t>
        </is>
      </c>
      <c r="AG8" t="inlineStr">
        <is>
          <t>Yes</t>
        </is>
      </c>
      <c r="AH8" t="inlineStr">
        <is>
          <t>Yes</t>
        </is>
      </c>
      <c r="AI8" t="inlineStr">
        <is>
          <t>Direct Vent</t>
        </is>
      </c>
      <c r="AJ8" t="inlineStr">
        <is>
          <t>Yes</t>
        </is>
      </c>
      <c r="AK8" t="inlineStr">
        <is>
          <t>Yes</t>
        </is>
      </c>
      <c r="AL8" t="inlineStr">
        <is>
          <t>Yes</t>
        </is>
      </c>
      <c r="AM8" t="inlineStr">
        <is>
          <t>Yes</t>
        </is>
      </c>
      <c r="AN8" t="inlineStr">
        <is>
          <t>Yes</t>
        </is>
      </c>
      <c r="AO8" t="inlineStr">
        <is>
          <t>Yes</t>
        </is>
      </c>
      <c r="AP8" t="inlineStr">
        <is>
          <t>Yes</t>
        </is>
      </c>
      <c r="AQ8" t="inlineStr">
        <is>
          <t>Yes</t>
        </is>
      </c>
      <c r="AR8" t="inlineStr">
        <is>
          <t>Yes</t>
        </is>
      </c>
      <c r="AS8" t="inlineStr">
        <is>
          <t>Yes</t>
        </is>
      </c>
      <c r="AT8" t="inlineStr">
        <is>
          <t>Yes</t>
        </is>
      </c>
      <c r="AU8" t="inlineStr">
        <is>
          <t>1</t>
        </is>
      </c>
      <c r="AV8" t="inlineStr">
        <is>
          <t>I</t>
        </is>
      </c>
      <c r="AW8" t="inlineStr">
        <is>
          <t>&gt;0 - ≤25ml</t>
        </is>
      </c>
      <c r="AX8" t="inlineStr">
        <is>
          <t>Yes</t>
        </is>
      </c>
      <c r="AY8" t="inlineStr">
        <is>
          <t>No</t>
        </is>
      </c>
      <c r="AZ8" t="inlineStr">
        <is>
          <t>No</t>
        </is>
      </c>
      <c r="BA8" t="inlineStr">
        <is>
          <t>1A</t>
        </is>
      </c>
      <c r="BB8" t="inlineStr">
        <is>
          <t>Yes</t>
        </is>
      </c>
      <c r="BC8" t="inlineStr">
        <is>
          <t>BIFMA Accredited</t>
        </is>
      </c>
      <c r="BD8" t="inlineStr">
        <is>
          <t>28"</t>
        </is>
      </c>
      <c r="BE8" t="inlineStr">
        <is>
          <t>Yes</t>
        </is>
      </c>
      <c r="BF8" t="inlineStr">
        <is>
          <t>No Assembly Needed</t>
        </is>
      </c>
      <c r="BG8" t="inlineStr">
        <is>
          <t>30 Days</t>
        </is>
      </c>
      <c r="BH8" t="inlineStr">
        <is>
          <t>Yes</t>
        </is>
      </c>
      <c r="BI8" t="inlineStr">
        <is>
          <t>Yes</t>
        </is>
      </c>
      <c r="BJ8" t="inlineStr">
        <is>
          <t>Full</t>
        </is>
      </c>
      <c r="BL8" t="inlineStr">
        <is>
          <t>US</t>
        </is>
      </c>
      <c r="BM8" t="inlineStr">
        <is>
          <t>Arabic</t>
        </is>
      </c>
      <c r="BN8" t="inlineStr">
        <is>
          <t>No</t>
        </is>
      </c>
      <c r="BO8" t="inlineStr">
        <is>
          <t>A-alpha-C (2-Amino-9H-pyrido[2,3-b]indole)</t>
        </is>
      </c>
      <c r="BP8" t="inlineStr">
        <is>
          <t>United States</t>
        </is>
      </c>
      <c r="BQ8" t="inlineStr">
        <is>
          <t>Small Parcel</t>
        </is>
      </c>
      <c r="BR8" t="inlineStr">
        <is>
          <t>50</t>
        </is>
      </c>
      <c r="BS8" t="inlineStr">
        <is>
          <t>0</t>
        </is>
      </c>
      <c r="BT8" t="inlineStr">
        <is>
          <t>0</t>
        </is>
      </c>
      <c r="BU8" t="inlineStr">
        <is>
          <t>No</t>
        </is>
      </c>
      <c r="BV8" t="inlineStr">
        <is>
          <t>No</t>
        </is>
      </c>
    </row>
    <row r="9">
      <c r="A9" t="inlineStr">
        <is>
          <t>Multimedia Storage</t>
        </is>
      </c>
      <c r="B9" t="inlineStr">
        <is>
          <t>TV Stand</t>
        </is>
      </c>
      <c r="C9" t="inlineStr">
        <is>
          <t>No</t>
        </is>
      </c>
      <c r="D9" t="inlineStr">
        <is>
          <t>No</t>
        </is>
      </c>
      <c r="E9" t="inlineStr">
        <is>
          <t>Yes</t>
        </is>
      </c>
      <c r="F9" t="inlineStr">
        <is>
          <t>No</t>
        </is>
      </c>
      <c r="G9" t="inlineStr">
        <is>
          <t>No</t>
        </is>
      </c>
      <c r="H9" t="inlineStr">
        <is>
          <t>No</t>
        </is>
      </c>
      <c r="I9" t="inlineStr">
        <is>
          <t>Yes</t>
        </is>
      </c>
      <c r="J9" t="inlineStr">
        <is>
          <t>No</t>
        </is>
      </c>
      <c r="K9" t="inlineStr">
        <is>
          <t>No</t>
        </is>
      </c>
      <c r="L9" t="inlineStr">
        <is>
          <t>No</t>
        </is>
      </c>
      <c r="M9" t="inlineStr">
        <is>
          <t>No</t>
        </is>
      </c>
      <c r="N9" t="inlineStr">
        <is>
          <t>Yes</t>
        </is>
      </c>
      <c r="O9" t="inlineStr">
        <is>
          <t>No</t>
        </is>
      </c>
      <c r="P9" t="inlineStr">
        <is>
          <t>Yes</t>
        </is>
      </c>
      <c r="Q9" t="inlineStr">
        <is>
          <t>Yes</t>
        </is>
      </c>
      <c r="R9" t="inlineStr">
        <is>
          <t>Yes</t>
        </is>
      </c>
      <c r="S9" t="inlineStr">
        <is>
          <t>No</t>
        </is>
      </c>
      <c r="T9" t="inlineStr">
        <is>
          <t>Yes</t>
        </is>
      </c>
      <c r="U9" t="inlineStr">
        <is>
          <t>Yes</t>
        </is>
      </c>
      <c r="V9" t="inlineStr">
        <is>
          <t>Mortise and Tenon</t>
        </is>
      </c>
      <c r="W9" t="inlineStr">
        <is>
          <t>No</t>
        </is>
      </c>
      <c r="X9" t="inlineStr">
        <is>
          <t>Lithium Ion / Lithium Polymer</t>
        </is>
      </c>
      <c r="Y9" t="inlineStr">
        <is>
          <t>Battery</t>
        </is>
      </c>
      <c r="Z9" t="inlineStr">
        <is>
          <t>2</t>
        </is>
      </c>
      <c r="AA9" t="inlineStr">
        <is>
          <t>Contained in product</t>
        </is>
      </c>
      <c r="AB9" t="inlineStr">
        <is>
          <t>Batteries of 2 grams or less</t>
        </is>
      </c>
      <c r="AC9" t="inlineStr">
        <is>
          <t>Cells exceeding 60w/h</t>
        </is>
      </c>
      <c r="AD9" t="inlineStr">
        <is>
          <t>2.5kg to 5kg</t>
        </is>
      </c>
      <c r="AE9" t="inlineStr">
        <is>
          <t>No</t>
        </is>
      </c>
      <c r="AF9" t="inlineStr">
        <is>
          <t>Yes</t>
        </is>
      </c>
      <c r="AG9" t="inlineStr">
        <is>
          <t>No</t>
        </is>
      </c>
      <c r="AH9" t="inlineStr">
        <is>
          <t>No</t>
        </is>
      </c>
      <c r="AI9" t="inlineStr">
        <is>
          <t>Natural Vent</t>
        </is>
      </c>
      <c r="AJ9" t="inlineStr">
        <is>
          <t>No</t>
        </is>
      </c>
      <c r="AK9" t="inlineStr">
        <is>
          <t>No</t>
        </is>
      </c>
      <c r="AL9" t="inlineStr">
        <is>
          <t>No</t>
        </is>
      </c>
      <c r="AM9" t="inlineStr">
        <is>
          <t>No</t>
        </is>
      </c>
      <c r="AN9" t="inlineStr">
        <is>
          <t>No</t>
        </is>
      </c>
      <c r="AO9" t="inlineStr">
        <is>
          <t>No</t>
        </is>
      </c>
      <c r="AP9" t="inlineStr">
        <is>
          <t>No</t>
        </is>
      </c>
      <c r="AQ9" t="inlineStr">
        <is>
          <t>No</t>
        </is>
      </c>
      <c r="AR9" t="inlineStr">
        <is>
          <t>No</t>
        </is>
      </c>
      <c r="AS9" t="inlineStr">
        <is>
          <t>No</t>
        </is>
      </c>
      <c r="AT9" t="inlineStr">
        <is>
          <t>No</t>
        </is>
      </c>
      <c r="AU9" t="inlineStr">
        <is>
          <t>2.2</t>
        </is>
      </c>
      <c r="AV9" t="inlineStr">
        <is>
          <t>III</t>
        </is>
      </c>
      <c r="AW9" t="inlineStr">
        <is>
          <t>&gt;1L - ≤5L</t>
        </is>
      </c>
      <c r="AX9" t="inlineStr">
        <is>
          <t>No</t>
        </is>
      </c>
      <c r="AY9" t="inlineStr">
        <is>
          <t>Yes</t>
        </is>
      </c>
      <c r="AZ9" t="inlineStr">
        <is>
          <t>Yes</t>
        </is>
      </c>
      <c r="BA9" t="inlineStr">
        <is>
          <t>3A or 6A</t>
        </is>
      </c>
      <c r="BB9" t="inlineStr">
        <is>
          <t>No</t>
        </is>
      </c>
      <c r="BC9" t="inlineStr">
        <is>
          <t>BIFMA Equivalent</t>
        </is>
      </c>
      <c r="BD9" t="inlineStr">
        <is>
          <t>24"</t>
        </is>
      </c>
      <c r="BE9" t="inlineStr">
        <is>
          <t>No</t>
        </is>
      </c>
      <c r="BF9" t="inlineStr">
        <is>
          <t>Minimal Assembly Needed</t>
        </is>
      </c>
      <c r="BG9" t="inlineStr">
        <is>
          <t>60 Days</t>
        </is>
      </c>
      <c r="BH9" t="inlineStr">
        <is>
          <t>No</t>
        </is>
      </c>
      <c r="BI9" t="inlineStr">
        <is>
          <t>No</t>
        </is>
      </c>
      <c r="BJ9" t="inlineStr">
        <is>
          <t>Limited</t>
        </is>
      </c>
      <c r="BL9" t="inlineStr">
        <is>
          <t>UK</t>
        </is>
      </c>
      <c r="BM9" t="inlineStr">
        <is>
          <t>Bulgarian</t>
        </is>
      </c>
      <c r="BN9" t="inlineStr">
        <is>
          <t>Yes</t>
        </is>
      </c>
      <c r="BO9" t="inlineStr">
        <is>
          <t>Abiraterone acetate</t>
        </is>
      </c>
      <c r="BP9" t="inlineStr">
        <is>
          <t>Canada</t>
        </is>
      </c>
      <c r="BQ9" t="inlineStr">
        <is>
          <t>LTL</t>
        </is>
      </c>
      <c r="BR9" t="inlineStr">
        <is>
          <t>55</t>
        </is>
      </c>
      <c r="BS9" t="inlineStr">
        <is>
          <t>24</t>
        </is>
      </c>
      <c r="BT9" t="inlineStr">
        <is>
          <t>24</t>
        </is>
      </c>
      <c r="BU9" t="inlineStr">
        <is>
          <t>Yes</t>
        </is>
      </c>
      <c r="BV9" t="inlineStr">
        <is>
          <t>Yes</t>
        </is>
      </c>
    </row>
    <row r="10">
      <c r="A10" t="inlineStr">
        <is>
          <t>Speaker Stands</t>
        </is>
      </c>
      <c r="C10" t="inlineStr">
        <is>
          <t>Unavailable</t>
        </is>
      </c>
      <c r="F10" t="inlineStr">
        <is>
          <t>Does Not Apply</t>
        </is>
      </c>
      <c r="H10" t="inlineStr">
        <is>
          <t>Unavailable</t>
        </is>
      </c>
      <c r="I10" t="inlineStr">
        <is>
          <t>Unavailable</t>
        </is>
      </c>
      <c r="J10" t="inlineStr">
        <is>
          <t>Unavailable</t>
        </is>
      </c>
      <c r="K10" t="inlineStr">
        <is>
          <t>Does Not Apply</t>
        </is>
      </c>
      <c r="L10" t="inlineStr">
        <is>
          <t>Unavailable</t>
        </is>
      </c>
      <c r="M10" t="inlineStr">
        <is>
          <t>Unavailable</t>
        </is>
      </c>
      <c r="N10" t="inlineStr">
        <is>
          <t>Unavailable</t>
        </is>
      </c>
      <c r="O10" t="inlineStr">
        <is>
          <t>Unavailable</t>
        </is>
      </c>
      <c r="T10" t="inlineStr">
        <is>
          <t>Unavailable</t>
        </is>
      </c>
      <c r="U10" t="inlineStr">
        <is>
          <t>Does Not Apply</t>
        </is>
      </c>
      <c r="V10" t="inlineStr">
        <is>
          <t>Rabbet Joint</t>
        </is>
      </c>
      <c r="W10" t="inlineStr">
        <is>
          <t>Unavailable</t>
        </is>
      </c>
      <c r="X10" t="inlineStr">
        <is>
          <t>Nickel Cadmium</t>
        </is>
      </c>
      <c r="Y10" t="inlineStr">
        <is>
          <t>Button Cell</t>
        </is>
      </c>
      <c r="Z10" t="inlineStr">
        <is>
          <t>3</t>
        </is>
      </c>
      <c r="AA10" t="inlineStr">
        <is>
          <t>Packed with product</t>
        </is>
      </c>
      <c r="AB10" t="inlineStr">
        <is>
          <t>Batteries of between 2 and 25 grams</t>
        </is>
      </c>
      <c r="AC10" t="inlineStr">
        <is>
          <t>Cells of 20w/h or less</t>
        </is>
      </c>
      <c r="AD10" t="inlineStr">
        <is>
          <t>More than 10kg</t>
        </is>
      </c>
      <c r="AE10" t="inlineStr">
        <is>
          <t>Unavailable</t>
        </is>
      </c>
      <c r="AF10" t="inlineStr">
        <is>
          <t>Unavailable</t>
        </is>
      </c>
      <c r="AG10" t="inlineStr">
        <is>
          <t>Does Not Apply</t>
        </is>
      </c>
      <c r="AH10" t="inlineStr">
        <is>
          <t>Unavailable</t>
        </is>
      </c>
      <c r="AI10" t="inlineStr">
        <is>
          <t>Vent Free</t>
        </is>
      </c>
      <c r="AJ10" t="inlineStr">
        <is>
          <t>Unavailable</t>
        </is>
      </c>
      <c r="AK10" t="inlineStr">
        <is>
          <t>Unavailable</t>
        </is>
      </c>
      <c r="AL10" t="inlineStr">
        <is>
          <t>Unavailable</t>
        </is>
      </c>
      <c r="AM10" t="inlineStr">
        <is>
          <t>Does Not Apply</t>
        </is>
      </c>
      <c r="AN10" t="inlineStr">
        <is>
          <t>Does Not Apply</t>
        </is>
      </c>
      <c r="AO10" t="inlineStr">
        <is>
          <t>Does Not Apply</t>
        </is>
      </c>
      <c r="AP10" t="inlineStr">
        <is>
          <t>Yes, Compliance Verified Program Member</t>
        </is>
      </c>
      <c r="AQ10" t="inlineStr">
        <is>
          <t>Does Not Apply</t>
        </is>
      </c>
      <c r="AT10" t="inlineStr">
        <is>
          <t>Yes, Compliance Verified Program Member</t>
        </is>
      </c>
      <c r="AU10" t="inlineStr">
        <is>
          <t>2.1</t>
        </is>
      </c>
      <c r="AV10" t="inlineStr">
        <is>
          <t>No Packing Group</t>
        </is>
      </c>
      <c r="AW10" t="inlineStr">
        <is>
          <t>&gt;0.5L - ≤1L</t>
        </is>
      </c>
      <c r="AY10" t="inlineStr">
        <is>
          <t>Yes, Compliance Verified Program Member</t>
        </is>
      </c>
      <c r="AZ10" t="inlineStr">
        <is>
          <t>Yes, Compliance Verified Program Member</t>
        </is>
      </c>
      <c r="BA10" t="inlineStr">
        <is>
          <t>Does Not Apply</t>
        </is>
      </c>
      <c r="BB10" t="inlineStr">
        <is>
          <t>Does Not Apply</t>
        </is>
      </c>
      <c r="BC10" t="inlineStr">
        <is>
          <t>Contract Grade Accredited</t>
        </is>
      </c>
      <c r="BD10" t="inlineStr">
        <is>
          <t>40"</t>
        </is>
      </c>
      <c r="BF10" t="inlineStr">
        <is>
          <t>Full Assembly Needed</t>
        </is>
      </c>
      <c r="BG10" t="inlineStr">
        <is>
          <t>90 Days</t>
        </is>
      </c>
      <c r="BH10" t="inlineStr">
        <is>
          <t>Does Not Apply</t>
        </is>
      </c>
      <c r="BJ10" t="inlineStr">
        <is>
          <t>Does Not Apply</t>
        </is>
      </c>
      <c r="BL10" t="inlineStr">
        <is>
          <t>EU</t>
        </is>
      </c>
      <c r="BM10" t="inlineStr">
        <is>
          <t>Czech (Czech Republic)</t>
        </is>
      </c>
      <c r="BO10" t="inlineStr">
        <is>
          <t>Acetaldehyde</t>
        </is>
      </c>
      <c r="BP10" t="inlineStr">
        <is>
          <t>Afghanistan</t>
        </is>
      </c>
      <c r="BR10" t="inlineStr">
        <is>
          <t>60</t>
        </is>
      </c>
      <c r="BS10" t="inlineStr">
        <is>
          <t>48</t>
        </is>
      </c>
      <c r="BT10" t="inlineStr">
        <is>
          <t>48</t>
        </is>
      </c>
    </row>
    <row r="11">
      <c r="A11" t="inlineStr">
        <is>
          <t>TV Stands &amp; Entertainment Centers</t>
        </is>
      </c>
      <c r="V11" t="inlineStr">
        <is>
          <t>Basic Butt</t>
        </is>
      </c>
      <c r="W11" t="inlineStr">
        <is>
          <t>Does Not Apply</t>
        </is>
      </c>
      <c r="X11" t="inlineStr">
        <is>
          <t>Nickel Metal Hydride</t>
        </is>
      </c>
      <c r="Y11" t="inlineStr">
        <is>
          <t>Does Not Apply</t>
        </is>
      </c>
      <c r="Z11" t="inlineStr">
        <is>
          <t>6</t>
        </is>
      </c>
      <c r="AA11" t="inlineStr">
        <is>
          <t>Does Not Apply</t>
        </is>
      </c>
      <c r="AB11" t="inlineStr">
        <is>
          <t>Cells of 1gram or less</t>
        </is>
      </c>
      <c r="AC11" t="inlineStr">
        <is>
          <t>Batteries exceeding 300w/h</t>
        </is>
      </c>
      <c r="AD11" t="inlineStr">
        <is>
          <t>5kg to 10kg</t>
        </is>
      </c>
      <c r="AF11" t="inlineStr">
        <is>
          <t>Does Not Apply</t>
        </is>
      </c>
      <c r="AI11" t="inlineStr">
        <is>
          <t>External</t>
        </is>
      </c>
      <c r="AJ11" t="inlineStr">
        <is>
          <t>Does Not Apply</t>
        </is>
      </c>
      <c r="AK11" t="inlineStr">
        <is>
          <t>Does Not Apply</t>
        </is>
      </c>
      <c r="AL11" t="inlineStr">
        <is>
          <t>Does Not Apply</t>
        </is>
      </c>
      <c r="AP11" t="inlineStr">
        <is>
          <t>Does Not Apply</t>
        </is>
      </c>
      <c r="AT11" t="inlineStr">
        <is>
          <t>Does Not Apply</t>
        </is>
      </c>
      <c r="AU11" t="inlineStr">
        <is>
          <t>7</t>
        </is>
      </c>
      <c r="AV11" t="inlineStr">
        <is>
          <t>II</t>
        </is>
      </c>
      <c r="AW11" t="inlineStr">
        <is>
          <t>&gt;0 - ≤100g</t>
        </is>
      </c>
      <c r="AY11" t="inlineStr">
        <is>
          <t>Unavailable</t>
        </is>
      </c>
      <c r="AZ11" t="inlineStr">
        <is>
          <t>Does Not Apply</t>
        </is>
      </c>
      <c r="BC11" t="inlineStr">
        <is>
          <t>Unavailable</t>
        </is>
      </c>
      <c r="BD11" t="inlineStr">
        <is>
          <t>32"</t>
        </is>
      </c>
      <c r="BF11" t="inlineStr">
        <is>
          <t>Does Not Apply</t>
        </is>
      </c>
      <c r="BG11" t="inlineStr">
        <is>
          <t>6 Months</t>
        </is>
      </c>
      <c r="BL11" t="inlineStr">
        <is>
          <t>CA</t>
        </is>
      </c>
      <c r="BM11" t="inlineStr">
        <is>
          <t>Danish</t>
        </is>
      </c>
      <c r="BO11" t="inlineStr">
        <is>
          <t>Acetamide</t>
        </is>
      </c>
      <c r="BP11" t="inlineStr">
        <is>
          <t>Åland Islands</t>
        </is>
      </c>
      <c r="BR11" t="inlineStr">
        <is>
          <t>65</t>
        </is>
      </c>
      <c r="BS11" t="inlineStr">
        <is>
          <t>72</t>
        </is>
      </c>
      <c r="BT11" t="inlineStr">
        <is>
          <t>72</t>
        </is>
      </c>
    </row>
    <row r="12">
      <c r="A12" t="inlineStr">
        <is>
          <t>Audio Towers</t>
        </is>
      </c>
      <c r="V12" t="inlineStr">
        <is>
          <t>Biscuit Joint</t>
        </is>
      </c>
      <c r="X12" t="inlineStr">
        <is>
          <t>Alkaline</t>
        </is>
      </c>
      <c r="Z12" t="inlineStr">
        <is>
          <t>7</t>
        </is>
      </c>
      <c r="AB12" t="inlineStr">
        <is>
          <t>Cells of between 1 and 5 grams</t>
        </is>
      </c>
      <c r="AC12" t="inlineStr">
        <is>
          <t>Batteries of between 100w/h and 300 w/h</t>
        </is>
      </c>
      <c r="AD12" t="inlineStr">
        <is>
          <t>Does Not Apply</t>
        </is>
      </c>
      <c r="AI12" t="inlineStr">
        <is>
          <t>Convertible</t>
        </is>
      </c>
      <c r="AU12" t="inlineStr">
        <is>
          <t>5.2</t>
        </is>
      </c>
      <c r="AV12" t="inlineStr">
        <is>
          <t>Does Not Apply</t>
        </is>
      </c>
      <c r="AW12" t="inlineStr">
        <is>
          <t>&gt;100 - ≤500g</t>
        </is>
      </c>
      <c r="AY12" t="inlineStr">
        <is>
          <t>Does Not Apply</t>
        </is>
      </c>
      <c r="BC12" t="inlineStr">
        <is>
          <t>Does Not Apply</t>
        </is>
      </c>
      <c r="BD12" t="inlineStr">
        <is>
          <t>42"</t>
        </is>
      </c>
      <c r="BG12" t="inlineStr">
        <is>
          <t>1 Year</t>
        </is>
      </c>
      <c r="BM12" t="inlineStr">
        <is>
          <t>German</t>
        </is>
      </c>
      <c r="BO12" t="inlineStr">
        <is>
          <t>Acetazolamide</t>
        </is>
      </c>
      <c r="BP12" t="inlineStr">
        <is>
          <t>Albania</t>
        </is>
      </c>
      <c r="BR12" t="inlineStr">
        <is>
          <t>70</t>
        </is>
      </c>
      <c r="BS12" t="inlineStr">
        <is>
          <t>96</t>
        </is>
      </c>
      <c r="BT12" t="inlineStr">
        <is>
          <t>96</t>
        </is>
      </c>
    </row>
    <row r="13">
      <c r="A13" t="inlineStr">
        <is>
          <t>Office Chairs</t>
        </is>
      </c>
      <c r="V13" t="inlineStr">
        <is>
          <t>Tongue and Groove</t>
        </is>
      </c>
      <c r="X13" t="inlineStr">
        <is>
          <t>Carbon Zinc</t>
        </is>
      </c>
      <c r="Z13" t="inlineStr">
        <is>
          <t>5</t>
        </is>
      </c>
      <c r="AB13" t="inlineStr">
        <is>
          <t>Batteries exceeding 25 grams</t>
        </is>
      </c>
      <c r="AC13" t="inlineStr">
        <is>
          <t>Batteries of 100w/h or less</t>
        </is>
      </c>
      <c r="AI13" t="inlineStr">
        <is>
          <t>Recirculating</t>
        </is>
      </c>
      <c r="AU13" t="inlineStr">
        <is>
          <t>6.1</t>
        </is>
      </c>
      <c r="AW13" t="inlineStr">
        <is>
          <t>&gt;500g - ≤1kg</t>
        </is>
      </c>
      <c r="BD13" t="inlineStr">
        <is>
          <t>49"</t>
        </is>
      </c>
      <c r="BG13" t="inlineStr">
        <is>
          <t>2 Years</t>
        </is>
      </c>
      <c r="BM13" t="inlineStr">
        <is>
          <t>Greek</t>
        </is>
      </c>
      <c r="BO13" t="inlineStr">
        <is>
          <t>Acetochlor</t>
        </is>
      </c>
      <c r="BP13" t="inlineStr">
        <is>
          <t>Algeria</t>
        </is>
      </c>
      <c r="BR13" t="inlineStr">
        <is>
          <t>77.5</t>
        </is>
      </c>
      <c r="BS13" t="inlineStr">
        <is>
          <t>120</t>
        </is>
      </c>
      <c r="BT13" t="inlineStr">
        <is>
          <t>120</t>
        </is>
      </c>
    </row>
    <row r="14">
      <c r="A14" t="inlineStr">
        <is>
          <t>Beds</t>
        </is>
      </c>
      <c r="V14" t="inlineStr">
        <is>
          <t>Pocket Joint</t>
        </is>
      </c>
      <c r="X14" t="inlineStr">
        <is>
          <t>Lead Acid (Spillable)</t>
        </is>
      </c>
      <c r="Z14" t="inlineStr">
        <is>
          <t>8</t>
        </is>
      </c>
      <c r="AB14" t="inlineStr">
        <is>
          <t>Does Not Apply</t>
        </is>
      </c>
      <c r="AC14" t="inlineStr">
        <is>
          <t>Does Not Apply</t>
        </is>
      </c>
      <c r="AI14" t="inlineStr">
        <is>
          <t>B-Vent</t>
        </is>
      </c>
      <c r="AU14" t="inlineStr">
        <is>
          <t>3</t>
        </is>
      </c>
      <c r="AW14" t="inlineStr">
        <is>
          <t>&gt;125ml - ≤500ml</t>
        </is>
      </c>
      <c r="BD14" t="inlineStr">
        <is>
          <t>55"</t>
        </is>
      </c>
      <c r="BG14" t="inlineStr">
        <is>
          <t>3 Years</t>
        </is>
      </c>
      <c r="BM14" t="inlineStr">
        <is>
          <t>English (United Kingdom)</t>
        </is>
      </c>
      <c r="BO14" t="inlineStr">
        <is>
          <t>Acetohydroxamic acid</t>
        </is>
      </c>
      <c r="BP14" t="inlineStr">
        <is>
          <t>American Samoa</t>
        </is>
      </c>
      <c r="BR14" t="inlineStr">
        <is>
          <t>85</t>
        </is>
      </c>
      <c r="BS14" t="inlineStr">
        <is>
          <t>144</t>
        </is>
      </c>
    </row>
    <row r="15">
      <c r="A15" t="inlineStr">
        <is>
          <t>Dressers &amp; Chests</t>
        </is>
      </c>
      <c r="V15" t="inlineStr">
        <is>
          <t>Cam Bolt</t>
        </is>
      </c>
      <c r="X15" t="inlineStr">
        <is>
          <t>Lead Acid (Non-Spillable)</t>
        </is>
      </c>
      <c r="Z15" t="inlineStr">
        <is>
          <t>10</t>
        </is>
      </c>
      <c r="AI15" t="inlineStr">
        <is>
          <t>Does Not Apply</t>
        </is>
      </c>
      <c r="AU15" t="inlineStr">
        <is>
          <t>4.1</t>
        </is>
      </c>
      <c r="AW15" t="inlineStr">
        <is>
          <t>&gt;25 - ≤125ml</t>
        </is>
      </c>
      <c r="BD15" t="inlineStr">
        <is>
          <t>50"</t>
        </is>
      </c>
      <c r="BG15" t="inlineStr">
        <is>
          <t>5 Years</t>
        </is>
      </c>
      <c r="BM15" t="inlineStr">
        <is>
          <t>English (United States)</t>
        </is>
      </c>
      <c r="BO15" t="inlineStr">
        <is>
          <t>2-Acetylaminofluorene</t>
        </is>
      </c>
      <c r="BP15" t="inlineStr">
        <is>
          <t>Andorra</t>
        </is>
      </c>
      <c r="BR15" t="inlineStr">
        <is>
          <t>92.5</t>
        </is>
      </c>
      <c r="BS15" t="inlineStr">
        <is>
          <t>168</t>
        </is>
      </c>
    </row>
    <row r="16">
      <c r="A16" t="inlineStr">
        <is>
          <t>Nightstands</t>
        </is>
      </c>
      <c r="V16" t="inlineStr">
        <is>
          <t>Dowel Joint</t>
        </is>
      </c>
      <c r="X16" t="inlineStr">
        <is>
          <t>Silver Oxide</t>
        </is>
      </c>
      <c r="Z16" t="inlineStr">
        <is>
          <t>4</t>
        </is>
      </c>
      <c r="AU16" t="inlineStr">
        <is>
          <t>4.3</t>
        </is>
      </c>
      <c r="AW16" t="inlineStr">
        <is>
          <t>&gt;1kg - ≤5kg</t>
        </is>
      </c>
      <c r="BD16" t="inlineStr">
        <is>
          <t>58"</t>
        </is>
      </c>
      <c r="BG16" t="inlineStr">
        <is>
          <t>10 Years</t>
        </is>
      </c>
      <c r="BM16" t="inlineStr">
        <is>
          <t>Spanish</t>
        </is>
      </c>
      <c r="BO16" t="inlineStr">
        <is>
          <t>Acifluorfen sodium</t>
        </is>
      </c>
      <c r="BP16" t="inlineStr">
        <is>
          <t>Angola</t>
        </is>
      </c>
      <c r="BR16" t="inlineStr">
        <is>
          <t>100</t>
        </is>
      </c>
      <c r="BS16" t="inlineStr">
        <is>
          <t>192</t>
        </is>
      </c>
    </row>
    <row r="17">
      <c r="A17" t="inlineStr">
        <is>
          <t>Armoires &amp; Wardrobes</t>
        </is>
      </c>
      <c r="V17" t="inlineStr">
        <is>
          <t>Half-Lap</t>
        </is>
      </c>
      <c r="X17" t="inlineStr">
        <is>
          <t>Does Not Apply</t>
        </is>
      </c>
      <c r="Z17" t="inlineStr">
        <is>
          <t>9</t>
        </is>
      </c>
      <c r="AU17" t="inlineStr">
        <is>
          <t>4.2</t>
        </is>
      </c>
      <c r="AW17" t="inlineStr">
        <is>
          <t>&gt;5L</t>
        </is>
      </c>
      <c r="BD17" t="inlineStr">
        <is>
          <t>65"</t>
        </is>
      </c>
      <c r="BG17" t="inlineStr">
        <is>
          <t>20 Years</t>
        </is>
      </c>
      <c r="BM17" t="inlineStr">
        <is>
          <t>Finnish</t>
        </is>
      </c>
      <c r="BO17" t="inlineStr">
        <is>
          <t>Acrylamide</t>
        </is>
      </c>
      <c r="BP17" t="inlineStr">
        <is>
          <t>Anguilla</t>
        </is>
      </c>
      <c r="BR17" t="inlineStr">
        <is>
          <t>110</t>
        </is>
      </c>
      <c r="BS17" t="inlineStr">
        <is>
          <t>216</t>
        </is>
      </c>
    </row>
    <row r="18">
      <c r="A18" t="inlineStr">
        <is>
          <t>Daybeds &amp; Guest Beds</t>
        </is>
      </c>
      <c r="V18" t="inlineStr">
        <is>
          <t>Box</t>
        </is>
      </c>
      <c r="Z18" t="inlineStr">
        <is>
          <t>Unavailable</t>
        </is>
      </c>
      <c r="AU18" t="inlineStr">
        <is>
          <t>5.1</t>
        </is>
      </c>
      <c r="AW18" t="inlineStr">
        <is>
          <t>&gt;5kg</t>
        </is>
      </c>
      <c r="BD18" t="inlineStr">
        <is>
          <t>75"</t>
        </is>
      </c>
      <c r="BG18" t="inlineStr">
        <is>
          <t>25 Years</t>
        </is>
      </c>
      <c r="BM18" t="inlineStr">
        <is>
          <t>French (Canada)</t>
        </is>
      </c>
      <c r="BO18" t="inlineStr">
        <is>
          <t>Acrylonitrile</t>
        </is>
      </c>
      <c r="BP18" t="inlineStr">
        <is>
          <t>Antarctica</t>
        </is>
      </c>
      <c r="BR18" t="inlineStr">
        <is>
          <t>125</t>
        </is>
      </c>
      <c r="BS18" t="inlineStr">
        <is>
          <t>240</t>
        </is>
      </c>
    </row>
    <row r="19">
      <c r="A19" t="inlineStr">
        <is>
          <t>Headboards</t>
        </is>
      </c>
      <c r="V19" t="inlineStr">
        <is>
          <t>Lap</t>
        </is>
      </c>
      <c r="Z19" t="inlineStr">
        <is>
          <t>Does Not Apply</t>
        </is>
      </c>
      <c r="AU19" t="inlineStr">
        <is>
          <t>2.3</t>
        </is>
      </c>
      <c r="AW19" t="inlineStr">
        <is>
          <t>Does Not Apply</t>
        </is>
      </c>
      <c r="BD19" t="inlineStr">
        <is>
          <t>70"</t>
        </is>
      </c>
      <c r="BG19" t="inlineStr">
        <is>
          <t>Lifetime</t>
        </is>
      </c>
      <c r="BM19" t="inlineStr">
        <is>
          <t>Hungarian</t>
        </is>
      </c>
      <c r="BO19" t="inlineStr">
        <is>
          <t>Actinomycin D</t>
        </is>
      </c>
      <c r="BP19" t="inlineStr">
        <is>
          <t>Antigua and Barbuda</t>
        </is>
      </c>
      <c r="BR19" t="inlineStr">
        <is>
          <t>150</t>
        </is>
      </c>
      <c r="BS19" t="inlineStr">
        <is>
          <t>360</t>
        </is>
      </c>
    </row>
    <row r="20">
      <c r="A20" t="inlineStr">
        <is>
          <t>Bedroom Sets</t>
        </is>
      </c>
      <c r="V20" t="inlineStr">
        <is>
          <t>Double Dowelled</t>
        </is>
      </c>
      <c r="AU20" t="inlineStr">
        <is>
          <t>6.2</t>
        </is>
      </c>
      <c r="BD20" t="inlineStr">
        <is>
          <t>48"</t>
        </is>
      </c>
      <c r="BG20" t="inlineStr">
        <is>
          <t>15 Years</t>
        </is>
      </c>
      <c r="BM20" t="inlineStr">
        <is>
          <t>Indonesian</t>
        </is>
      </c>
      <c r="BO20" t="inlineStr">
        <is>
          <t>AF-2;[2-(2-furyl)-3-(5-nitro-2-furyl)]acrylamide</t>
        </is>
      </c>
      <c r="BP20" t="inlineStr">
        <is>
          <t>Argentina</t>
        </is>
      </c>
      <c r="BR20" t="inlineStr">
        <is>
          <t>175</t>
        </is>
      </c>
      <c r="BS20" t="inlineStr">
        <is>
          <t>480</t>
        </is>
      </c>
    </row>
    <row r="21">
      <c r="A21" t="inlineStr">
        <is>
          <t>Easels</t>
        </is>
      </c>
      <c r="V21" t="inlineStr">
        <is>
          <t>Bridle</t>
        </is>
      </c>
      <c r="AU21" t="inlineStr">
        <is>
          <t>9</t>
        </is>
      </c>
      <c r="BD21" t="inlineStr">
        <is>
          <t>43"</t>
        </is>
      </c>
      <c r="BG21" t="inlineStr">
        <is>
          <t>4 Years</t>
        </is>
      </c>
      <c r="BM21" t="inlineStr">
        <is>
          <t>Icelandic</t>
        </is>
      </c>
      <c r="BO21" t="inlineStr">
        <is>
          <t>Aflatoxins</t>
        </is>
      </c>
      <c r="BP21" t="inlineStr">
        <is>
          <t>Armenia</t>
        </is>
      </c>
      <c r="BR21" t="inlineStr">
        <is>
          <t>200</t>
        </is>
      </c>
      <c r="BS21" t="inlineStr">
        <is>
          <t>600</t>
        </is>
      </c>
    </row>
    <row r="22">
      <c r="A22" t="inlineStr">
        <is>
          <t>Display Cases</t>
        </is>
      </c>
      <c r="V22" t="inlineStr">
        <is>
          <t>Halved</t>
        </is>
      </c>
      <c r="AU22" t="inlineStr">
        <is>
          <t>8</t>
        </is>
      </c>
      <c r="BD22" t="inlineStr">
        <is>
          <t>88"</t>
        </is>
      </c>
      <c r="BG22" t="inlineStr">
        <is>
          <t>18 Months</t>
        </is>
      </c>
      <c r="BM22" t="inlineStr">
        <is>
          <t>Italian</t>
        </is>
      </c>
      <c r="BO22" t="inlineStr">
        <is>
          <t>Alachlor</t>
        </is>
      </c>
      <c r="BP22" t="inlineStr">
        <is>
          <t>Aruba</t>
        </is>
      </c>
      <c r="BR22" t="inlineStr">
        <is>
          <t>250</t>
        </is>
      </c>
      <c r="BS22" t="inlineStr">
        <is>
          <t>720</t>
        </is>
      </c>
    </row>
    <row r="23">
      <c r="A23" t="inlineStr">
        <is>
          <t>Lockers</t>
        </is>
      </c>
      <c r="V23" t="inlineStr">
        <is>
          <t>Corner Block Reinforced</t>
        </is>
      </c>
      <c r="AU23" t="inlineStr">
        <is>
          <t>Does Not Apply</t>
        </is>
      </c>
      <c r="BD23" t="inlineStr">
        <is>
          <t>60"</t>
        </is>
      </c>
      <c r="BG23" t="inlineStr">
        <is>
          <t>6 Years</t>
        </is>
      </c>
      <c r="BM23" t="inlineStr">
        <is>
          <t>Japanese</t>
        </is>
      </c>
      <c r="BO23" t="inlineStr">
        <is>
          <t>Alcoholic beverages, when associated with alcohol abuse</t>
        </is>
      </c>
      <c r="BP23" t="inlineStr">
        <is>
          <t>Australia</t>
        </is>
      </c>
      <c r="BR23" t="inlineStr">
        <is>
          <t>300</t>
        </is>
      </c>
      <c r="BS23" t="inlineStr">
        <is>
          <t>840</t>
        </is>
      </c>
    </row>
    <row r="24">
      <c r="A24" t="inlineStr">
        <is>
          <t>Lecterns &amp; Podiums</t>
        </is>
      </c>
      <c r="V24" t="inlineStr">
        <is>
          <t>Miter</t>
        </is>
      </c>
      <c r="BD24" t="inlineStr">
        <is>
          <t>78"</t>
        </is>
      </c>
      <c r="BG24" t="inlineStr">
        <is>
          <t>7 Years</t>
        </is>
      </c>
      <c r="BM24" t="inlineStr">
        <is>
          <t>Korean</t>
        </is>
      </c>
      <c r="BO24" t="inlineStr">
        <is>
          <t>Aldrin</t>
        </is>
      </c>
      <c r="BP24" t="inlineStr">
        <is>
          <t>Austria</t>
        </is>
      </c>
      <c r="BR24" t="inlineStr">
        <is>
          <t>400</t>
        </is>
      </c>
      <c r="BS24" t="inlineStr">
        <is>
          <t>960</t>
        </is>
      </c>
    </row>
    <row r="25">
      <c r="A25" t="inlineStr">
        <is>
          <t>Desks</t>
        </is>
      </c>
      <c r="V25" t="inlineStr">
        <is>
          <t>Unavailable</t>
        </is>
      </c>
      <c r="BD25" t="inlineStr">
        <is>
          <t>85"</t>
        </is>
      </c>
      <c r="BG25" t="inlineStr">
        <is>
          <t>8 Years</t>
        </is>
      </c>
      <c r="BM25" t="inlineStr">
        <is>
          <t>Norwegian (Bokmål)</t>
        </is>
      </c>
      <c r="BO25" t="inlineStr">
        <is>
          <t>All-trans retinoic acid</t>
        </is>
      </c>
      <c r="BP25" t="inlineStr">
        <is>
          <t>Azerbaijan</t>
        </is>
      </c>
      <c r="BR25" t="inlineStr">
        <is>
          <t>500</t>
        </is>
      </c>
    </row>
    <row r="26">
      <c r="A26" t="inlineStr">
        <is>
          <t>Literature Racks</t>
        </is>
      </c>
      <c r="V26" t="inlineStr">
        <is>
          <t>Does Not Apply</t>
        </is>
      </c>
      <c r="BD26" t="inlineStr">
        <is>
          <t>77"</t>
        </is>
      </c>
      <c r="BG26" t="inlineStr">
        <is>
          <t>9 Years</t>
        </is>
      </c>
      <c r="BM26" t="inlineStr">
        <is>
          <t>Dutch</t>
        </is>
      </c>
      <c r="BO26" t="inlineStr">
        <is>
          <t>Aloe Vera, non-decolorized whole leaf extract</t>
        </is>
      </c>
      <c r="BP26" t="inlineStr">
        <is>
          <t>Bahamas</t>
        </is>
      </c>
    </row>
    <row r="27">
      <c r="A27" t="inlineStr">
        <is>
          <t>Filing Cabinets</t>
        </is>
      </c>
      <c r="BG27" t="inlineStr">
        <is>
          <t>12 Years</t>
        </is>
      </c>
      <c r="BM27" t="inlineStr">
        <is>
          <t>Polish</t>
        </is>
      </c>
      <c r="BO27" t="inlineStr">
        <is>
          <t>Alprazolam</t>
        </is>
      </c>
      <c r="BP27" t="inlineStr">
        <is>
          <t>Bahrain</t>
        </is>
      </c>
    </row>
    <row r="28">
      <c r="A28" t="inlineStr">
        <is>
          <t>Bookcases</t>
        </is>
      </c>
      <c r="BG28" t="inlineStr">
        <is>
          <t>11 Years</t>
        </is>
      </c>
      <c r="BM28" t="inlineStr">
        <is>
          <t>Portuguese</t>
        </is>
      </c>
      <c r="BO28" t="inlineStr">
        <is>
          <t>Amantadine hydrochloride</t>
        </is>
      </c>
      <c r="BP28" t="inlineStr">
        <is>
          <t>Bangladesh</t>
        </is>
      </c>
    </row>
    <row r="29">
      <c r="A29" t="inlineStr">
        <is>
          <t>Classroom Chairs</t>
        </is>
      </c>
      <c r="BG29" t="inlineStr">
        <is>
          <t>13 Years</t>
        </is>
      </c>
      <c r="BM29" t="inlineStr">
        <is>
          <t>Romanian</t>
        </is>
      </c>
      <c r="BO29" t="inlineStr">
        <is>
          <t>Amikacin sulfate</t>
        </is>
      </c>
      <c r="BP29" t="inlineStr">
        <is>
          <t>Barbados</t>
        </is>
      </c>
    </row>
    <row r="30">
      <c r="A30" t="inlineStr">
        <is>
          <t>Wall &amp; Accent Mirrors</t>
        </is>
      </c>
      <c r="BG30" t="inlineStr">
        <is>
          <t>14 Years</t>
        </is>
      </c>
      <c r="BM30" t="inlineStr">
        <is>
          <t>Russian</t>
        </is>
      </c>
      <c r="BO30" t="inlineStr">
        <is>
          <t>2-Aminoanthraquinone</t>
        </is>
      </c>
      <c r="BP30" t="inlineStr">
        <is>
          <t>Belarus</t>
        </is>
      </c>
    </row>
    <row r="31">
      <c r="A31" t="inlineStr">
        <is>
          <t>Office Stools</t>
        </is>
      </c>
      <c r="BG31" t="inlineStr">
        <is>
          <t>No Commercial Warranty</t>
        </is>
      </c>
      <c r="BM31" t="inlineStr">
        <is>
          <t>Slovak</t>
        </is>
      </c>
      <c r="BO31" t="inlineStr">
        <is>
          <t>p-Aminoazobenzene</t>
        </is>
      </c>
      <c r="BP31" t="inlineStr">
        <is>
          <t>Belgium</t>
        </is>
      </c>
    </row>
    <row r="32">
      <c r="A32" t="inlineStr">
        <is>
          <t>Office Sets</t>
        </is>
      </c>
      <c r="BG32" t="inlineStr">
        <is>
          <t>Does Not Apply</t>
        </is>
      </c>
      <c r="BM32" t="inlineStr">
        <is>
          <t>Swedish</t>
        </is>
      </c>
      <c r="BO32" t="inlineStr">
        <is>
          <t>o-Aminoazotoluene</t>
        </is>
      </c>
      <c r="BP32" t="inlineStr">
        <is>
          <t>Belize</t>
        </is>
      </c>
    </row>
    <row r="33">
      <c r="A33" t="inlineStr">
        <is>
          <t>Stackable &amp; Nesting Chairs</t>
        </is>
      </c>
      <c r="BM33" t="inlineStr">
        <is>
          <t>Ukrainian</t>
        </is>
      </c>
      <c r="BO33" t="inlineStr">
        <is>
          <t>4-Aminobiphenyl (4-aminodiphenyl)</t>
        </is>
      </c>
      <c r="BP33" t="inlineStr">
        <is>
          <t>Benin</t>
        </is>
      </c>
    </row>
    <row r="34">
      <c r="A34" t="inlineStr">
        <is>
          <t>Futon Mattresses</t>
        </is>
      </c>
      <c r="BM34" t="inlineStr">
        <is>
          <t>Vietnamese</t>
        </is>
      </c>
      <c r="BO34" t="inlineStr">
        <is>
          <t>1-Amino-2,4-dibromoanthraquinone</t>
        </is>
      </c>
      <c r="BP34" t="inlineStr">
        <is>
          <t>Bermuda</t>
        </is>
      </c>
    </row>
    <row r="35">
      <c r="A35" t="inlineStr">
        <is>
          <t>Pot Racks</t>
        </is>
      </c>
      <c r="BM35" t="inlineStr">
        <is>
          <t>Chinese (S)</t>
        </is>
      </c>
      <c r="BO35" t="inlineStr">
        <is>
          <t>3-Amino-9-ethylcarbazole hydrochloride</t>
        </is>
      </c>
      <c r="BP35" t="inlineStr">
        <is>
          <t>Bhutan</t>
        </is>
      </c>
    </row>
    <row r="36">
      <c r="A36" t="inlineStr">
        <is>
          <t>Plant Stands &amp; Tables</t>
        </is>
      </c>
      <c r="BM36" t="inlineStr">
        <is>
          <t>Chinese (T)</t>
        </is>
      </c>
      <c r="BO36" t="inlineStr">
        <is>
          <t>2-Aminofluorene</t>
        </is>
      </c>
      <c r="BP36" t="inlineStr">
        <is>
          <t>Bolivia</t>
        </is>
      </c>
    </row>
    <row r="37">
      <c r="A37" t="inlineStr">
        <is>
          <t>Accent Chairs</t>
        </is>
      </c>
      <c r="BO37" t="inlineStr">
        <is>
          <t>Aminoglutethimide</t>
        </is>
      </c>
      <c r="BP37" t="inlineStr">
        <is>
          <t>Bosnia and Herzegovina</t>
        </is>
      </c>
    </row>
    <row r="38">
      <c r="A38" t="inlineStr">
        <is>
          <t>Kitchen Islands</t>
        </is>
      </c>
      <c r="BO38" t="inlineStr">
        <is>
          <t>Aminoglycosides</t>
        </is>
      </c>
      <c r="BP38" t="inlineStr">
        <is>
          <t>Botswana</t>
        </is>
      </c>
    </row>
    <row r="39">
      <c r="A39" t="inlineStr">
        <is>
          <t>Baker's Racks</t>
        </is>
      </c>
      <c r="BO39" t="inlineStr">
        <is>
          <t>1-Amino-2-methylanthraquinone</t>
        </is>
      </c>
      <c r="BP39" t="inlineStr">
        <is>
          <t>Bouvet Island</t>
        </is>
      </c>
    </row>
    <row r="40">
      <c r="A40" t="inlineStr">
        <is>
          <t>Wine Racks</t>
        </is>
      </c>
      <c r="BO40" t="inlineStr">
        <is>
          <t>2-Amino-5-(5-nitro-2-furyl)-1,3,4-thiadiazole</t>
        </is>
      </c>
      <c r="BP40" t="inlineStr">
        <is>
          <t>Brazil</t>
        </is>
      </c>
    </row>
    <row r="41">
      <c r="A41" t="inlineStr">
        <is>
          <t>Bar Stools</t>
        </is>
      </c>
      <c r="BO41" t="inlineStr">
        <is>
          <t>4-Amino-2-nitrophenol</t>
        </is>
      </c>
      <c r="BP41" t="inlineStr">
        <is>
          <t>British Indian Ocean Territory</t>
        </is>
      </c>
    </row>
    <row r="42">
      <c r="A42" t="inlineStr">
        <is>
          <t>Mantel &amp; Tabletop Clocks</t>
        </is>
      </c>
      <c r="BO42" t="inlineStr">
        <is>
          <t>Aminopterin</t>
        </is>
      </c>
      <c r="BP42" t="inlineStr">
        <is>
          <t>Brunei Darussalam</t>
        </is>
      </c>
    </row>
    <row r="43">
      <c r="A43" t="inlineStr">
        <is>
          <t>Grandfather Clocks / Floor Clocks</t>
        </is>
      </c>
      <c r="BO43" t="inlineStr">
        <is>
          <t>Amiodarone hydrochloride</t>
        </is>
      </c>
      <c r="BP43" t="inlineStr">
        <is>
          <t>Bulgaria</t>
        </is>
      </c>
    </row>
    <row r="44">
      <c r="A44" t="inlineStr">
        <is>
          <t>Conference Tables</t>
        </is>
      </c>
      <c r="BO44" t="inlineStr">
        <is>
          <t>Amitraz</t>
        </is>
      </c>
      <c r="BP44" t="inlineStr">
        <is>
          <t>Burkina Faso</t>
        </is>
      </c>
    </row>
    <row r="45">
      <c r="A45" t="inlineStr">
        <is>
          <t>Folding Tables</t>
        </is>
      </c>
      <c r="BO45" t="inlineStr">
        <is>
          <t>Amitrole</t>
        </is>
      </c>
      <c r="BP45" t="inlineStr">
        <is>
          <t>Burundi</t>
        </is>
      </c>
    </row>
    <row r="46">
      <c r="A46" t="inlineStr">
        <is>
          <t>Coat Racks and Hooks</t>
        </is>
      </c>
      <c r="BO46" t="inlineStr">
        <is>
          <t>Amoxapine</t>
        </is>
      </c>
      <c r="BP46" t="inlineStr">
        <is>
          <t>Cambodia</t>
        </is>
      </c>
    </row>
    <row r="47">
      <c r="A47" t="inlineStr">
        <is>
          <t>Cafeteria Tables</t>
        </is>
      </c>
      <c r="BO47" t="inlineStr">
        <is>
          <t>Amsacrine</t>
        </is>
      </c>
      <c r="BP47" t="inlineStr">
        <is>
          <t>Cameroon</t>
        </is>
      </c>
    </row>
    <row r="48">
      <c r="A48" t="inlineStr">
        <is>
          <t>Bars &amp; Bar Sets</t>
        </is>
      </c>
      <c r="BO48" t="inlineStr">
        <is>
          <t>Analgesic mixtures containing Phenacetin</t>
        </is>
      </c>
      <c r="BP48" t="inlineStr">
        <is>
          <t>Cape Verde</t>
        </is>
      </c>
    </row>
    <row r="49">
      <c r="A49" t="inlineStr">
        <is>
          <t>Electric &amp; Alternative Fuel Fireplaces</t>
        </is>
      </c>
      <c r="BO49" t="inlineStr">
        <is>
          <t>Androstenedione</t>
        </is>
      </c>
      <c r="BP49" t="inlineStr">
        <is>
          <t>Cayman Islands</t>
        </is>
      </c>
    </row>
    <row r="50">
      <c r="A50" t="inlineStr">
        <is>
          <t>Portable Tool Storage</t>
        </is>
      </c>
      <c r="BO50" t="inlineStr">
        <is>
          <t>Angiotensin converting enzyme  (ACE) inhibitors</t>
        </is>
      </c>
      <c r="BP50" t="inlineStr">
        <is>
          <t>Central African Republic</t>
        </is>
      </c>
    </row>
    <row r="51">
      <c r="A51" t="inlineStr">
        <is>
          <t>Patio Tables</t>
        </is>
      </c>
      <c r="BO51" t="inlineStr">
        <is>
          <t>Aniline</t>
        </is>
      </c>
      <c r="BP51" t="inlineStr">
        <is>
          <t>Chad</t>
        </is>
      </c>
    </row>
    <row r="52">
      <c r="A52" t="inlineStr">
        <is>
          <t>Projector Screens and Accessories</t>
        </is>
      </c>
      <c r="BO52" t="inlineStr">
        <is>
          <t>Aniline hydrochloride</t>
        </is>
      </c>
      <c r="BP52" t="inlineStr">
        <is>
          <t>Chile</t>
        </is>
      </c>
    </row>
    <row r="53">
      <c r="A53" t="inlineStr">
        <is>
          <t>Specialty Filing &amp; Filing Accessories</t>
        </is>
      </c>
      <c r="BO53" t="inlineStr">
        <is>
          <t>o-Anisidine</t>
        </is>
      </c>
      <c r="BP53" t="inlineStr">
        <is>
          <t>China</t>
        </is>
      </c>
    </row>
    <row r="54">
      <c r="A54" t="inlineStr">
        <is>
          <t>Safes</t>
        </is>
      </c>
      <c r="BO54" t="inlineStr">
        <is>
          <t>o-Anisidine hydrochloride</t>
        </is>
      </c>
      <c r="BP54" t="inlineStr">
        <is>
          <t>Christmas Island</t>
        </is>
      </c>
    </row>
    <row r="55">
      <c r="A55" t="inlineStr">
        <is>
          <t>Office Storage Cabinets</t>
        </is>
      </c>
      <c r="BO55" t="inlineStr">
        <is>
          <t>Anisindione</t>
        </is>
      </c>
      <c r="BP55" t="inlineStr">
        <is>
          <t>Cocos (Keeling) Islands</t>
        </is>
      </c>
    </row>
    <row r="56">
      <c r="A56" t="inlineStr">
        <is>
          <t>Patio Sofas</t>
        </is>
      </c>
      <c r="BO56" t="inlineStr">
        <is>
          <t>Anthraquinone</t>
        </is>
      </c>
      <c r="BP56" t="inlineStr">
        <is>
          <t>Colombia</t>
        </is>
      </c>
    </row>
    <row r="57">
      <c r="A57" t="inlineStr">
        <is>
          <t>Patio Chaise Lounges</t>
        </is>
      </c>
      <c r="BO57" t="inlineStr">
        <is>
          <t>Antimony oxide (Antimony trioxide)</t>
        </is>
      </c>
      <c r="BP57" t="inlineStr">
        <is>
          <t>Comoros</t>
        </is>
      </c>
    </row>
    <row r="58">
      <c r="A58" t="inlineStr">
        <is>
          <t>Patio Umbrellas</t>
        </is>
      </c>
      <c r="BO58" t="inlineStr">
        <is>
          <t>Aramite</t>
        </is>
      </c>
      <c r="BP58" t="inlineStr">
        <is>
          <t>Congo</t>
        </is>
      </c>
    </row>
    <row r="59">
      <c r="A59" t="inlineStr">
        <is>
          <t>Patio Dining Sets</t>
        </is>
      </c>
      <c r="BO59" t="inlineStr">
        <is>
          <t>Areca nut</t>
        </is>
      </c>
      <c r="BP59" t="inlineStr">
        <is>
          <t>Congo, The Democratic Republic of the</t>
        </is>
      </c>
    </row>
    <row r="60">
      <c r="A60" t="inlineStr">
        <is>
          <t>Outdoor Conversation Sets</t>
        </is>
      </c>
      <c r="BO60" t="inlineStr">
        <is>
          <t>Aristolochic acids</t>
        </is>
      </c>
      <c r="BP60" t="inlineStr">
        <is>
          <t>Cook Islands</t>
        </is>
      </c>
    </row>
    <row r="61">
      <c r="A61" t="inlineStr">
        <is>
          <t>Shelving &amp; Racks</t>
        </is>
      </c>
      <c r="BO61" t="inlineStr">
        <is>
          <t>Arsenic (inorganic arsenic compounds)</t>
        </is>
      </c>
      <c r="BP61" t="inlineStr">
        <is>
          <t>Costa Rica</t>
        </is>
      </c>
    </row>
    <row r="62">
      <c r="A62" t="inlineStr">
        <is>
          <t>Tool Cabinets</t>
        </is>
      </c>
      <c r="BO62" t="inlineStr">
        <is>
          <t>Arsenic (inorganic oxides)</t>
        </is>
      </c>
      <c r="BP62" t="inlineStr">
        <is>
          <t>Côte D'Ivoire</t>
        </is>
      </c>
    </row>
    <row r="63">
      <c r="A63" t="inlineStr">
        <is>
          <t>Dining Table Sets</t>
        </is>
      </c>
      <c r="BO63" t="inlineStr">
        <is>
          <t>Asbestos</t>
        </is>
      </c>
      <c r="BP63" t="inlineStr">
        <is>
          <t>Croatia</t>
        </is>
      </c>
    </row>
    <row r="64">
      <c r="A64" t="inlineStr">
        <is>
          <t>Dining Tables</t>
        </is>
      </c>
      <c r="BO64" t="inlineStr">
        <is>
          <t>Aspirin (NOTE: It is especially important not to use aspirin during the last three months of pregnancy, unless specifically directed to do so by a physician because it may cause problems in the unborn child or complications during delivery.)</t>
        </is>
      </c>
      <c r="BP64" t="inlineStr">
        <is>
          <t>Cuba</t>
        </is>
      </c>
    </row>
    <row r="65">
      <c r="A65" t="inlineStr">
        <is>
          <t>Vanities</t>
        </is>
      </c>
      <c r="BO65" t="inlineStr">
        <is>
          <t>Atenolol</t>
        </is>
      </c>
      <c r="BP65" t="inlineStr">
        <is>
          <t>Cyprus</t>
        </is>
      </c>
    </row>
    <row r="66">
      <c r="A66" t="inlineStr">
        <is>
          <t>Bean Bags</t>
        </is>
      </c>
      <c r="BO66" t="inlineStr">
        <is>
          <t>Atrazine</t>
        </is>
      </c>
      <c r="BP66" t="inlineStr">
        <is>
          <t>Czech Republic</t>
        </is>
      </c>
    </row>
    <row r="67">
      <c r="A67" t="inlineStr">
        <is>
          <t>Accent Chests / Cabinets</t>
        </is>
      </c>
      <c r="BO67" t="inlineStr">
        <is>
          <t>Auramine</t>
        </is>
      </c>
      <c r="BP67" t="inlineStr">
        <is>
          <t>Denmark</t>
        </is>
      </c>
    </row>
    <row r="68">
      <c r="A68" t="inlineStr">
        <is>
          <t>Classic Game Tables &amp; Puzzle Tables</t>
        </is>
      </c>
      <c r="BO68" t="inlineStr">
        <is>
          <t>Auranofin</t>
        </is>
      </c>
      <c r="BP68" t="inlineStr">
        <is>
          <t>Djibouti</t>
        </is>
      </c>
    </row>
    <row r="69">
      <c r="A69" t="inlineStr">
        <is>
          <t>Sideboards &amp; Buffets</t>
        </is>
      </c>
      <c r="BO69" t="inlineStr">
        <is>
          <t>Avermectin B1 (Abamectin)</t>
        </is>
      </c>
      <c r="BP69" t="inlineStr">
        <is>
          <t>Dominica</t>
        </is>
      </c>
    </row>
    <row r="70">
      <c r="A70" t="inlineStr">
        <is>
          <t>Hammocks</t>
        </is>
      </c>
      <c r="BO70" t="inlineStr">
        <is>
          <t>Azacitidine</t>
        </is>
      </c>
      <c r="BP70" t="inlineStr">
        <is>
          <t>Dominican Republic</t>
        </is>
      </c>
    </row>
    <row r="71">
      <c r="A71" t="inlineStr">
        <is>
          <t>Area Rugs</t>
        </is>
      </c>
      <c r="BO71" t="inlineStr">
        <is>
          <t>Azaserine</t>
        </is>
      </c>
      <c r="BP71" t="inlineStr">
        <is>
          <t>Ecuador</t>
        </is>
      </c>
    </row>
    <row r="72">
      <c r="A72" t="inlineStr">
        <is>
          <t>Dining Chairs</t>
        </is>
      </c>
      <c r="BO72" t="inlineStr">
        <is>
          <t>Azathioprine</t>
        </is>
      </c>
      <c r="BP72" t="inlineStr">
        <is>
          <t>Egypt</t>
        </is>
      </c>
    </row>
    <row r="73">
      <c r="A73" t="inlineStr">
        <is>
          <t>China Cabinets</t>
        </is>
      </c>
      <c r="BO73" t="inlineStr">
        <is>
          <t>Azobenzene</t>
        </is>
      </c>
      <c r="BP73" t="inlineStr">
        <is>
          <t>El Salvador</t>
        </is>
      </c>
    </row>
    <row r="74">
      <c r="A74" t="inlineStr">
        <is>
          <t>Hall Trees</t>
        </is>
      </c>
      <c r="BO74" t="inlineStr">
        <is>
          <t>Barbiturates</t>
        </is>
      </c>
      <c r="BP74" t="inlineStr">
        <is>
          <t>Equatorial Guinea</t>
        </is>
      </c>
    </row>
    <row r="75">
      <c r="A75" t="inlineStr">
        <is>
          <t>Porch Swings</t>
        </is>
      </c>
      <c r="BO75" t="inlineStr">
        <is>
          <t>Beclomethasone dipropionate</t>
        </is>
      </c>
      <c r="BP75" t="inlineStr">
        <is>
          <t>Eritrea</t>
        </is>
      </c>
    </row>
    <row r="76">
      <c r="A76" t="inlineStr">
        <is>
          <t>Jewelry Armoires</t>
        </is>
      </c>
      <c r="BO76" t="inlineStr">
        <is>
          <t>Benomyl</t>
        </is>
      </c>
      <c r="BP76" t="inlineStr">
        <is>
          <t>Estonia</t>
        </is>
      </c>
    </row>
    <row r="77">
      <c r="A77" t="inlineStr">
        <is>
          <t>Fountains</t>
        </is>
      </c>
      <c r="BO77" t="inlineStr">
        <is>
          <t>Benthiavalicarb-isopropyl</t>
        </is>
      </c>
      <c r="BP77" t="inlineStr">
        <is>
          <t>Ethiopia</t>
        </is>
      </c>
    </row>
    <row r="78">
      <c r="A78" t="inlineStr">
        <is>
          <t>Lighting Shades</t>
        </is>
      </c>
      <c r="BO78" t="inlineStr">
        <is>
          <t>Benz[a]anthracene</t>
        </is>
      </c>
      <c r="BP78" t="inlineStr">
        <is>
          <t>Falkland Islands (Malvinas)</t>
        </is>
      </c>
    </row>
    <row r="79">
      <c r="A79" t="inlineStr">
        <is>
          <t>Fireplace Accessories</t>
        </is>
      </c>
      <c r="BO79" t="inlineStr">
        <is>
          <t>Benzene</t>
        </is>
      </c>
      <c r="BP79" t="inlineStr">
        <is>
          <t>Faroe Islands</t>
        </is>
      </c>
    </row>
    <row r="80">
      <c r="A80" t="inlineStr">
        <is>
          <t>Blanket Racks &amp; Ladders</t>
        </is>
      </c>
      <c r="BO80" t="inlineStr">
        <is>
          <t>Benzidine [and its salts]</t>
        </is>
      </c>
      <c r="BP80" t="inlineStr">
        <is>
          <t>Fiji</t>
        </is>
      </c>
    </row>
    <row r="81">
      <c r="A81" t="inlineStr">
        <is>
          <t>TV Trays</t>
        </is>
      </c>
      <c r="BO81" t="inlineStr">
        <is>
          <t>Benzidine-based dyes</t>
        </is>
      </c>
      <c r="BP81" t="inlineStr">
        <is>
          <t>Finland</t>
        </is>
      </c>
    </row>
    <row r="82">
      <c r="A82" t="inlineStr">
        <is>
          <t>Cutting Boards</t>
        </is>
      </c>
      <c r="BO82" t="inlineStr">
        <is>
          <t>Benzodiazepines</t>
        </is>
      </c>
      <c r="BP82" t="inlineStr">
        <is>
          <t>France</t>
        </is>
      </c>
    </row>
    <row r="83">
      <c r="A83" t="inlineStr">
        <is>
          <t>Rug Pads</t>
        </is>
      </c>
      <c r="BO83" t="inlineStr">
        <is>
          <t>Benzo[b]fluoranthene</t>
        </is>
      </c>
      <c r="BP83" t="inlineStr">
        <is>
          <t>French Guiana</t>
        </is>
      </c>
    </row>
    <row r="84">
      <c r="A84" t="inlineStr">
        <is>
          <t>Folding Chairs</t>
        </is>
      </c>
      <c r="BO84" t="inlineStr">
        <is>
          <t>Benzo[j]fluoranthene</t>
        </is>
      </c>
      <c r="BP84" t="inlineStr">
        <is>
          <t>French Polynesia</t>
        </is>
      </c>
    </row>
    <row r="85">
      <c r="A85" t="inlineStr">
        <is>
          <t>Night Lights</t>
        </is>
      </c>
      <c r="BO85" t="inlineStr">
        <is>
          <t>Benzo[k]fluoranthene</t>
        </is>
      </c>
      <c r="BP85" t="inlineStr">
        <is>
          <t>French Southern Territories</t>
        </is>
      </c>
    </row>
    <row r="86">
      <c r="A86" t="inlineStr">
        <is>
          <t>Changing Tables</t>
        </is>
      </c>
      <c r="BO86" t="inlineStr">
        <is>
          <t>Benzofuran</t>
        </is>
      </c>
      <c r="BP86" t="inlineStr">
        <is>
          <t>Gabon</t>
        </is>
      </c>
    </row>
    <row r="87">
      <c r="A87" t="inlineStr">
        <is>
          <t>Dollies</t>
        </is>
      </c>
      <c r="BO87" t="inlineStr">
        <is>
          <t>Benzophenone</t>
        </is>
      </c>
      <c r="BP87" t="inlineStr">
        <is>
          <t>Gambia</t>
        </is>
      </c>
    </row>
    <row r="88">
      <c r="A88" t="inlineStr">
        <is>
          <t>Patio Bar Sets</t>
        </is>
      </c>
      <c r="BO88" t="inlineStr">
        <is>
          <t>Benzo[a]pyrene</t>
        </is>
      </c>
      <c r="BP88" t="inlineStr">
        <is>
          <t>Georgia</t>
        </is>
      </c>
    </row>
    <row r="89">
      <c r="A89" t="inlineStr">
        <is>
          <t>Ceiling Fans</t>
        </is>
      </c>
      <c r="BO89" t="inlineStr">
        <is>
          <t>Benzotrichloride</t>
        </is>
      </c>
      <c r="BP89" t="inlineStr">
        <is>
          <t>Germany</t>
        </is>
      </c>
    </row>
    <row r="90">
      <c r="A90" t="inlineStr">
        <is>
          <t>Patio Umbrella Accessories</t>
        </is>
      </c>
      <c r="BO90" t="inlineStr">
        <is>
          <t>Benzphetamine hydrochloride</t>
        </is>
      </c>
      <c r="BP90" t="inlineStr">
        <is>
          <t>Ghana</t>
        </is>
      </c>
    </row>
    <row r="91">
      <c r="A91" t="inlineStr">
        <is>
          <t>Gliders</t>
        </is>
      </c>
      <c r="BO91" t="inlineStr">
        <is>
          <t>Benzyl chloride</t>
        </is>
      </c>
      <c r="BP91" t="inlineStr">
        <is>
          <t>Gibraltar</t>
        </is>
      </c>
    </row>
    <row r="92">
      <c r="A92" t="inlineStr">
        <is>
          <t>Mattress Toppers and Pads</t>
        </is>
      </c>
      <c r="BO92" t="inlineStr">
        <is>
          <t>Benzyl violet 4B</t>
        </is>
      </c>
      <c r="BP92" t="inlineStr">
        <is>
          <t>Greece</t>
        </is>
      </c>
    </row>
    <row r="93">
      <c r="A93" t="inlineStr">
        <is>
          <t>TV Stand Accessories</t>
        </is>
      </c>
      <c r="BO93" t="inlineStr">
        <is>
          <t>Beryllium and beryllium compounds</t>
        </is>
      </c>
      <c r="BP93" t="inlineStr">
        <is>
          <t>Greenland</t>
        </is>
      </c>
    </row>
    <row r="94">
      <c r="A94" t="inlineStr">
        <is>
          <t>Furniture Covers</t>
        </is>
      </c>
      <c r="BO94" t="inlineStr">
        <is>
          <t>Betel quid with tobacco</t>
        </is>
      </c>
      <c r="BP94" t="inlineStr">
        <is>
          <t>Grenada</t>
        </is>
      </c>
    </row>
    <row r="95">
      <c r="A95" t="inlineStr">
        <is>
          <t>Mount Accessories</t>
        </is>
      </c>
      <c r="BO95" t="inlineStr">
        <is>
          <t>Betel quid without tobacco</t>
        </is>
      </c>
      <c r="BP95" t="inlineStr">
        <is>
          <t>Guadeloupe</t>
        </is>
      </c>
    </row>
    <row r="96">
      <c r="A96" t="inlineStr">
        <is>
          <t>Room Dividers</t>
        </is>
      </c>
      <c r="BO96" t="inlineStr">
        <is>
          <t>2,2-Bis(bromomethyl)-1,3-propanediol</t>
        </is>
      </c>
      <c r="BP96" t="inlineStr">
        <is>
          <t>Guam</t>
        </is>
      </c>
    </row>
    <row r="97">
      <c r="A97" t="inlineStr">
        <is>
          <t>Bird Baths</t>
        </is>
      </c>
      <c r="BO97" t="inlineStr">
        <is>
          <t>Bis(2-chloroethyl)ether</t>
        </is>
      </c>
      <c r="BP97" t="inlineStr">
        <is>
          <t>Guatemala</t>
        </is>
      </c>
    </row>
    <row r="98">
      <c r="A98" t="inlineStr">
        <is>
          <t>Bird Feeders</t>
        </is>
      </c>
      <c r="BO98" t="inlineStr">
        <is>
          <t>N,N-Bis(2-chloroethyl)-2-naphthylamine  (Chlornapazine)</t>
        </is>
      </c>
      <c r="BP98" t="inlineStr">
        <is>
          <t>Guernsey</t>
        </is>
      </c>
    </row>
    <row r="99">
      <c r="A99" t="inlineStr">
        <is>
          <t>Benches</t>
        </is>
      </c>
      <c r="BO99" t="inlineStr">
        <is>
          <t>Bischloroethyl nitrosourea (BCNU) (Carmustine)</t>
        </is>
      </c>
      <c r="BP99" t="inlineStr">
        <is>
          <t>Guinea</t>
        </is>
      </c>
    </row>
    <row r="100">
      <c r="A100" t="inlineStr">
        <is>
          <t>Recessed Lighting Housing</t>
        </is>
      </c>
      <c r="BO100" t="inlineStr">
        <is>
          <t>Bis(chloromethyl)ether</t>
        </is>
      </c>
      <c r="BP100" t="inlineStr">
        <is>
          <t>Guinea-Bissau</t>
        </is>
      </c>
    </row>
    <row r="101">
      <c r="A101" t="inlineStr">
        <is>
          <t>Lighting Accessories</t>
        </is>
      </c>
      <c r="BO101" t="inlineStr">
        <is>
          <t>Bis(2-chloro-1-methylethyl)ether,  technical grade</t>
        </is>
      </c>
      <c r="BP101" t="inlineStr">
        <is>
          <t>Guyana</t>
        </is>
      </c>
    </row>
    <row r="102">
      <c r="A102" t="inlineStr">
        <is>
          <t>Classroom Desks</t>
        </is>
      </c>
      <c r="BO102" t="inlineStr">
        <is>
          <t>Bisphenol A (BPA)</t>
        </is>
      </c>
      <c r="BP102" t="inlineStr">
        <is>
          <t>Haiti</t>
        </is>
      </c>
    </row>
    <row r="103">
      <c r="A103" t="inlineStr">
        <is>
          <t>Stages, Risers and Accessories</t>
        </is>
      </c>
      <c r="BO103" t="inlineStr">
        <is>
          <t>Bitumens, extracts of steam-refined and air refined</t>
        </is>
      </c>
      <c r="BP103" t="inlineStr">
        <is>
          <t>Heard Island and McDonald Islands</t>
        </is>
      </c>
    </row>
    <row r="104">
      <c r="A104" t="inlineStr">
        <is>
          <t>Rocking Chairs</t>
        </is>
      </c>
      <c r="BO104" t="inlineStr">
        <is>
          <t>Bracken fern</t>
        </is>
      </c>
      <c r="BP104" t="inlineStr">
        <is>
          <t>Holy See (Vatican City State)</t>
        </is>
      </c>
    </row>
    <row r="105">
      <c r="A105" t="inlineStr">
        <is>
          <t>Office Partitions</t>
        </is>
      </c>
      <c r="BO105" t="inlineStr">
        <is>
          <t>Bromacil lithium salt</t>
        </is>
      </c>
      <c r="BP105" t="inlineStr">
        <is>
          <t>Honduras</t>
        </is>
      </c>
    </row>
    <row r="106">
      <c r="A106" t="inlineStr">
        <is>
          <t>Furniture Cushions</t>
        </is>
      </c>
      <c r="BO106" t="inlineStr">
        <is>
          <t>Bromate</t>
        </is>
      </c>
      <c r="BP106" t="inlineStr">
        <is>
          <t>Hong Kong</t>
        </is>
      </c>
    </row>
    <row r="107">
      <c r="A107" t="inlineStr">
        <is>
          <t>Accent Stools</t>
        </is>
      </c>
      <c r="BO107" t="inlineStr">
        <is>
          <t>Bromochloroacetic acid</t>
        </is>
      </c>
      <c r="BP107" t="inlineStr">
        <is>
          <t>Hungary</t>
        </is>
      </c>
    </row>
    <row r="108">
      <c r="A108" t="inlineStr">
        <is>
          <t>Locker Room Benches</t>
        </is>
      </c>
      <c r="BO108" t="inlineStr">
        <is>
          <t>Bromodichloroacetic acid</t>
        </is>
      </c>
      <c r="BP108" t="inlineStr">
        <is>
          <t>Iceland</t>
        </is>
      </c>
    </row>
    <row r="109">
      <c r="A109" t="inlineStr">
        <is>
          <t>Living Room Sets</t>
        </is>
      </c>
      <c r="BO109" t="inlineStr">
        <is>
          <t>Bromodichloromethane</t>
        </is>
      </c>
      <c r="BP109" t="inlineStr">
        <is>
          <t>India</t>
        </is>
      </c>
    </row>
    <row r="110">
      <c r="A110" t="inlineStr">
        <is>
          <t>Sofas</t>
        </is>
      </c>
      <c r="BO110" t="inlineStr">
        <is>
          <t>Bromoethane</t>
        </is>
      </c>
      <c r="BP110" t="inlineStr">
        <is>
          <t>Indonesia</t>
        </is>
      </c>
    </row>
    <row r="111">
      <c r="A111" t="inlineStr">
        <is>
          <t>Sectionals</t>
        </is>
      </c>
      <c r="BO111" t="inlineStr">
        <is>
          <t>Bromoform</t>
        </is>
      </c>
      <c r="BP111" t="inlineStr">
        <is>
          <t>Iran, Islamic Republic of</t>
        </is>
      </c>
    </row>
    <row r="112">
      <c r="A112" t="inlineStr">
        <is>
          <t>Ottomans</t>
        </is>
      </c>
      <c r="BO112" t="inlineStr">
        <is>
          <t>1-Bromopropane (1-BP)</t>
        </is>
      </c>
      <c r="BP112" t="inlineStr">
        <is>
          <t>Iraq</t>
        </is>
      </c>
    </row>
    <row r="113">
      <c r="A113" t="inlineStr">
        <is>
          <t>Listening Centers</t>
        </is>
      </c>
      <c r="BO113" t="inlineStr">
        <is>
          <t>Bromoxynil</t>
        </is>
      </c>
      <c r="BP113" t="inlineStr">
        <is>
          <t>Ireland</t>
        </is>
      </c>
    </row>
    <row r="114">
      <c r="A114" t="inlineStr">
        <is>
          <t>Outdoor Fireplaces</t>
        </is>
      </c>
      <c r="BO114" t="inlineStr">
        <is>
          <t>Bromoxynil octanoate</t>
        </is>
      </c>
      <c r="BP114" t="inlineStr">
        <is>
          <t>Isle of Man</t>
        </is>
      </c>
    </row>
    <row r="115">
      <c r="A115" t="inlineStr">
        <is>
          <t>Projectors</t>
        </is>
      </c>
      <c r="BO115" t="inlineStr">
        <is>
          <t>Butabarbital sodium</t>
        </is>
      </c>
      <c r="BP115" t="inlineStr">
        <is>
          <t>Israel</t>
        </is>
      </c>
    </row>
    <row r="116">
      <c r="A116" t="inlineStr">
        <is>
          <t>Light Bulbs</t>
        </is>
      </c>
      <c r="BO116" t="inlineStr">
        <is>
          <t>1,3-Butadiene</t>
        </is>
      </c>
      <c r="BP116" t="inlineStr">
        <is>
          <t>Italy</t>
        </is>
      </c>
    </row>
    <row r="117">
      <c r="A117" t="inlineStr">
        <is>
          <t>Patio Ottomans</t>
        </is>
      </c>
      <c r="BO117" t="inlineStr">
        <is>
          <t>1,4-Butanediol dimethanesulfonate (Busulfan)</t>
        </is>
      </c>
      <c r="BP117" t="inlineStr">
        <is>
          <t>Jamaica</t>
        </is>
      </c>
    </row>
    <row r="118">
      <c r="A118" t="inlineStr">
        <is>
          <t>Planters</t>
        </is>
      </c>
      <c r="BO118" t="inlineStr">
        <is>
          <t>Butylated hydroxyanisole</t>
        </is>
      </c>
      <c r="BP118" t="inlineStr">
        <is>
          <t>Japan</t>
        </is>
      </c>
    </row>
    <row r="119">
      <c r="A119" t="inlineStr">
        <is>
          <t>Toy Boxes and Organizers</t>
        </is>
      </c>
      <c r="BO119" t="inlineStr">
        <is>
          <t>Butyl benzyl phthalate (BBP)d</t>
        </is>
      </c>
      <c r="BP119" t="inlineStr">
        <is>
          <t>Jersey</t>
        </is>
      </c>
    </row>
    <row r="120">
      <c r="A120" t="inlineStr">
        <is>
          <t>Rocking Horses</t>
        </is>
      </c>
      <c r="BO120" t="inlineStr">
        <is>
          <t>beta-Butyrolactone</t>
        </is>
      </c>
      <c r="BP120" t="inlineStr">
        <is>
          <t>Jordan</t>
        </is>
      </c>
    </row>
    <row r="121">
      <c r="A121" t="inlineStr">
        <is>
          <t>Stair Treads</t>
        </is>
      </c>
      <c r="BO121" t="inlineStr">
        <is>
          <t>Cacodylic acid</t>
        </is>
      </c>
      <c r="BP121" t="inlineStr">
        <is>
          <t>Kazakhstan</t>
        </is>
      </c>
    </row>
    <row r="122">
      <c r="A122" t="inlineStr">
        <is>
          <t>Rug Care</t>
        </is>
      </c>
      <c r="BO122" t="inlineStr">
        <is>
          <t>Cadmium</t>
        </is>
      </c>
      <c r="BP122" t="inlineStr">
        <is>
          <t>Kenya</t>
        </is>
      </c>
    </row>
    <row r="123">
      <c r="A123" t="inlineStr">
        <is>
          <t>Kids Chairs</t>
        </is>
      </c>
      <c r="BO123" t="inlineStr">
        <is>
          <t>Cadmium and cadmium compounds</t>
        </is>
      </c>
      <c r="BP123" t="inlineStr">
        <is>
          <t>Kiribati</t>
        </is>
      </c>
    </row>
    <row r="124">
      <c r="A124" t="inlineStr">
        <is>
          <t>Bath Accessories</t>
        </is>
      </c>
      <c r="BO124" t="inlineStr">
        <is>
          <t>Caffeic acid</t>
        </is>
      </c>
      <c r="BP124" t="inlineStr">
        <is>
          <t>Korea, Democratic People's Republic of</t>
        </is>
      </c>
    </row>
    <row r="125">
      <c r="A125" t="inlineStr">
        <is>
          <t>Storage Drawers</t>
        </is>
      </c>
      <c r="BO125" t="inlineStr">
        <is>
          <t>Captafol</t>
        </is>
      </c>
      <c r="BP125" t="inlineStr">
        <is>
          <t>Korea, Republic of</t>
        </is>
      </c>
    </row>
    <row r="126">
      <c r="A126" t="inlineStr">
        <is>
          <t>Cribs</t>
        </is>
      </c>
      <c r="BO126" t="inlineStr">
        <is>
          <t>Captan</t>
        </is>
      </c>
      <c r="BP126" t="inlineStr">
        <is>
          <t>Kuwait</t>
        </is>
      </c>
    </row>
    <row r="127">
      <c r="A127" t="inlineStr">
        <is>
          <t>Cable Management</t>
        </is>
      </c>
      <c r="BO127" t="inlineStr">
        <is>
          <t>Carbamazepine</t>
        </is>
      </c>
      <c r="BP127" t="inlineStr">
        <is>
          <t>Kyrgyzstan</t>
        </is>
      </c>
    </row>
    <row r="128">
      <c r="A128" t="inlineStr">
        <is>
          <t>Locker Accessories</t>
        </is>
      </c>
      <c r="BO128" t="inlineStr">
        <is>
          <t>Carbaryl</t>
        </is>
      </c>
      <c r="BP128" t="inlineStr">
        <is>
          <t>Lao People's Democratic Republic</t>
        </is>
      </c>
    </row>
    <row r="129">
      <c r="A129" t="inlineStr">
        <is>
          <t>Kids Tables and Sets</t>
        </is>
      </c>
      <c r="BO129" t="inlineStr">
        <is>
          <t>Carbazole</t>
        </is>
      </c>
      <c r="BP129" t="inlineStr">
        <is>
          <t>Latvia</t>
        </is>
      </c>
    </row>
    <row r="130">
      <c r="A130" t="inlineStr">
        <is>
          <t>Breakroom Tables</t>
        </is>
      </c>
      <c r="BO130" t="inlineStr">
        <is>
          <t>Carbon black (airborne, unbound particles of respirable size)</t>
        </is>
      </c>
      <c r="BP130" t="inlineStr">
        <is>
          <t>Lebanon</t>
        </is>
      </c>
    </row>
    <row r="131">
      <c r="A131" t="inlineStr">
        <is>
          <t>Air Mattresses</t>
        </is>
      </c>
      <c r="BO131" t="inlineStr">
        <is>
          <t>Carbon-black extracts</t>
        </is>
      </c>
      <c r="BP131" t="inlineStr">
        <is>
          <t>Lesotho</t>
        </is>
      </c>
    </row>
    <row r="132">
      <c r="A132" t="inlineStr">
        <is>
          <t>Board &amp; Easel Accessories</t>
        </is>
      </c>
      <c r="BO132" t="inlineStr">
        <is>
          <t>Carbon disulfide</t>
        </is>
      </c>
      <c r="BP132" t="inlineStr">
        <is>
          <t>Liberia</t>
        </is>
      </c>
    </row>
    <row r="133">
      <c r="A133" t="inlineStr">
        <is>
          <t>Bassinets &amp; Cradles</t>
        </is>
      </c>
      <c r="BO133" t="inlineStr">
        <is>
          <t>Carbon monoxide</t>
        </is>
      </c>
      <c r="BP133" t="inlineStr">
        <is>
          <t>Libyan Arab Jamahiriya</t>
        </is>
      </c>
    </row>
    <row r="134">
      <c r="A134" t="inlineStr">
        <is>
          <t>Patio Heaters</t>
        </is>
      </c>
      <c r="BO134" t="inlineStr">
        <is>
          <t>Carbon tetrachloride</t>
        </is>
      </c>
      <c r="BP134" t="inlineStr">
        <is>
          <t>Liechtenstein</t>
        </is>
      </c>
    </row>
    <row r="135">
      <c r="A135" t="inlineStr">
        <is>
          <t xml:space="preserve"> Multi-Child Strollers</t>
        </is>
      </c>
      <c r="BO135" t="inlineStr">
        <is>
          <t>Carboplatin</t>
        </is>
      </c>
      <c r="BP135" t="inlineStr">
        <is>
          <t>Lithuania</t>
        </is>
      </c>
    </row>
    <row r="136">
      <c r="A136" t="inlineStr">
        <is>
          <t>Trellises</t>
        </is>
      </c>
      <c r="BO136" t="inlineStr">
        <is>
          <t>N-Carboxymethyl-N-nitrosourea</t>
        </is>
      </c>
      <c r="BP136" t="inlineStr">
        <is>
          <t>Luxembourg</t>
        </is>
      </c>
    </row>
    <row r="137">
      <c r="A137" t="inlineStr">
        <is>
          <t>Chairmats</t>
        </is>
      </c>
      <c r="BO137" t="inlineStr">
        <is>
          <t>Catechol</t>
        </is>
      </c>
      <c r="BP137" t="inlineStr">
        <is>
          <t>Macao</t>
        </is>
      </c>
    </row>
    <row r="138">
      <c r="A138" t="inlineStr">
        <is>
          <t>Dollhouses</t>
        </is>
      </c>
      <c r="BO138" t="inlineStr">
        <is>
          <t>Ceramic fibers (airborne particles of respirable size)</t>
        </is>
      </c>
      <c r="BP138" t="inlineStr">
        <is>
          <t>Macedonia, The Former Yugoslav Republic of</t>
        </is>
      </c>
    </row>
    <row r="139">
      <c r="A139" t="inlineStr">
        <is>
          <t>Mailroom Tables</t>
        </is>
      </c>
      <c r="BO139" t="inlineStr">
        <is>
          <t>Certain combined chemotherapy for lymphomas</t>
        </is>
      </c>
      <c r="BP139" t="inlineStr">
        <is>
          <t>Madagascar</t>
        </is>
      </c>
    </row>
    <row r="140">
      <c r="A140" t="inlineStr">
        <is>
          <t>Maps &amp; Atlases</t>
        </is>
      </c>
      <c r="BO140" t="inlineStr">
        <is>
          <t>Chenodiol</t>
        </is>
      </c>
      <c r="BP140" t="inlineStr">
        <is>
          <t>Malawi</t>
        </is>
      </c>
    </row>
    <row r="141">
      <c r="A141" t="inlineStr">
        <is>
          <t>Door Bells &amp; Chimes</t>
        </is>
      </c>
      <c r="BO141" t="inlineStr">
        <is>
          <t>Chloral</t>
        </is>
      </c>
      <c r="BP141" t="inlineStr">
        <is>
          <t>Malaysia</t>
        </is>
      </c>
    </row>
    <row r="142">
      <c r="A142" t="inlineStr">
        <is>
          <t>Coffee &amp; Cocktail Tables</t>
        </is>
      </c>
      <c r="BO142" t="inlineStr">
        <is>
          <t>Chloral hydrate</t>
        </is>
      </c>
      <c r="BP142" t="inlineStr">
        <is>
          <t>Maldives</t>
        </is>
      </c>
    </row>
    <row r="143">
      <c r="A143" t="inlineStr">
        <is>
          <t>End Tables</t>
        </is>
      </c>
      <c r="BO143" t="inlineStr">
        <is>
          <t>Chlorambucil</t>
        </is>
      </c>
      <c r="BP143" t="inlineStr">
        <is>
          <t>Mali</t>
        </is>
      </c>
    </row>
    <row r="144">
      <c r="A144" t="inlineStr">
        <is>
          <t>Sofa &amp; Console Tables</t>
        </is>
      </c>
      <c r="BO144" t="inlineStr">
        <is>
          <t>Chloramphenicol sodium succinate</t>
        </is>
      </c>
      <c r="BP144" t="inlineStr">
        <is>
          <t>Malta</t>
        </is>
      </c>
    </row>
    <row r="145">
      <c r="A145" t="inlineStr">
        <is>
          <t>Smoking Urns &amp; Ashtrays</t>
        </is>
      </c>
      <c r="BO145" t="inlineStr">
        <is>
          <t>Chlorcyclizine hydrochloride</t>
        </is>
      </c>
      <c r="BP145" t="inlineStr">
        <is>
          <t>Marshall Islands</t>
        </is>
      </c>
    </row>
    <row r="146">
      <c r="A146" t="inlineStr">
        <is>
          <t>Portable Fans</t>
        </is>
      </c>
      <c r="BO146" t="inlineStr">
        <is>
          <t>Chlordane</t>
        </is>
      </c>
      <c r="BP146" t="inlineStr">
        <is>
          <t>Martinique</t>
        </is>
      </c>
    </row>
    <row r="147">
      <c r="A147" t="inlineStr">
        <is>
          <t>Living Room Table Sets</t>
        </is>
      </c>
      <c r="BO147" t="inlineStr">
        <is>
          <t>Chlordecone (Kepone)</t>
        </is>
      </c>
      <c r="BP147" t="inlineStr">
        <is>
          <t>Mauritania</t>
        </is>
      </c>
    </row>
    <row r="148">
      <c r="A148" t="inlineStr">
        <is>
          <t>Trash Cans &amp; Recycling</t>
        </is>
      </c>
      <c r="BO148" t="inlineStr">
        <is>
          <t>Chlordiazepoxide</t>
        </is>
      </c>
      <c r="BP148" t="inlineStr">
        <is>
          <t>Mauritius</t>
        </is>
      </c>
    </row>
    <row r="149">
      <c r="A149" t="inlineStr">
        <is>
          <t>Jewelry Boxes</t>
        </is>
      </c>
      <c r="BO149" t="inlineStr">
        <is>
          <t>Chlordiazepoxide hydrochloride</t>
        </is>
      </c>
      <c r="BP149" t="inlineStr">
        <is>
          <t>Mayotte</t>
        </is>
      </c>
    </row>
    <row r="150">
      <c r="A150" t="inlineStr">
        <is>
          <t>Massage Chairs</t>
        </is>
      </c>
      <c r="BO150" t="inlineStr">
        <is>
          <t>Chlordimeform</t>
        </is>
      </c>
      <c r="BP150" t="inlineStr">
        <is>
          <t>Mexico</t>
        </is>
      </c>
    </row>
    <row r="151">
      <c r="A151" t="inlineStr">
        <is>
          <t>Wall Mounted Shelves</t>
        </is>
      </c>
      <c r="BO151" t="inlineStr">
        <is>
          <t>Chlorendic acid</t>
        </is>
      </c>
      <c r="BP151" t="inlineStr">
        <is>
          <t>Micronesia, Federated States of</t>
        </is>
      </c>
    </row>
    <row r="152">
      <c r="A152" t="inlineStr">
        <is>
          <t>Home Theater Seating</t>
        </is>
      </c>
      <c r="BO152" t="inlineStr">
        <is>
          <t>Chlorinated paraffins (Average chain length, C12;approximately 60 percent chlorine by weight)</t>
        </is>
      </c>
      <c r="BP152" t="inlineStr">
        <is>
          <t>Moldova, Republic of</t>
        </is>
      </c>
    </row>
    <row r="153">
      <c r="A153" t="inlineStr">
        <is>
          <t>Sheds</t>
        </is>
      </c>
      <c r="BO153" t="inlineStr">
        <is>
          <t>p-Chloroaniline</t>
        </is>
      </c>
      <c r="BP153" t="inlineStr">
        <is>
          <t>Monaco</t>
        </is>
      </c>
    </row>
    <row r="154">
      <c r="A154" t="inlineStr">
        <is>
          <t>Trash Can Accessories</t>
        </is>
      </c>
      <c r="BO154" t="inlineStr">
        <is>
          <t>p-Chloroaniline hydrochloride</t>
        </is>
      </c>
      <c r="BP154" t="inlineStr">
        <is>
          <t>Mongolia</t>
        </is>
      </c>
    </row>
    <row r="155">
      <c r="A155" t="inlineStr">
        <is>
          <t>Baby &amp; Kids Nap Mats and Playmats</t>
        </is>
      </c>
      <c r="BO155" t="inlineStr">
        <is>
          <t>Chloroethane (Ethyl chloride)</t>
        </is>
      </c>
      <c r="BP155" t="inlineStr">
        <is>
          <t>Montenegro</t>
        </is>
      </c>
    </row>
    <row r="156">
      <c r="A156" t="inlineStr">
        <is>
          <t>Ride-On Toys</t>
        </is>
      </c>
      <c r="BO156" t="inlineStr">
        <is>
          <t>1-(2-Chloroethyl)-3-cyclohexyl-1-nitrosourea (CCNU) (Lomustine)</t>
        </is>
      </c>
      <c r="BP156" t="inlineStr">
        <is>
          <t>Montserrat</t>
        </is>
      </c>
    </row>
    <row r="157">
      <c r="A157" t="inlineStr">
        <is>
          <t>Classroom Storage</t>
        </is>
      </c>
      <c r="BO157" t="inlineStr">
        <is>
          <t>1-(2-Chloroethyl)-3-(4-methylcyclohexyl)-1-nitrosourea (Methyl-CCNU)</t>
        </is>
      </c>
      <c r="BP157" t="inlineStr">
        <is>
          <t>Morocco</t>
        </is>
      </c>
    </row>
    <row r="158">
      <c r="A158" t="inlineStr">
        <is>
          <t>Canopies</t>
        </is>
      </c>
      <c r="BO158" t="inlineStr">
        <is>
          <t>Chloromethyl methyl ether (technical grade)</t>
        </is>
      </c>
      <c r="BP158" t="inlineStr">
        <is>
          <t>Mozambique</t>
        </is>
      </c>
    </row>
    <row r="159">
      <c r="A159" t="inlineStr">
        <is>
          <t>Kids Bookcases</t>
        </is>
      </c>
      <c r="BO159" t="inlineStr">
        <is>
          <t>3-Chloro-2-methylpropene</t>
        </is>
      </c>
      <c r="BP159" t="inlineStr">
        <is>
          <t>Myanmar</t>
        </is>
      </c>
    </row>
    <row r="160">
      <c r="A160" t="inlineStr">
        <is>
          <t>Laundry Accessories &amp; Storage</t>
        </is>
      </c>
      <c r="BO160" t="inlineStr">
        <is>
          <t>1-Chloro-4-nitrobenzene</t>
        </is>
      </c>
      <c r="BP160" t="inlineStr">
        <is>
          <t>Namibia</t>
        </is>
      </c>
    </row>
    <row r="161">
      <c r="A161" t="inlineStr">
        <is>
          <t>Vases, Urns, Jars, &amp; Bottles</t>
        </is>
      </c>
      <c r="BO161" t="inlineStr">
        <is>
          <t>4-Chloro-o-phenylenediamine</t>
        </is>
      </c>
      <c r="BP161" t="inlineStr">
        <is>
          <t>Nauru</t>
        </is>
      </c>
    </row>
    <row r="162">
      <c r="A162" t="inlineStr">
        <is>
          <t>Greenhouses</t>
        </is>
      </c>
      <c r="BO162" t="inlineStr">
        <is>
          <t>Chloroprene</t>
        </is>
      </c>
      <c r="BP162" t="inlineStr">
        <is>
          <t>Nepal</t>
        </is>
      </c>
    </row>
    <row r="163">
      <c r="A163" t="inlineStr">
        <is>
          <t>Greenhouse Accessories</t>
        </is>
      </c>
      <c r="BO163" t="inlineStr">
        <is>
          <t>Chlorothalonil</t>
        </is>
      </c>
      <c r="BP163" t="inlineStr">
        <is>
          <t>Netherlands</t>
        </is>
      </c>
    </row>
    <row r="164">
      <c r="A164" t="inlineStr">
        <is>
          <t>Shed Accessories</t>
        </is>
      </c>
      <c r="BO164" t="inlineStr">
        <is>
          <t>p-Chloro-o-toluidine</t>
        </is>
      </c>
      <c r="BP164" t="inlineStr">
        <is>
          <t>Netherlands Antilles</t>
        </is>
      </c>
    </row>
    <row r="165">
      <c r="A165" t="inlineStr">
        <is>
          <t>Activity Tables</t>
        </is>
      </c>
      <c r="BO165" t="inlineStr">
        <is>
          <t>p-Chloro-o-toluidine, strong acid salts of</t>
        </is>
      </c>
      <c r="BP165" t="inlineStr">
        <is>
          <t>New Caledonia</t>
        </is>
      </c>
    </row>
    <row r="166">
      <c r="A166" t="inlineStr">
        <is>
          <t>Soft Play</t>
        </is>
      </c>
      <c r="BO166" t="inlineStr">
        <is>
          <t>5-Chloro-o-toluidine and its strong acid salts</t>
        </is>
      </c>
      <c r="BP166" t="inlineStr">
        <is>
          <t>New Zealand</t>
        </is>
      </c>
    </row>
    <row r="167">
      <c r="A167" t="inlineStr">
        <is>
          <t>Mailboxes</t>
        </is>
      </c>
      <c r="BO167" t="inlineStr">
        <is>
          <t>Chlorotrianisene</t>
        </is>
      </c>
      <c r="BP167" t="inlineStr">
        <is>
          <t>Nicaragua</t>
        </is>
      </c>
    </row>
    <row r="168">
      <c r="A168" t="inlineStr">
        <is>
          <t>Mailbox Accessories</t>
        </is>
      </c>
      <c r="BO168" t="inlineStr">
        <is>
          <t>Chlorozotocin</t>
        </is>
      </c>
      <c r="BP168" t="inlineStr">
        <is>
          <t>Niger</t>
        </is>
      </c>
    </row>
    <row r="169">
      <c r="A169" t="inlineStr">
        <is>
          <t>Mailbox Posts &amp; Stands</t>
        </is>
      </c>
      <c r="BO169" t="inlineStr">
        <is>
          <t>Chlorpyrifos</t>
        </is>
      </c>
      <c r="BP169" t="inlineStr">
        <is>
          <t>Nigeria</t>
        </is>
      </c>
    </row>
    <row r="170">
      <c r="A170" t="inlineStr">
        <is>
          <t>Address Plaques &amp; Lettering</t>
        </is>
      </c>
      <c r="BO170" t="inlineStr">
        <is>
          <t>Chromium (hexavalent compounds)</t>
        </is>
      </c>
      <c r="BP170" t="inlineStr">
        <is>
          <t>Niue</t>
        </is>
      </c>
    </row>
    <row r="171">
      <c r="A171" t="inlineStr">
        <is>
          <t>Banner Stands and Booth Displays</t>
        </is>
      </c>
      <c r="BO171" t="inlineStr">
        <is>
          <t>Chrysene</t>
        </is>
      </c>
      <c r="BP171" t="inlineStr">
        <is>
          <t>Norfolk Island</t>
        </is>
      </c>
    </row>
    <row r="172">
      <c r="A172" t="inlineStr">
        <is>
          <t>Toilets</t>
        </is>
      </c>
      <c r="BO172" t="inlineStr">
        <is>
          <t>C.I. Acid Red 114</t>
        </is>
      </c>
      <c r="BP172" t="inlineStr">
        <is>
          <t>Northern Mariana Islands</t>
        </is>
      </c>
    </row>
    <row r="173">
      <c r="A173" t="inlineStr">
        <is>
          <t>Bathroom Sinks</t>
        </is>
      </c>
      <c r="BO173" t="inlineStr">
        <is>
          <t>C.I. Basic Red 9 monohydrochloride</t>
        </is>
      </c>
      <c r="BP173" t="inlineStr">
        <is>
          <t>Norway</t>
        </is>
      </c>
    </row>
    <row r="174">
      <c r="A174" t="inlineStr">
        <is>
          <t>Tubs And Whirlpools</t>
        </is>
      </c>
      <c r="BO174" t="inlineStr">
        <is>
          <t>C.I. Direct Blue 15</t>
        </is>
      </c>
      <c r="BP174" t="inlineStr">
        <is>
          <t>Oman</t>
        </is>
      </c>
    </row>
    <row r="175">
      <c r="A175" t="inlineStr">
        <is>
          <t>Cart Accessories &amp; Parts</t>
        </is>
      </c>
      <c r="BO175" t="inlineStr">
        <is>
          <t>C.I. Direct Blue 218</t>
        </is>
      </c>
      <c r="BP175" t="inlineStr">
        <is>
          <t>Pakistan</t>
        </is>
      </c>
    </row>
    <row r="176">
      <c r="A176" t="inlineStr">
        <is>
          <t>Baking Sheets</t>
        </is>
      </c>
      <c r="BO176" t="inlineStr">
        <is>
          <t>C.I. Disperse Yellow 3</t>
        </is>
      </c>
      <c r="BP176" t="inlineStr">
        <is>
          <t>Palau</t>
        </is>
      </c>
    </row>
    <row r="177">
      <c r="A177" t="inlineStr">
        <is>
          <t>Pie Pans</t>
        </is>
      </c>
      <c r="BO177" t="inlineStr">
        <is>
          <t>C.I. Solvent Yellow 14</t>
        </is>
      </c>
      <c r="BP177" t="inlineStr">
        <is>
          <t>Palestinian Territory, Occupied</t>
        </is>
      </c>
    </row>
    <row r="178">
      <c r="A178" t="inlineStr">
        <is>
          <t>Cake Pans</t>
        </is>
      </c>
      <c r="BO178" t="inlineStr">
        <is>
          <t>Ciclosporin (Cyclosporin A; Cyclosporine)</t>
        </is>
      </c>
      <c r="BP178" t="inlineStr">
        <is>
          <t>Panama</t>
        </is>
      </c>
    </row>
    <row r="179">
      <c r="A179" t="inlineStr">
        <is>
          <t>Fixture Parts And Components</t>
        </is>
      </c>
      <c r="BO179" t="inlineStr">
        <is>
          <t>Cidofovir</t>
        </is>
      </c>
      <c r="BP179" t="inlineStr">
        <is>
          <t>Papua New Guinea</t>
        </is>
      </c>
    </row>
    <row r="180">
      <c r="A180" t="inlineStr">
        <is>
          <t>Garden Statues</t>
        </is>
      </c>
      <c r="BO180" t="inlineStr">
        <is>
          <t>Cinnamyl anthranilate</t>
        </is>
      </c>
      <c r="BP180" t="inlineStr">
        <is>
          <t>Paraguay</t>
        </is>
      </c>
    </row>
    <row r="181">
      <c r="A181" t="inlineStr">
        <is>
          <t>Patio Furniture Replacement Slings</t>
        </is>
      </c>
      <c r="BO181" t="inlineStr">
        <is>
          <t>Cisplatin</t>
        </is>
      </c>
      <c r="BP181" t="inlineStr">
        <is>
          <t>Peru</t>
        </is>
      </c>
    </row>
    <row r="182">
      <c r="A182" t="inlineStr">
        <is>
          <t>Vehicle Ports</t>
        </is>
      </c>
      <c r="BO182" t="inlineStr">
        <is>
          <t>Citrus Red No. 2</t>
        </is>
      </c>
      <c r="BP182" t="inlineStr">
        <is>
          <t>Philippines</t>
        </is>
      </c>
    </row>
    <row r="183">
      <c r="A183" t="inlineStr">
        <is>
          <t>Drains</t>
        </is>
      </c>
      <c r="BO183" t="inlineStr">
        <is>
          <t>Cladribine</t>
        </is>
      </c>
      <c r="BP183" t="inlineStr">
        <is>
          <t>Pitcairn</t>
        </is>
      </c>
    </row>
    <row r="184">
      <c r="A184" t="inlineStr">
        <is>
          <t>Kitchen Sinks</t>
        </is>
      </c>
      <c r="BO184" t="inlineStr">
        <is>
          <t>Clarithromycin</t>
        </is>
      </c>
      <c r="BP184" t="inlineStr">
        <is>
          <t>Poland</t>
        </is>
      </c>
    </row>
    <row r="185">
      <c r="A185" t="inlineStr">
        <is>
          <t>Medicine Cabinets</t>
        </is>
      </c>
      <c r="BO185" t="inlineStr">
        <is>
          <t>Clobetasol propionate</t>
        </is>
      </c>
      <c r="BP185" t="inlineStr">
        <is>
          <t>Portugal</t>
        </is>
      </c>
    </row>
    <row r="186">
      <c r="A186" t="inlineStr">
        <is>
          <t>Valves</t>
        </is>
      </c>
      <c r="BO186" t="inlineStr">
        <is>
          <t>Clofibrate</t>
        </is>
      </c>
      <c r="BP186" t="inlineStr">
        <is>
          <t>Puerto Rico</t>
        </is>
      </c>
    </row>
    <row r="187">
      <c r="A187" t="inlineStr">
        <is>
          <t>Kitchen Sink Accessories</t>
        </is>
      </c>
      <c r="BO187" t="inlineStr">
        <is>
          <t>Clomiphene citrate</t>
        </is>
      </c>
      <c r="BP187" t="inlineStr">
        <is>
          <t>Qatar</t>
        </is>
      </c>
    </row>
    <row r="188">
      <c r="A188" t="inlineStr">
        <is>
          <t>Salt And Pepper Shakers / Grinders (Mills)</t>
        </is>
      </c>
      <c r="BO188" t="inlineStr">
        <is>
          <t>Clorazepate dipotassium</t>
        </is>
      </c>
      <c r="BP188" t="inlineStr">
        <is>
          <t>Reunion</t>
        </is>
      </c>
    </row>
    <row r="189">
      <c r="A189" t="inlineStr">
        <is>
          <t>Blinds and Shades</t>
        </is>
      </c>
      <c r="BO189" t="inlineStr">
        <is>
          <t>CMNP (pyrazachlor)</t>
        </is>
      </c>
      <c r="BP189" t="inlineStr">
        <is>
          <t>Romania</t>
        </is>
      </c>
    </row>
    <row r="190">
      <c r="A190" t="inlineStr">
        <is>
          <t>Picture Frames</t>
        </is>
      </c>
      <c r="BO190" t="inlineStr">
        <is>
          <t>Cobalt metal powder</t>
        </is>
      </c>
      <c r="BP190" t="inlineStr">
        <is>
          <t>Russian Federation</t>
        </is>
      </c>
    </row>
    <row r="191">
      <c r="A191" t="inlineStr">
        <is>
          <t>Safe Accessories</t>
        </is>
      </c>
      <c r="BO191" t="inlineStr">
        <is>
          <t>Cobalt [II] oxide</t>
        </is>
      </c>
      <c r="BP191" t="inlineStr">
        <is>
          <t>Rwanda</t>
        </is>
      </c>
    </row>
    <row r="192">
      <c r="A192" t="inlineStr">
        <is>
          <t>Kitchen Faucets</t>
        </is>
      </c>
      <c r="BO192" t="inlineStr">
        <is>
          <t>Cobalt sulfate</t>
        </is>
      </c>
      <c r="BP192" t="inlineStr">
        <is>
          <t>Saint Barthélemy</t>
        </is>
      </c>
    </row>
    <row r="193">
      <c r="A193" t="inlineStr">
        <is>
          <t>Bathroom Sink Faucets</t>
        </is>
      </c>
      <c r="BO193" t="inlineStr">
        <is>
          <t>Cobalt sulfate heptahydrate</t>
        </is>
      </c>
      <c r="BP193" t="inlineStr">
        <is>
          <t>Saint Helena</t>
        </is>
      </c>
    </row>
    <row r="194">
      <c r="A194" t="inlineStr">
        <is>
          <t>Range Hoods</t>
        </is>
      </c>
      <c r="BO194" t="inlineStr">
        <is>
          <t>Cocaine</t>
        </is>
      </c>
      <c r="BP194" t="inlineStr">
        <is>
          <t>Saint Kitts and Nevis</t>
        </is>
      </c>
    </row>
    <row r="195">
      <c r="A195" t="inlineStr">
        <is>
          <t>Science Tables</t>
        </is>
      </c>
      <c r="BO195" t="inlineStr">
        <is>
          <t>Coconut oil diethanolamine condensate (cocamide diethanolamine)</t>
        </is>
      </c>
      <c r="BP195" t="inlineStr">
        <is>
          <t>Saint Lucia</t>
        </is>
      </c>
    </row>
    <row r="196">
      <c r="A196" t="inlineStr">
        <is>
          <t>Cooking Utensils</t>
        </is>
      </c>
      <c r="BO196" t="inlineStr">
        <is>
          <t>Codeine phosphate</t>
        </is>
      </c>
      <c r="BP196" t="inlineStr">
        <is>
          <t>Saint Martin</t>
        </is>
      </c>
    </row>
    <row r="197">
      <c r="A197" t="inlineStr">
        <is>
          <t>Toilet Seats</t>
        </is>
      </c>
      <c r="BO197" t="inlineStr">
        <is>
          <t>Coke oven emissions</t>
        </is>
      </c>
      <c r="BP197" t="inlineStr">
        <is>
          <t>Saint Pierre and Miquelon</t>
        </is>
      </c>
    </row>
    <row r="198">
      <c r="A198" t="inlineStr">
        <is>
          <t>Birdhouses</t>
        </is>
      </c>
      <c r="BO198" t="inlineStr">
        <is>
          <t>Colchicine</t>
        </is>
      </c>
      <c r="BP198" t="inlineStr">
        <is>
          <t>Saint Vincent and the Grenadines</t>
        </is>
      </c>
    </row>
    <row r="199">
      <c r="A199" t="inlineStr">
        <is>
          <t>Coolers</t>
        </is>
      </c>
      <c r="BO199" t="inlineStr">
        <is>
          <t>Conjugated estrogens</t>
        </is>
      </c>
      <c r="BP199" t="inlineStr">
        <is>
          <t>Samoa</t>
        </is>
      </c>
    </row>
    <row r="200">
      <c r="A200" t="inlineStr">
        <is>
          <t>Play Kitchen Sets</t>
        </is>
      </c>
      <c r="BO200" t="inlineStr">
        <is>
          <t>Creosotes</t>
        </is>
      </c>
      <c r="BP200" t="inlineStr">
        <is>
          <t>San Marino</t>
        </is>
      </c>
    </row>
    <row r="201">
      <c r="A201" t="inlineStr">
        <is>
          <t>Cookware Sets</t>
        </is>
      </c>
      <c r="BO201" t="inlineStr">
        <is>
          <t>p-Cresidine</t>
        </is>
      </c>
      <c r="BP201" t="inlineStr">
        <is>
          <t>Sao Tome and Principe</t>
        </is>
      </c>
    </row>
    <row r="202">
      <c r="A202" t="inlineStr">
        <is>
          <t>Roasting Pans</t>
        </is>
      </c>
      <c r="BO202" t="inlineStr">
        <is>
          <t>Cumene</t>
        </is>
      </c>
      <c r="BP202" t="inlineStr">
        <is>
          <t>Saudi Arabia</t>
        </is>
      </c>
    </row>
    <row r="203">
      <c r="A203" t="inlineStr">
        <is>
          <t>Bed Frames</t>
        </is>
      </c>
      <c r="BO203" t="inlineStr">
        <is>
          <t>Cupferron</t>
        </is>
      </c>
      <c r="BP203" t="inlineStr">
        <is>
          <t>Senegal</t>
        </is>
      </c>
    </row>
    <row r="204">
      <c r="A204" t="inlineStr">
        <is>
          <t>Saucepans And Sauciers</t>
        </is>
      </c>
      <c r="BO204" t="inlineStr">
        <is>
          <t>Cyanazine</t>
        </is>
      </c>
      <c r="BP204" t="inlineStr">
        <is>
          <t>Serbia</t>
        </is>
      </c>
    </row>
    <row r="205">
      <c r="A205" t="inlineStr">
        <is>
          <t>Mobiles</t>
        </is>
      </c>
      <c r="BO205" t="inlineStr">
        <is>
          <t>Cycasin</t>
        </is>
      </c>
      <c r="BP205" t="inlineStr">
        <is>
          <t>Seychelles</t>
        </is>
      </c>
    </row>
    <row r="206">
      <c r="A206" t="inlineStr">
        <is>
          <t>Stock Pots, Soup Pots and Multi-Pots</t>
        </is>
      </c>
      <c r="BO206" t="inlineStr">
        <is>
          <t>Cycloate</t>
        </is>
      </c>
      <c r="BP206" t="inlineStr">
        <is>
          <t>Sierra Leone</t>
        </is>
      </c>
    </row>
    <row r="207">
      <c r="A207" t="inlineStr">
        <is>
          <t>Dutch Ovens &amp; Braisers</t>
        </is>
      </c>
      <c r="BO207" t="inlineStr">
        <is>
          <t>Cycloheximide</t>
        </is>
      </c>
      <c r="BP207" t="inlineStr">
        <is>
          <t>Singapore</t>
        </is>
      </c>
    </row>
    <row r="208">
      <c r="A208" t="inlineStr">
        <is>
          <t>Skillets &amp; Fry Pans</t>
        </is>
      </c>
      <c r="BO208" t="inlineStr">
        <is>
          <t>Cyclopenta[cd]pyrene</t>
        </is>
      </c>
      <c r="BP208" t="inlineStr">
        <is>
          <t>Slovakia</t>
        </is>
      </c>
    </row>
    <row r="209">
      <c r="A209" t="inlineStr">
        <is>
          <t>Fondue Sets</t>
        </is>
      </c>
      <c r="BO209" t="inlineStr">
        <is>
          <t>Cyclophosphamide (anhydrous)</t>
        </is>
      </c>
      <c r="BP209" t="inlineStr">
        <is>
          <t>Slovenia</t>
        </is>
      </c>
    </row>
    <row r="210">
      <c r="A210" t="inlineStr">
        <is>
          <t>Dinnerware Sets &amp; Place Settings</t>
        </is>
      </c>
      <c r="BO210" t="inlineStr">
        <is>
          <t>Cyclophosphamide (hydrated)</t>
        </is>
      </c>
      <c r="BP210" t="inlineStr">
        <is>
          <t>Solomon Islands</t>
        </is>
      </c>
    </row>
    <row r="211">
      <c r="A211" t="inlineStr">
        <is>
          <t>Waterbeds</t>
        </is>
      </c>
      <c r="BO211" t="inlineStr">
        <is>
          <t>Cyhexatin</t>
        </is>
      </c>
      <c r="BP211" t="inlineStr">
        <is>
          <t>Somalia</t>
        </is>
      </c>
    </row>
    <row r="212">
      <c r="A212" t="inlineStr">
        <is>
          <t>Waterbed Parts And Accessories</t>
        </is>
      </c>
      <c r="BO212" t="inlineStr">
        <is>
          <t>Cytarabine</t>
        </is>
      </c>
      <c r="BP212" t="inlineStr">
        <is>
          <t>South Africa</t>
        </is>
      </c>
    </row>
    <row r="213">
      <c r="A213" t="inlineStr">
        <is>
          <t>Slipcovers</t>
        </is>
      </c>
      <c r="BO213" t="inlineStr">
        <is>
          <t>Cytembena</t>
        </is>
      </c>
      <c r="BP213" t="inlineStr">
        <is>
          <t>South Georgia and the South Sandwich Islands</t>
        </is>
      </c>
    </row>
    <row r="214">
      <c r="A214" t="inlineStr">
        <is>
          <t>Under Cabinet Lighting</t>
        </is>
      </c>
      <c r="BO214" t="inlineStr">
        <is>
          <t>D&amp;C Orange No. 17</t>
        </is>
      </c>
      <c r="BP214" t="inlineStr">
        <is>
          <t>Spain</t>
        </is>
      </c>
    </row>
    <row r="215">
      <c r="A215" t="inlineStr">
        <is>
          <t>Bidet Faucets</t>
        </is>
      </c>
      <c r="BO215" t="inlineStr">
        <is>
          <t>D&amp;C Red No. 8</t>
        </is>
      </c>
      <c r="BP215" t="inlineStr">
        <is>
          <t>Sri Lanka</t>
        </is>
      </c>
    </row>
    <row r="216">
      <c r="A216" t="inlineStr">
        <is>
          <t>Recliners</t>
        </is>
      </c>
      <c r="BO216" t="inlineStr">
        <is>
          <t>D&amp;C Red No. 9</t>
        </is>
      </c>
      <c r="BP216" t="inlineStr">
        <is>
          <t>Sudan</t>
        </is>
      </c>
    </row>
    <row r="217">
      <c r="A217" t="inlineStr">
        <is>
          <t>Specialty Faucets</t>
        </is>
      </c>
      <c r="BO217" t="inlineStr">
        <is>
          <t>D&amp;C Red No. 19</t>
        </is>
      </c>
      <c r="BP217" t="inlineStr">
        <is>
          <t>Suriname</t>
        </is>
      </c>
    </row>
    <row r="218">
      <c r="A218" t="inlineStr">
        <is>
          <t>Urinals</t>
        </is>
      </c>
      <c r="BO218" t="inlineStr">
        <is>
          <t>Dacarbazine</t>
        </is>
      </c>
      <c r="BP218" t="inlineStr">
        <is>
          <t>Svalbard and Jan Mayen</t>
        </is>
      </c>
    </row>
    <row r="219">
      <c r="A219" t="inlineStr">
        <is>
          <t>Bidets</t>
        </is>
      </c>
      <c r="BO219" t="inlineStr">
        <is>
          <t>Daminozide</t>
        </is>
      </c>
      <c r="BP219" t="inlineStr">
        <is>
          <t>Swaziland</t>
        </is>
      </c>
    </row>
    <row r="220">
      <c r="A220" t="inlineStr">
        <is>
          <t>Blenders, Smoothie Makers &amp; Accessories</t>
        </is>
      </c>
      <c r="BO220" t="inlineStr">
        <is>
          <t>Danazol</t>
        </is>
      </c>
      <c r="BP220" t="inlineStr">
        <is>
          <t>Sweden</t>
        </is>
      </c>
    </row>
    <row r="221">
      <c r="A221" t="inlineStr">
        <is>
          <t>Mixers &amp; Mixer Accessories</t>
        </is>
      </c>
      <c r="BO221" t="inlineStr">
        <is>
          <t>Dantron (Chrysazin; 1,8-Dihydroxyanthraquinone)</t>
        </is>
      </c>
      <c r="BP221" t="inlineStr">
        <is>
          <t>Switzerland</t>
        </is>
      </c>
    </row>
    <row r="222">
      <c r="A222" t="inlineStr">
        <is>
          <t>Patio Umbrella Stands &amp; Bases</t>
        </is>
      </c>
      <c r="BO222" t="inlineStr">
        <is>
          <t>Daunomycin</t>
        </is>
      </c>
      <c r="BP222" t="inlineStr">
        <is>
          <t>Syrian Arab Republic</t>
        </is>
      </c>
    </row>
    <row r="223">
      <c r="A223" t="inlineStr">
        <is>
          <t>Food Processors</t>
        </is>
      </c>
      <c r="BO223" t="inlineStr">
        <is>
          <t xml:space="preserve">Daunorubicin hydrochloride </t>
        </is>
      </c>
      <c r="BP223" t="inlineStr">
        <is>
          <t>Taiwan</t>
        </is>
      </c>
    </row>
    <row r="224">
      <c r="A224" t="inlineStr">
        <is>
          <t>Ice Cream Makers &amp; Yogurt Makers</t>
        </is>
      </c>
      <c r="BO224" t="inlineStr">
        <is>
          <t>2,4-D butyric acid</t>
        </is>
      </c>
      <c r="BP224" t="inlineStr">
        <is>
          <t>Tajikistan</t>
        </is>
      </c>
    </row>
    <row r="225">
      <c r="A225" t="inlineStr">
        <is>
          <t>Slow Cookers</t>
        </is>
      </c>
      <c r="BO225" t="inlineStr">
        <is>
          <t>DDD (Dichlorodiphenyl-dichloroethane)</t>
        </is>
      </c>
      <c r="BP225" t="inlineStr">
        <is>
          <t>Tanzania, United Republic of</t>
        </is>
      </c>
    </row>
    <row r="226">
      <c r="A226" t="inlineStr">
        <is>
          <t>Food Dehydrators</t>
        </is>
      </c>
      <c r="BO226" t="inlineStr">
        <is>
          <t>DDE (Dichlorodiphenyl-dichloroethylene)</t>
        </is>
      </c>
      <c r="BP226" t="inlineStr">
        <is>
          <t>Thailand</t>
        </is>
      </c>
    </row>
    <row r="227">
      <c r="A227" t="inlineStr">
        <is>
          <t>Vacuum Food Sealers</t>
        </is>
      </c>
      <c r="BO227" t="inlineStr">
        <is>
          <t>DDT (Dichlorodiphenyl-trichloroethane)</t>
        </is>
      </c>
      <c r="BP227" t="inlineStr">
        <is>
          <t>Timor-Leste</t>
        </is>
      </c>
    </row>
    <row r="228">
      <c r="A228" t="inlineStr">
        <is>
          <t>Electric Grills &amp; Skillets</t>
        </is>
      </c>
      <c r="BO228" t="inlineStr">
        <is>
          <t>o,p'-DDT</t>
        </is>
      </c>
      <c r="BP228" t="inlineStr">
        <is>
          <t>Togo</t>
        </is>
      </c>
    </row>
    <row r="229">
      <c r="A229" t="inlineStr">
        <is>
          <t>Garbage Disposals</t>
        </is>
      </c>
      <c r="BO229" t="inlineStr">
        <is>
          <t>p,p'-DDT</t>
        </is>
      </c>
      <c r="BP229" t="inlineStr">
        <is>
          <t>Tokelau</t>
        </is>
      </c>
    </row>
    <row r="230">
      <c r="A230" t="inlineStr">
        <is>
          <t>Juicers</t>
        </is>
      </c>
      <c r="BO230" t="inlineStr">
        <is>
          <t>DDVP (Dichlorvos)</t>
        </is>
      </c>
      <c r="BP230" t="inlineStr">
        <is>
          <t>Tonga</t>
        </is>
      </c>
    </row>
    <row r="231">
      <c r="A231" t="inlineStr">
        <is>
          <t>Irons, Garment Steamers &amp; Hair Tools</t>
        </is>
      </c>
      <c r="BO231" t="inlineStr">
        <is>
          <t>Demeclocycline hydrochloride (internal use)</t>
        </is>
      </c>
      <c r="BP231" t="inlineStr">
        <is>
          <t>Trinidad and Tobago</t>
        </is>
      </c>
    </row>
    <row r="232">
      <c r="A232" t="inlineStr">
        <is>
          <t>Strainers, Colanders, &amp; Salad Spinners</t>
        </is>
      </c>
      <c r="BO232" t="inlineStr">
        <is>
          <t>Des-ethyl atrazine (DEA)</t>
        </is>
      </c>
      <c r="BP232" t="inlineStr">
        <is>
          <t>Tunisia</t>
        </is>
      </c>
    </row>
    <row r="233">
      <c r="A233" t="inlineStr">
        <is>
          <t>Pasta Makers &amp; Accessories</t>
        </is>
      </c>
      <c r="BO233" t="inlineStr">
        <is>
          <t>Des-isopropyl atrazine (DIA)</t>
        </is>
      </c>
      <c r="BP233" t="inlineStr">
        <is>
          <t>Turkey</t>
        </is>
      </c>
    </row>
    <row r="234">
      <c r="A234" t="inlineStr">
        <is>
          <t>Can Openers</t>
        </is>
      </c>
      <c r="BO234" t="inlineStr">
        <is>
          <t>N,N'-Diacetylbenzidine</t>
        </is>
      </c>
      <c r="BP234" t="inlineStr">
        <is>
          <t>Turkmenistan</t>
        </is>
      </c>
    </row>
    <row r="235">
      <c r="A235" t="inlineStr">
        <is>
          <t>Popcorn Machines / Nut Roasters</t>
        </is>
      </c>
      <c r="BO235" t="inlineStr">
        <is>
          <t>2,4-Diaminoanisole</t>
        </is>
      </c>
      <c r="BP235" t="inlineStr">
        <is>
          <t>Turks and Caicos Islands</t>
        </is>
      </c>
    </row>
    <row r="236">
      <c r="A236" t="inlineStr">
        <is>
          <t>Air Fryers</t>
        </is>
      </c>
      <c r="BO236" t="inlineStr">
        <is>
          <t>2,4-Diaminoanisole sulfate</t>
        </is>
      </c>
      <c r="BP236" t="inlineStr">
        <is>
          <t>Tuvalu</t>
        </is>
      </c>
    </row>
    <row r="237">
      <c r="A237" t="inlineStr">
        <is>
          <t>Timers</t>
        </is>
      </c>
      <c r="BO237" t="inlineStr">
        <is>
          <t>2,4-Diamino-6-chloro-s-triazine (DACT)</t>
        </is>
      </c>
      <c r="BP237" t="inlineStr">
        <is>
          <t>Uganda</t>
        </is>
      </c>
    </row>
    <row r="238">
      <c r="A238" t="inlineStr">
        <is>
          <t>Burners &amp; Hot Plates</t>
        </is>
      </c>
      <c r="BO238" t="inlineStr">
        <is>
          <t>4,4'-Diaminodiphenyl ether (4,4'-Oxydianiline)</t>
        </is>
      </c>
      <c r="BP238" t="inlineStr">
        <is>
          <t>Ukraine</t>
        </is>
      </c>
    </row>
    <row r="239">
      <c r="A239" t="inlineStr">
        <is>
          <t>Mops &amp; Mop Accessories</t>
        </is>
      </c>
      <c r="BO239" t="inlineStr">
        <is>
          <t>2,4-Diaminotoluene</t>
        </is>
      </c>
      <c r="BP239" t="inlineStr">
        <is>
          <t>United Arab Emirates</t>
        </is>
      </c>
    </row>
    <row r="240">
      <c r="A240" t="inlineStr">
        <is>
          <t>Hammock Stands and Accessories</t>
        </is>
      </c>
      <c r="BO240" t="inlineStr">
        <is>
          <t>Diazepam</t>
        </is>
      </c>
      <c r="BP240" t="inlineStr">
        <is>
          <t>United Kingdom</t>
        </is>
      </c>
    </row>
    <row r="241">
      <c r="A241" t="inlineStr">
        <is>
          <t>Waffle, Pizzelle &amp; Crepe Makers</t>
        </is>
      </c>
      <c r="BO241" t="inlineStr">
        <is>
          <t>Diazoaminobenzene</t>
        </is>
      </c>
      <c r="BP241" t="inlineStr">
        <is>
          <t>United States Minor Outlying Islands</t>
        </is>
      </c>
    </row>
    <row r="242">
      <c r="A242" t="inlineStr">
        <is>
          <t>Cradle &amp; Bassinet Bedding</t>
        </is>
      </c>
      <c r="BO242" t="inlineStr">
        <is>
          <t>Diazoxide</t>
        </is>
      </c>
      <c r="BP242" t="inlineStr">
        <is>
          <t>Uruguay</t>
        </is>
      </c>
    </row>
    <row r="243">
      <c r="A243" t="inlineStr">
        <is>
          <t>Toddler Bedding</t>
        </is>
      </c>
      <c r="BO243" t="inlineStr">
        <is>
          <t>Dibenz[a,h]acridine</t>
        </is>
      </c>
      <c r="BP243" t="inlineStr">
        <is>
          <t>Uzbekistan</t>
        </is>
      </c>
    </row>
    <row r="244">
      <c r="A244" t="inlineStr">
        <is>
          <t>Crib Bedding Sets</t>
        </is>
      </c>
      <c r="BO244" t="inlineStr">
        <is>
          <t>Dibenz[a,j]acridine</t>
        </is>
      </c>
      <c r="BP244" t="inlineStr">
        <is>
          <t>Vanuatu</t>
        </is>
      </c>
    </row>
    <row r="245">
      <c r="A245" t="inlineStr">
        <is>
          <t>Training Tables</t>
        </is>
      </c>
      <c r="BO245" t="inlineStr">
        <is>
          <t>Dibenzanthracenes</t>
        </is>
      </c>
      <c r="BP245" t="inlineStr">
        <is>
          <t>Venezuela</t>
        </is>
      </c>
    </row>
    <row r="246">
      <c r="A246" t="inlineStr">
        <is>
          <t>Game Chairs</t>
        </is>
      </c>
      <c r="BO246" t="inlineStr">
        <is>
          <t>Dibenz[a,c]anthracene</t>
        </is>
      </c>
      <c r="BP246" t="inlineStr">
        <is>
          <t>Vietnam</t>
        </is>
      </c>
    </row>
    <row r="247">
      <c r="A247" t="inlineStr">
        <is>
          <t>Vacuums &amp; Steamers</t>
        </is>
      </c>
      <c r="BO247" t="inlineStr">
        <is>
          <t>Dibenz[a,h]anthracene</t>
        </is>
      </c>
      <c r="BP247" t="inlineStr">
        <is>
          <t>Virgin Islands, British</t>
        </is>
      </c>
    </row>
    <row r="248">
      <c r="A248" t="inlineStr">
        <is>
          <t>Ergonomic Accessories</t>
        </is>
      </c>
      <c r="BO248" t="inlineStr">
        <is>
          <t>Dibenz[a,j]anthracene</t>
        </is>
      </c>
      <c r="BP248" t="inlineStr">
        <is>
          <t>Virgin Islands, U.S.</t>
        </is>
      </c>
    </row>
    <row r="249">
      <c r="A249" t="inlineStr">
        <is>
          <t>Crib Mattresses</t>
        </is>
      </c>
      <c r="BO249" t="inlineStr">
        <is>
          <t>7H-Dibenzo[c,g]carbazole</t>
        </is>
      </c>
      <c r="BP249" t="inlineStr">
        <is>
          <t>Wallis and Futuna</t>
        </is>
      </c>
    </row>
    <row r="250">
      <c r="A250" t="inlineStr">
        <is>
          <t>Drinking Fountains</t>
        </is>
      </c>
      <c r="BO250" t="inlineStr">
        <is>
          <t>Dibenzo[a,e]pyrene</t>
        </is>
      </c>
      <c r="BP250" t="inlineStr">
        <is>
          <t>Western Sahara</t>
        </is>
      </c>
    </row>
    <row r="251">
      <c r="A251" t="inlineStr">
        <is>
          <t>Utility Sinks</t>
        </is>
      </c>
      <c r="BO251" t="inlineStr">
        <is>
          <t>Dibenzo[a,h]pyrene</t>
        </is>
      </c>
      <c r="BP251" t="inlineStr">
        <is>
          <t>Yemen</t>
        </is>
      </c>
    </row>
    <row r="252">
      <c r="A252" t="inlineStr">
        <is>
          <t>Fountain Accessories</t>
        </is>
      </c>
      <c r="BO252" t="inlineStr">
        <is>
          <t>Dibenzo[a,i]pyrene</t>
        </is>
      </c>
      <c r="BP252" t="inlineStr">
        <is>
          <t>Zambia</t>
        </is>
      </c>
    </row>
    <row r="253">
      <c r="A253" t="inlineStr">
        <is>
          <t>Refrigerators</t>
        </is>
      </c>
      <c r="BO253" t="inlineStr">
        <is>
          <t>Dibenzo[a,l]pyrene</t>
        </is>
      </c>
      <c r="BP253" t="inlineStr">
        <is>
          <t>Zimbabwe</t>
        </is>
      </c>
    </row>
    <row r="254">
      <c r="A254" t="inlineStr">
        <is>
          <t>Swing Sets &amp; Playgrounds</t>
        </is>
      </c>
      <c r="BO254" t="inlineStr">
        <is>
          <t>Dibromoacetic acid</t>
        </is>
      </c>
      <c r="BP254" t="inlineStr">
        <is>
          <t>United States - APO/FPO/DPO</t>
        </is>
      </c>
    </row>
    <row r="255">
      <c r="A255" t="inlineStr">
        <is>
          <t>Swing Set Accessories</t>
        </is>
      </c>
      <c r="BO255" t="inlineStr">
        <is>
          <t>Dibromoacetonitrile</t>
        </is>
      </c>
    </row>
    <row r="256">
      <c r="A256" t="inlineStr">
        <is>
          <t>Toaster Ovens</t>
        </is>
      </c>
      <c r="BO256" t="inlineStr">
        <is>
          <t>2,3-Dibromo-1-propanol</t>
        </is>
      </c>
    </row>
    <row r="257">
      <c r="A257" t="inlineStr">
        <is>
          <t>Slides</t>
        </is>
      </c>
      <c r="BO257" t="inlineStr">
        <is>
          <t>Dichloroacetic acid</t>
        </is>
      </c>
    </row>
    <row r="258">
      <c r="A258" t="inlineStr">
        <is>
          <t>Coffee Makers</t>
        </is>
      </c>
      <c r="BO258" t="inlineStr">
        <is>
          <t>p-Dichlorobenzene</t>
        </is>
      </c>
    </row>
    <row r="259">
      <c r="A259" t="inlineStr">
        <is>
          <t>Indoor Gardening</t>
        </is>
      </c>
      <c r="BO259" t="inlineStr">
        <is>
          <t>3,3'-Dichlorobenzidine</t>
        </is>
      </c>
    </row>
    <row r="260">
      <c r="A260" t="inlineStr">
        <is>
          <t>Wine Refrigerators</t>
        </is>
      </c>
      <c r="BO260" t="inlineStr">
        <is>
          <t>3,3'-Dichlorobenzidine dihydrochloride</t>
        </is>
      </c>
    </row>
    <row r="261">
      <c r="A261" t="inlineStr">
        <is>
          <t>Microwaves</t>
        </is>
      </c>
      <c r="BO261" t="inlineStr">
        <is>
          <t>1,1-Dichloro-2,2-bis(p-chloropheny)ethylene (DDE)</t>
        </is>
      </c>
    </row>
    <row r="262">
      <c r="A262" t="inlineStr">
        <is>
          <t>Cabinet Organization</t>
        </is>
      </c>
      <c r="BO262" t="inlineStr">
        <is>
          <t>1,4-Dichloro-2-butene</t>
        </is>
      </c>
    </row>
    <row r="263">
      <c r="A263" t="inlineStr">
        <is>
          <t>Teeter-Totters &amp; Seesaws</t>
        </is>
      </c>
      <c r="BO263" t="inlineStr">
        <is>
          <t>3,3'-Dichloro-4,4'-diamino-diphenyl ether</t>
        </is>
      </c>
    </row>
    <row r="264">
      <c r="A264" t="inlineStr">
        <is>
          <t>Sandboxes &amp; Sand Toys</t>
        </is>
      </c>
      <c r="BO264" t="inlineStr">
        <is>
          <t>1,1-Dichloroethane</t>
        </is>
      </c>
    </row>
    <row r="265">
      <c r="A265" t="inlineStr">
        <is>
          <t>Commercial Playground Equipment</t>
        </is>
      </c>
      <c r="BO265" t="inlineStr">
        <is>
          <t>Dichloromethane (Methylene chloride)</t>
        </is>
      </c>
    </row>
    <row r="266">
      <c r="A266" t="inlineStr">
        <is>
          <t>Indoor Chaise Lounges</t>
        </is>
      </c>
      <c r="BO266" t="inlineStr">
        <is>
          <t>Dichlorophene</t>
        </is>
      </c>
    </row>
    <row r="267">
      <c r="A267" t="inlineStr">
        <is>
          <t>Espresso Machines</t>
        </is>
      </c>
      <c r="BO267" t="inlineStr">
        <is>
          <t>Dichlorphenamide</t>
        </is>
      </c>
    </row>
    <row r="268">
      <c r="A268" t="inlineStr">
        <is>
          <t>Dog Beds &amp; Mats</t>
        </is>
      </c>
      <c r="BO268" t="inlineStr">
        <is>
          <t>1,2-Dichloropropane</t>
        </is>
      </c>
    </row>
    <row r="269">
      <c r="A269" t="inlineStr">
        <is>
          <t>Open Stock Knives and Kitchen Scissors</t>
        </is>
      </c>
      <c r="BO269" t="inlineStr">
        <is>
          <t>1,3-Dichloro-2-propanol (1,3-DCP)</t>
        </is>
      </c>
    </row>
    <row r="270">
      <c r="A270" t="inlineStr">
        <is>
          <t>Flatware &amp; Silverware Single Pieces</t>
        </is>
      </c>
      <c r="BO270" t="inlineStr">
        <is>
          <t>1,3-Dichloropropene</t>
        </is>
      </c>
    </row>
    <row r="271">
      <c r="A271" t="inlineStr">
        <is>
          <t>Vehicle Covers</t>
        </is>
      </c>
      <c r="BO271" t="inlineStr">
        <is>
          <t>Dicumarol</t>
        </is>
      </c>
    </row>
    <row r="272">
      <c r="A272" t="inlineStr">
        <is>
          <t>Desk Parts</t>
        </is>
      </c>
      <c r="BO272" t="inlineStr">
        <is>
          <t>Dieldrin</t>
        </is>
      </c>
    </row>
    <row r="273">
      <c r="A273" t="inlineStr">
        <is>
          <t>Safety Gates</t>
        </is>
      </c>
      <c r="BO273" t="inlineStr">
        <is>
          <t>Diepoxybutane</t>
        </is>
      </c>
    </row>
    <row r="274">
      <c r="A274" t="inlineStr">
        <is>
          <t>Steam</t>
        </is>
      </c>
      <c r="BO274" t="inlineStr">
        <is>
          <t>Diesel engine exhaust</t>
        </is>
      </c>
    </row>
    <row r="275">
      <c r="A275" t="inlineStr">
        <is>
          <t>Chocolate And Beverage Fountains</t>
        </is>
      </c>
      <c r="BO275" t="inlineStr">
        <is>
          <t>Diethanolamine</t>
        </is>
      </c>
    </row>
    <row r="276">
      <c r="A276" t="inlineStr">
        <is>
          <t>Bread Machines</t>
        </is>
      </c>
      <c r="BO276" t="inlineStr">
        <is>
          <t>Di(2-ethylhexyl)phthalate (DEHP)</t>
        </is>
      </c>
    </row>
    <row r="277">
      <c r="A277" t="inlineStr">
        <is>
          <t>Coffee Grinders</t>
        </is>
      </c>
      <c r="BO277" t="inlineStr">
        <is>
          <t>1,2-Diethylhydrazine</t>
        </is>
      </c>
    </row>
    <row r="278">
      <c r="A278" t="inlineStr">
        <is>
          <t>Milk Frothers</t>
        </is>
      </c>
      <c r="BO278" t="inlineStr">
        <is>
          <t>Diethylstilbestrol (DES)</t>
        </is>
      </c>
    </row>
    <row r="279">
      <c r="A279" t="inlineStr">
        <is>
          <t>Coffee &amp; Espresso Accessories</t>
        </is>
      </c>
      <c r="BO279" t="inlineStr">
        <is>
          <t>Diethyl sulfate</t>
        </is>
      </c>
    </row>
    <row r="280">
      <c r="A280" t="inlineStr">
        <is>
          <t>Snow Cone Machines &amp; Ice Crushers</t>
        </is>
      </c>
      <c r="BO280" t="inlineStr">
        <is>
          <t>Diflunisal</t>
        </is>
      </c>
    </row>
    <row r="281">
      <c r="A281" t="inlineStr">
        <is>
          <t>Garage Floors</t>
        </is>
      </c>
      <c r="BO281" t="inlineStr">
        <is>
          <t>Diglycidyl resorcinol ether (DGRE)</t>
        </is>
      </c>
    </row>
    <row r="282">
      <c r="A282" t="inlineStr">
        <is>
          <t>Futons</t>
        </is>
      </c>
      <c r="BO282" t="inlineStr">
        <is>
          <t xml:space="preserve">Dihydroergotamine mesylate </t>
        </is>
      </c>
    </row>
    <row r="283">
      <c r="A283" t="inlineStr">
        <is>
          <t>Fire Pit &amp; Chiminea Accessories</t>
        </is>
      </c>
      <c r="BO283" t="inlineStr">
        <is>
          <t>Dihydrosafrole</t>
        </is>
      </c>
    </row>
    <row r="284">
      <c r="A284" t="inlineStr">
        <is>
          <t>Knife Sharpeners</t>
        </is>
      </c>
      <c r="BO284" t="inlineStr">
        <is>
          <t>Diisononyl phthalate (DINP)</t>
        </is>
      </c>
    </row>
    <row r="285">
      <c r="A285" t="inlineStr">
        <is>
          <t>Electric Knives</t>
        </is>
      </c>
      <c r="BO285" t="inlineStr">
        <is>
          <t>Diisopropyl sulfate</t>
        </is>
      </c>
    </row>
    <row r="286">
      <c r="A286" t="inlineStr">
        <is>
          <t>Water Coolers &amp; Dispensers</t>
        </is>
      </c>
      <c r="BO286" t="inlineStr">
        <is>
          <t>Diltiazem hydrochloride</t>
        </is>
      </c>
    </row>
    <row r="287">
      <c r="A287" t="inlineStr">
        <is>
          <t>Kegerators</t>
        </is>
      </c>
      <c r="BO287" t="inlineStr">
        <is>
          <t>3,3'-Dimethoxybenzidine (o-Dianisidine)</t>
        </is>
      </c>
    </row>
    <row r="288">
      <c r="A288" t="inlineStr">
        <is>
          <t>Lids &amp; Covers</t>
        </is>
      </c>
      <c r="BO288" t="inlineStr">
        <is>
          <t>3,3'-Dimethoxybenzidine dihydrochloride</t>
        </is>
      </c>
    </row>
    <row r="289">
      <c r="A289" t="inlineStr">
        <is>
          <t>Poachers</t>
        </is>
      </c>
      <c r="BO289" t="inlineStr">
        <is>
          <t>3,3'-Dimethoxybenzidine-based dyes metabolized to 3,3'-dimethoxybenzidine</t>
        </is>
      </c>
    </row>
    <row r="290">
      <c r="A290" t="inlineStr">
        <is>
          <t>Bar &amp; Wine Tools</t>
        </is>
      </c>
      <c r="BO290" t="inlineStr">
        <is>
          <t>N,N-Dimethylacetamide</t>
        </is>
      </c>
    </row>
    <row r="291">
      <c r="A291" t="inlineStr">
        <is>
          <t>Space Heaters</t>
        </is>
      </c>
      <c r="BO291" t="inlineStr">
        <is>
          <t>4-Dimethylaminoazobenzene</t>
        </is>
      </c>
    </row>
    <row r="292">
      <c r="A292" t="inlineStr">
        <is>
          <t>Christmas Trees</t>
        </is>
      </c>
      <c r="BO292" t="inlineStr">
        <is>
          <t>trans-2-[(Dimethylamino)methylimino]-5-[2-(5-nitro-2-furyl)vinyl]-1,3,4-oxadiazole</t>
        </is>
      </c>
    </row>
    <row r="293">
      <c r="A293" t="inlineStr">
        <is>
          <t>Ornaments &amp; Tree Décor</t>
        </is>
      </c>
      <c r="BO293" t="inlineStr">
        <is>
          <t>7,12-Dimethylbenz(a)anthracene</t>
        </is>
      </c>
    </row>
    <row r="294">
      <c r="A294" t="inlineStr">
        <is>
          <t>Outdoor Decorations</t>
        </is>
      </c>
      <c r="BO294" t="inlineStr">
        <is>
          <t>3,3'-Dimethylbenzidine (ortho-Tolidine)</t>
        </is>
      </c>
    </row>
    <row r="295">
      <c r="A295" t="inlineStr">
        <is>
          <t>Holiday Lighting</t>
        </is>
      </c>
      <c r="BO295" t="inlineStr">
        <is>
          <t>3,3'-Dimethylbenzidine-based dyes metabolized to 3,3'-dimethylbenzidine</t>
        </is>
      </c>
    </row>
    <row r="296">
      <c r="A296" t="inlineStr">
        <is>
          <t>Chafing Dishes &amp; Accessories</t>
        </is>
      </c>
      <c r="BO296" t="inlineStr">
        <is>
          <t>3,3'-Dimethylbenzidine dihydrochloride</t>
        </is>
      </c>
    </row>
    <row r="297">
      <c r="A297" t="inlineStr">
        <is>
          <t>Dog and Cat Bowls, Feeders &amp; Accessories</t>
        </is>
      </c>
      <c r="BO297" t="inlineStr">
        <is>
          <t>Dimethylcarbamoyl chloride</t>
        </is>
      </c>
    </row>
    <row r="298">
      <c r="A298" t="inlineStr">
        <is>
          <t>Crates and Carriers</t>
        </is>
      </c>
      <c r="BO298" t="inlineStr">
        <is>
          <t>N,N-Dimethylformamide</t>
        </is>
      </c>
    </row>
    <row r="299">
      <c r="A299" t="inlineStr">
        <is>
          <t>Smokers</t>
        </is>
      </c>
      <c r="BO299" t="inlineStr">
        <is>
          <t>1,1-Dimethylhydrazine (UDMH)</t>
        </is>
      </c>
    </row>
    <row r="300">
      <c r="A300" t="inlineStr">
        <is>
          <t>Christmas Tree Stands &amp; Accessories</t>
        </is>
      </c>
      <c r="BO300" t="inlineStr">
        <is>
          <t>1,2-Dimethylhydrazine</t>
        </is>
      </c>
    </row>
    <row r="301">
      <c r="A301" t="inlineStr">
        <is>
          <t>Garlands &amp; Swag</t>
        </is>
      </c>
      <c r="BO301" t="inlineStr">
        <is>
          <t>2,6-Dimethyl-N-nitrosomorpholine (DMNM)</t>
        </is>
      </c>
    </row>
    <row r="302">
      <c r="A302" t="inlineStr">
        <is>
          <t>Woks</t>
        </is>
      </c>
      <c r="BO302" t="inlineStr">
        <is>
          <t>Dimethyl sulfate</t>
        </is>
      </c>
    </row>
    <row r="303">
      <c r="A303" t="inlineStr">
        <is>
          <t>Ranges</t>
        </is>
      </c>
      <c r="BO303" t="inlineStr">
        <is>
          <t>N,N-Dimethyl-p-toluidine</t>
        </is>
      </c>
    </row>
    <row r="304">
      <c r="A304" t="inlineStr">
        <is>
          <t>Wall Ovens</t>
        </is>
      </c>
      <c r="BO304" t="inlineStr">
        <is>
          <t>Dimethylvinylchloride</t>
        </is>
      </c>
    </row>
    <row r="305">
      <c r="A305" t="inlineStr">
        <is>
          <t>Cooktops</t>
        </is>
      </c>
      <c r="BO305" t="inlineStr">
        <is>
          <t>Di-n-butyl phthalate (DBP)</t>
        </is>
      </c>
    </row>
    <row r="306">
      <c r="A306" t="inlineStr">
        <is>
          <t>Outdoor Sinks &amp; Bar Centers</t>
        </is>
      </c>
      <c r="BO306" t="inlineStr">
        <is>
          <t>3,7-Dinitrofluoranthene</t>
        </is>
      </c>
    </row>
    <row r="307">
      <c r="A307" t="inlineStr">
        <is>
          <t>Pool Tables</t>
        </is>
      </c>
      <c r="BO307" t="inlineStr">
        <is>
          <t>3,9-Dinitrofluoranthene</t>
        </is>
      </c>
    </row>
    <row r="308">
      <c r="A308" t="inlineStr">
        <is>
          <t>Space Heater Accessories</t>
        </is>
      </c>
      <c r="BO308" t="inlineStr">
        <is>
          <t>1,3-Dinitropyrene</t>
        </is>
      </c>
    </row>
    <row r="309">
      <c r="A309" t="inlineStr">
        <is>
          <t>Washing Machines</t>
        </is>
      </c>
      <c r="BO309" t="inlineStr">
        <is>
          <t>1,6-Dinitropyrene</t>
        </is>
      </c>
    </row>
    <row r="310">
      <c r="A310" t="inlineStr">
        <is>
          <t>Flatware &amp; Silverware Sets</t>
        </is>
      </c>
      <c r="BO310" t="inlineStr">
        <is>
          <t>1,8-Dinitropyrene</t>
        </is>
      </c>
    </row>
    <row r="311">
      <c r="A311" t="inlineStr">
        <is>
          <t>Trampolines</t>
        </is>
      </c>
      <c r="BO311" t="inlineStr">
        <is>
          <t>2,4-Dinitrotoluene</t>
        </is>
      </c>
    </row>
    <row r="312">
      <c r="A312" t="inlineStr">
        <is>
          <t>Trampoline Accessories &amp; Parts</t>
        </is>
      </c>
      <c r="BO312" t="inlineStr">
        <is>
          <t>2,6-Dinitrotoluene</t>
        </is>
      </c>
    </row>
    <row r="313">
      <c r="A313" t="inlineStr">
        <is>
          <t>Flatware &amp; Silverware Serving Pieces</t>
        </is>
      </c>
      <c r="BO313" t="inlineStr">
        <is>
          <t>Dinitrotoluene mixture, 2,4-/2,6-</t>
        </is>
      </c>
    </row>
    <row r="314">
      <c r="A314" t="inlineStr">
        <is>
          <t>Picnic Baskets &amp; Coolers</t>
        </is>
      </c>
      <c r="BO314" t="inlineStr">
        <is>
          <t>Dinocap</t>
        </is>
      </c>
    </row>
    <row r="315">
      <c r="A315" t="inlineStr">
        <is>
          <t>Poultry &amp; Meat Preparation Tools</t>
        </is>
      </c>
      <c r="BO315" t="inlineStr">
        <is>
          <t>Dinoseb</t>
        </is>
      </c>
    </row>
    <row r="316">
      <c r="A316" t="inlineStr">
        <is>
          <t>Slicers, Peelers And Graters</t>
        </is>
      </c>
      <c r="BO316" t="inlineStr">
        <is>
          <t>Di-n-propyl isocinchomeronate (MGK Repellent 326)</t>
        </is>
      </c>
    </row>
    <row r="317">
      <c r="A317" t="inlineStr">
        <is>
          <t>Coasters &amp; Trivets</t>
        </is>
      </c>
      <c r="BO317" t="inlineStr">
        <is>
          <t>1,4-Dioxane</t>
        </is>
      </c>
    </row>
    <row r="318">
      <c r="A318" t="inlineStr">
        <is>
          <t>Dartboards And Cabinets</t>
        </is>
      </c>
      <c r="BO318" t="inlineStr">
        <is>
          <t>Diphenylhydantoin (Phenytoin)</t>
        </is>
      </c>
    </row>
    <row r="319">
      <c r="A319" t="inlineStr">
        <is>
          <t>Dishwashers</t>
        </is>
      </c>
      <c r="BO319" t="inlineStr">
        <is>
          <t>Diphenylhydantoin (Phenytoin), sodium salt</t>
        </is>
      </c>
    </row>
    <row r="320">
      <c r="A320" t="inlineStr">
        <is>
          <t>Kitchen Gadgets</t>
        </is>
      </c>
      <c r="BO320" t="inlineStr">
        <is>
          <t>Direct Black 38 (technical grade)</t>
        </is>
      </c>
    </row>
    <row r="321">
      <c r="A321" t="inlineStr">
        <is>
          <t>Pet Strollers</t>
        </is>
      </c>
      <c r="BO321" t="inlineStr">
        <is>
          <t>Direct Blue 6 (technical grade)</t>
        </is>
      </c>
    </row>
    <row r="322">
      <c r="A322" t="inlineStr">
        <is>
          <t>Rolling Pins</t>
        </is>
      </c>
      <c r="BO322" t="inlineStr">
        <is>
          <t>Direct Brown 95 (technical grade)</t>
        </is>
      </c>
    </row>
    <row r="323">
      <c r="A323" t="inlineStr">
        <is>
          <t>Dog Houses</t>
        </is>
      </c>
      <c r="BO323" t="inlineStr">
        <is>
          <t>Disodium cyanodithioimidocarbonate</t>
        </is>
      </c>
    </row>
    <row r="324">
      <c r="A324" t="inlineStr">
        <is>
          <t>Coffee Servers, Airpots &amp; Carafes</t>
        </is>
      </c>
      <c r="BO324" t="inlineStr">
        <is>
          <t>Disperse Blue 1</t>
        </is>
      </c>
    </row>
    <row r="325">
      <c r="A325" t="inlineStr">
        <is>
          <t>Stovetop &amp; Electric Tea Kettles</t>
        </is>
      </c>
      <c r="BO325" t="inlineStr">
        <is>
          <t>Diuron</t>
        </is>
      </c>
    </row>
    <row r="326">
      <c r="A326" t="inlineStr">
        <is>
          <t>Kids Beds</t>
        </is>
      </c>
      <c r="BO326" t="inlineStr">
        <is>
          <t>Doxorubicin hydrochloride (Adriamycin)</t>
        </is>
      </c>
    </row>
    <row r="327">
      <c r="A327" t="inlineStr">
        <is>
          <t>Game Table Accessories</t>
        </is>
      </c>
      <c r="BO327" t="inlineStr">
        <is>
          <t>Doxycycline (internal use)</t>
        </is>
      </c>
    </row>
    <row r="328">
      <c r="A328" t="inlineStr">
        <is>
          <t>Table Tennis Tables</t>
        </is>
      </c>
      <c r="BO328" t="inlineStr">
        <is>
          <t>Doxycycline calcium (internal use)</t>
        </is>
      </c>
    </row>
    <row r="329">
      <c r="A329" t="inlineStr">
        <is>
          <t>Sports Fan Shop Products</t>
        </is>
      </c>
      <c r="BO329" t="inlineStr">
        <is>
          <t>Doxycycline hyclate (internal use)</t>
        </is>
      </c>
    </row>
    <row r="330">
      <c r="A330" t="inlineStr">
        <is>
          <t>Kids Wall Décor</t>
        </is>
      </c>
      <c r="BO330" t="inlineStr">
        <is>
          <t>Doxycycline monohydrate (internal use)</t>
        </is>
      </c>
    </row>
    <row r="331">
      <c r="A331" t="inlineStr">
        <is>
          <t>Hot / Cold Tea Accessories</t>
        </is>
      </c>
      <c r="BO331" t="inlineStr">
        <is>
          <t>Emissions from combustion of coal</t>
        </is>
      </c>
    </row>
    <row r="332">
      <c r="A332" t="inlineStr">
        <is>
          <t>Cat Condos &amp; Cat Trees</t>
        </is>
      </c>
      <c r="BO332" t="inlineStr">
        <is>
          <t>Emissions from high-temperature unrefined rapeseed oil</t>
        </is>
      </c>
    </row>
    <row r="333">
      <c r="A333" t="inlineStr">
        <is>
          <t>Cabinet and Drawer Pulls</t>
        </is>
      </c>
      <c r="BO333" t="inlineStr">
        <is>
          <t>Endrin</t>
        </is>
      </c>
    </row>
    <row r="334">
      <c r="A334" t="inlineStr">
        <is>
          <t>Dryers</t>
        </is>
      </c>
      <c r="BO334" t="inlineStr">
        <is>
          <t>Environmental tobacco smoke (ETS)</t>
        </is>
      </c>
    </row>
    <row r="335">
      <c r="A335" t="inlineStr">
        <is>
          <t>Lawn Games</t>
        </is>
      </c>
      <c r="BO335" t="inlineStr">
        <is>
          <t>Epichlorohydrin</t>
        </is>
      </c>
    </row>
    <row r="336">
      <c r="A336" t="inlineStr">
        <is>
          <t>Bird Cages</t>
        </is>
      </c>
      <c r="BO336" t="inlineStr">
        <is>
          <t>Epoxiconazole</t>
        </is>
      </c>
    </row>
    <row r="337">
      <c r="A337" t="inlineStr">
        <is>
          <t>Cat Litter Boxes &amp; Litter Box Enclosures</t>
        </is>
      </c>
      <c r="BO337" t="inlineStr">
        <is>
          <t>Ergotamine tartrate</t>
        </is>
      </c>
    </row>
    <row r="338">
      <c r="A338" t="inlineStr">
        <is>
          <t>Pet Ramps &amp; Stairs</t>
        </is>
      </c>
      <c r="BO338" t="inlineStr">
        <is>
          <t>Estradiol 17B</t>
        </is>
      </c>
    </row>
    <row r="339">
      <c r="A339" t="inlineStr">
        <is>
          <t>Freezers</t>
        </is>
      </c>
      <c r="BO339" t="inlineStr">
        <is>
          <t>Estragole</t>
        </is>
      </c>
    </row>
    <row r="340">
      <c r="A340" t="inlineStr">
        <is>
          <t>Decorative Objects</t>
        </is>
      </c>
      <c r="BO340" t="inlineStr">
        <is>
          <t>Estrogens, steroidal</t>
        </is>
      </c>
    </row>
    <row r="341">
      <c r="A341" t="inlineStr">
        <is>
          <t>Ice Makers</t>
        </is>
      </c>
      <c r="BO341" t="inlineStr">
        <is>
          <t>Estrogen-progestogen (combined) used as menopausal therapy</t>
        </is>
      </c>
    </row>
    <row r="342">
      <c r="A342" t="inlineStr">
        <is>
          <t>Stanchions</t>
        </is>
      </c>
      <c r="BO342" t="inlineStr">
        <is>
          <t>Estrone</t>
        </is>
      </c>
    </row>
    <row r="343">
      <c r="A343" t="inlineStr">
        <is>
          <t>Pizza Stones, Pans &amp; Peels</t>
        </is>
      </c>
      <c r="BO343" t="inlineStr">
        <is>
          <t>Estropipate</t>
        </is>
      </c>
    </row>
    <row r="344">
      <c r="A344" t="inlineStr">
        <is>
          <t>Bed Skirts</t>
        </is>
      </c>
      <c r="BO344" t="inlineStr">
        <is>
          <t>Ethanol in alcoholic beverages</t>
        </is>
      </c>
    </row>
    <row r="345">
      <c r="A345" t="inlineStr">
        <is>
          <t>Standard Bed Pillow</t>
        </is>
      </c>
      <c r="BO345" t="inlineStr">
        <is>
          <t>Ethinylestradiol</t>
        </is>
      </c>
    </row>
    <row r="346">
      <c r="A346" t="inlineStr">
        <is>
          <t>Bedding Sets</t>
        </is>
      </c>
      <c r="BO346" t="inlineStr">
        <is>
          <t>Ethionamide</t>
        </is>
      </c>
    </row>
    <row r="347">
      <c r="A347" t="inlineStr">
        <is>
          <t>Candles</t>
        </is>
      </c>
      <c r="BO347" t="inlineStr">
        <is>
          <t>Ethoprop</t>
        </is>
      </c>
    </row>
    <row r="348">
      <c r="A348" t="inlineStr">
        <is>
          <t>Boxes, Bins, Baskets, &amp; Buckets</t>
        </is>
      </c>
      <c r="BO348" t="inlineStr">
        <is>
          <t>Ethyl acrylate</t>
        </is>
      </c>
    </row>
    <row r="349">
      <c r="A349" t="inlineStr">
        <is>
          <t>Sheets &amp; Pillowcases</t>
        </is>
      </c>
      <c r="BO349" t="inlineStr">
        <is>
          <t>Ethyl alcohol in alcoholic beverages</t>
        </is>
      </c>
    </row>
    <row r="350">
      <c r="A350" t="inlineStr">
        <is>
          <t>Cake, Cookie, &amp; Pastry Decoration</t>
        </is>
      </c>
      <c r="BO350" t="inlineStr">
        <is>
          <t>Ethylbenzene</t>
        </is>
      </c>
    </row>
    <row r="351">
      <c r="A351" t="inlineStr">
        <is>
          <t>Bath Rugs &amp; Mats</t>
        </is>
      </c>
      <c r="BO351" t="inlineStr">
        <is>
          <t>Ethyl dipropylthiocarbamate</t>
        </is>
      </c>
    </row>
    <row r="352">
      <c r="A352" t="inlineStr">
        <is>
          <t>Accent Pillows</t>
        </is>
      </c>
      <c r="BO352" t="inlineStr">
        <is>
          <t>Ethyl-4,4'-dichlorobenzilate</t>
        </is>
      </c>
    </row>
    <row r="353">
      <c r="A353" t="inlineStr">
        <is>
          <t>Dining Linens</t>
        </is>
      </c>
      <c r="BO353" t="inlineStr">
        <is>
          <t>Ethylene dibromide</t>
        </is>
      </c>
    </row>
    <row r="354">
      <c r="A354" t="inlineStr">
        <is>
          <t>Wood Fireplaces</t>
        </is>
      </c>
      <c r="BO354" t="inlineStr">
        <is>
          <t>Ethylene dichloride (1,2-Dichloroethane)</t>
        </is>
      </c>
    </row>
    <row r="355">
      <c r="A355" t="inlineStr">
        <is>
          <t>Av Component Shelving</t>
        </is>
      </c>
      <c r="BO355" t="inlineStr">
        <is>
          <t>Ethylene glycol (ingested)</t>
        </is>
      </c>
    </row>
    <row r="356">
      <c r="A356" t="inlineStr">
        <is>
          <t>Globes</t>
        </is>
      </c>
      <c r="BO356" t="inlineStr">
        <is>
          <t>Ethylene glycol monoethyl ether</t>
        </is>
      </c>
    </row>
    <row r="357">
      <c r="A357" t="inlineStr">
        <is>
          <t>Glassware &amp; Barware</t>
        </is>
      </c>
      <c r="BO357" t="inlineStr">
        <is>
          <t>Ethylene glycol monoethyl ether acetate</t>
        </is>
      </c>
    </row>
    <row r="358">
      <c r="A358" t="inlineStr">
        <is>
          <t>Beverage Servers</t>
        </is>
      </c>
      <c r="BO358" t="inlineStr">
        <is>
          <t>Ethylene glycol monomethyl ether</t>
        </is>
      </c>
    </row>
    <row r="359">
      <c r="A359" t="inlineStr">
        <is>
          <t>Transformers</t>
        </is>
      </c>
      <c r="BO359" t="inlineStr">
        <is>
          <t>Ethylene glycol monomethyl ether acetate</t>
        </is>
      </c>
    </row>
    <row r="360">
      <c r="A360" t="inlineStr">
        <is>
          <t>Mixing Bowls</t>
        </is>
      </c>
      <c r="BO360" t="inlineStr">
        <is>
          <t>Ethyleneimine (Aziridine)</t>
        </is>
      </c>
    </row>
    <row r="361">
      <c r="A361" t="inlineStr">
        <is>
          <t>Kitchen Scales</t>
        </is>
      </c>
      <c r="BO361" t="inlineStr">
        <is>
          <t>Ethylene oxide</t>
        </is>
      </c>
    </row>
    <row r="362">
      <c r="A362" t="inlineStr">
        <is>
          <t>Measuring Cups, Spoons, Scoops &amp; Funnels</t>
        </is>
      </c>
      <c r="BO362" t="inlineStr">
        <is>
          <t>Ethylene thiourea</t>
        </is>
      </c>
    </row>
    <row r="363">
      <c r="A363" t="inlineStr">
        <is>
          <t>Magazine Racks</t>
        </is>
      </c>
      <c r="BO363" t="inlineStr">
        <is>
          <t>Ethyl methanesulfonate</t>
        </is>
      </c>
    </row>
    <row r="364">
      <c r="A364" t="inlineStr">
        <is>
          <t>Potholders</t>
        </is>
      </c>
      <c r="BO364" t="inlineStr">
        <is>
          <t>Etodolac</t>
        </is>
      </c>
    </row>
    <row r="365">
      <c r="A365" t="inlineStr">
        <is>
          <t>Kitchen Towels</t>
        </is>
      </c>
      <c r="BO365" t="inlineStr">
        <is>
          <t>Etoposide</t>
        </is>
      </c>
    </row>
    <row r="366">
      <c r="A366" t="inlineStr">
        <is>
          <t>Kitchen Aprons</t>
        </is>
      </c>
      <c r="BO366" t="inlineStr">
        <is>
          <t>Etoposide in combination with cisplatin and bleomycin</t>
        </is>
      </c>
    </row>
    <row r="367">
      <c r="A367" t="inlineStr">
        <is>
          <t>Decorative Plates &amp; Bowls</t>
        </is>
      </c>
      <c r="BO367" t="inlineStr">
        <is>
          <t>Etretinate</t>
        </is>
      </c>
    </row>
    <row r="368">
      <c r="A368" t="inlineStr">
        <is>
          <t>Food Thermometers</t>
        </is>
      </c>
      <c r="BO368" t="inlineStr">
        <is>
          <t>Fenoxaprop ethyl</t>
        </is>
      </c>
    </row>
    <row r="369">
      <c r="A369" t="inlineStr">
        <is>
          <t>Egg Tools</t>
        </is>
      </c>
      <c r="BO369" t="inlineStr">
        <is>
          <t>Fenoxycarb</t>
        </is>
      </c>
    </row>
    <row r="370">
      <c r="A370" t="inlineStr">
        <is>
          <t>Picture &amp; Memory Albums</t>
        </is>
      </c>
      <c r="BO370" t="inlineStr">
        <is>
          <t>Filgrastim</t>
        </is>
      </c>
    </row>
    <row r="371">
      <c r="A371" t="inlineStr">
        <is>
          <t>Food Storage &amp; Dispensers</t>
        </is>
      </c>
      <c r="BO371" t="inlineStr">
        <is>
          <t>Fluazifop butyl</t>
        </is>
      </c>
    </row>
    <row r="372">
      <c r="A372" t="inlineStr">
        <is>
          <t>Napkin Holders &amp; Paper Towel Holders</t>
        </is>
      </c>
      <c r="BO372" t="inlineStr">
        <is>
          <t>Flunisolide</t>
        </is>
      </c>
    </row>
    <row r="373">
      <c r="A373" t="inlineStr">
        <is>
          <t>Utensil Crocks, Caddies, Chests and Spoon Rests</t>
        </is>
      </c>
      <c r="BO373" t="inlineStr">
        <is>
          <t>Fluorouracil</t>
        </is>
      </c>
    </row>
    <row r="374">
      <c r="A374" t="inlineStr">
        <is>
          <t>Shuffleboards</t>
        </is>
      </c>
      <c r="BO374" t="inlineStr">
        <is>
          <t>Fluoxymesterone</t>
        </is>
      </c>
    </row>
    <row r="375">
      <c r="A375" t="inlineStr">
        <is>
          <t>Basketball Games</t>
        </is>
      </c>
      <c r="BO375" t="inlineStr">
        <is>
          <t>Flurazepam hydrochloride</t>
        </is>
      </c>
    </row>
    <row r="376">
      <c r="A376" t="inlineStr">
        <is>
          <t>Foosball Tables</t>
        </is>
      </c>
      <c r="BO376" t="inlineStr">
        <is>
          <t>Flurbiprofen</t>
        </is>
      </c>
    </row>
    <row r="377">
      <c r="A377" t="inlineStr">
        <is>
          <t>Hockey Tables</t>
        </is>
      </c>
      <c r="BO377" t="inlineStr">
        <is>
          <t>Flutamide</t>
        </is>
      </c>
    </row>
    <row r="378">
      <c r="A378" t="inlineStr">
        <is>
          <t>Multi Game Tables</t>
        </is>
      </c>
      <c r="BO378" t="inlineStr">
        <is>
          <t>Fluticasone propionate</t>
        </is>
      </c>
    </row>
    <row r="379">
      <c r="A379" t="inlineStr">
        <is>
          <t>Small Animal Cages And Habitats</t>
        </is>
      </c>
      <c r="BO379" t="inlineStr">
        <is>
          <t>Fluvalinate</t>
        </is>
      </c>
    </row>
    <row r="380">
      <c r="A380" t="inlineStr">
        <is>
          <t>Dog Car Accessories</t>
        </is>
      </c>
      <c r="BO380" t="inlineStr">
        <is>
          <t>Folpet</t>
        </is>
      </c>
    </row>
    <row r="381">
      <c r="A381" t="inlineStr">
        <is>
          <t>Wall Art</t>
        </is>
      </c>
      <c r="BO381" t="inlineStr">
        <is>
          <t>Formaldehyde (gas)</t>
        </is>
      </c>
    </row>
    <row r="382">
      <c r="A382" t="inlineStr">
        <is>
          <t>Mantels</t>
        </is>
      </c>
      <c r="BO382" t="inlineStr">
        <is>
          <t>2-(2-Formylhydrazino)-4-(5-nitro-2-furyl)thiazole</t>
        </is>
      </c>
    </row>
    <row r="383">
      <c r="A383" t="inlineStr">
        <is>
          <t>Bird Play Stand &amp; Playcenters</t>
        </is>
      </c>
      <c r="BO383" t="inlineStr">
        <is>
          <t>Fumonisin B1</t>
        </is>
      </c>
    </row>
    <row r="384">
      <c r="A384" t="inlineStr">
        <is>
          <t>Treadmills</t>
        </is>
      </c>
      <c r="BO384" t="inlineStr">
        <is>
          <t>Furan</t>
        </is>
      </c>
    </row>
    <row r="385">
      <c r="A385" t="inlineStr">
        <is>
          <t>Ellipticals</t>
        </is>
      </c>
      <c r="BO385" t="inlineStr">
        <is>
          <t>Furazolidone</t>
        </is>
      </c>
    </row>
    <row r="386">
      <c r="A386" t="inlineStr">
        <is>
          <t>Exercise Bikes</t>
        </is>
      </c>
      <c r="BO386" t="inlineStr">
        <is>
          <t>Furfuryl alcohol</t>
        </is>
      </c>
    </row>
    <row r="387">
      <c r="A387" t="inlineStr">
        <is>
          <t>Home Gyms</t>
        </is>
      </c>
      <c r="BO387" t="inlineStr">
        <is>
          <t>Furmecyclox</t>
        </is>
      </c>
    </row>
    <row r="388">
      <c r="A388" t="inlineStr">
        <is>
          <t>Pet Electric Fences/Containment</t>
        </is>
      </c>
      <c r="BO388" t="inlineStr">
        <is>
          <t>Fusarin C</t>
        </is>
      </c>
    </row>
    <row r="389">
      <c r="A389" t="inlineStr">
        <is>
          <t>Hardwood Flooring</t>
        </is>
      </c>
      <c r="BO389" t="inlineStr">
        <is>
          <t>Gallium arsenide</t>
        </is>
      </c>
    </row>
    <row r="390">
      <c r="A390" t="inlineStr">
        <is>
          <t>Laminate Flooring</t>
        </is>
      </c>
      <c r="BO390" t="inlineStr">
        <is>
          <t>Ganciclovir</t>
        </is>
      </c>
    </row>
    <row r="391">
      <c r="A391" t="inlineStr">
        <is>
          <t>Electronic Mounts</t>
        </is>
      </c>
      <c r="BO391" t="inlineStr">
        <is>
          <t>Ganciclovir sodium</t>
        </is>
      </c>
    </row>
    <row r="392">
      <c r="A392" t="inlineStr">
        <is>
          <t>Wall Clocks</t>
        </is>
      </c>
      <c r="BO392" t="inlineStr">
        <is>
          <t>Gasoline engine exhaust (condensates/extracts)</t>
        </is>
      </c>
    </row>
    <row r="393">
      <c r="A393" t="inlineStr">
        <is>
          <t>Flooring Trim</t>
        </is>
      </c>
      <c r="BO393" t="inlineStr">
        <is>
          <t>Gemfibrozil</t>
        </is>
      </c>
    </row>
    <row r="394">
      <c r="A394" t="inlineStr">
        <is>
          <t>Aquariums &amp; Bowls</t>
        </is>
      </c>
      <c r="BO394" t="inlineStr">
        <is>
          <t>Glass wool fibers (inhalable and biopersistent)</t>
        </is>
      </c>
    </row>
    <row r="395">
      <c r="A395" t="inlineStr">
        <is>
          <t>Sewing Machines &amp; Sergers</t>
        </is>
      </c>
      <c r="BO395" t="inlineStr">
        <is>
          <t>Glu-P-1 (2-Amino-6-methyldipyrido[1,2- a:3',2'-d]imidazole)</t>
        </is>
      </c>
    </row>
    <row r="396">
      <c r="A396" t="inlineStr">
        <is>
          <t>Camping Tents &amp; Shelters</t>
        </is>
      </c>
      <c r="BO396" t="inlineStr">
        <is>
          <t>Glu-P-2 (2-Aminodipyrido[1,2-a:3',2'-d]imidazole)</t>
        </is>
      </c>
    </row>
    <row r="397">
      <c r="A397" t="inlineStr">
        <is>
          <t>Arcade Games &amp; Slot Machine</t>
        </is>
      </c>
      <c r="BO397" t="inlineStr">
        <is>
          <t>Glycidaldehyde</t>
        </is>
      </c>
    </row>
    <row r="398">
      <c r="A398" t="inlineStr">
        <is>
          <t>Hot Tub Accessories</t>
        </is>
      </c>
      <c r="BO398" t="inlineStr">
        <is>
          <t>Glycidol</t>
        </is>
      </c>
    </row>
    <row r="399">
      <c r="A399" t="inlineStr">
        <is>
          <t>Bathroom Safety</t>
        </is>
      </c>
      <c r="BO399" t="inlineStr">
        <is>
          <t>Glyphosate</t>
        </is>
      </c>
    </row>
    <row r="400">
      <c r="A400" t="inlineStr">
        <is>
          <t>Crib Conversion Rails</t>
        </is>
      </c>
      <c r="BO400" t="inlineStr">
        <is>
          <t>Goldenseal root powder</t>
        </is>
      </c>
    </row>
    <row r="401">
      <c r="A401" t="inlineStr">
        <is>
          <t>Cat Litter Box Accessories</t>
        </is>
      </c>
      <c r="BO401" t="inlineStr">
        <is>
          <t>Goserelin acetate</t>
        </is>
      </c>
    </row>
    <row r="402">
      <c r="A402" t="inlineStr">
        <is>
          <t>Pet Crate &amp; Carrier Accessories</t>
        </is>
      </c>
      <c r="BO402" t="inlineStr">
        <is>
          <t>Griseofulvin</t>
        </is>
      </c>
    </row>
    <row r="403">
      <c r="A403" t="inlineStr">
        <is>
          <t>Blankets And Throws</t>
        </is>
      </c>
      <c r="BO403" t="inlineStr">
        <is>
          <t>Gyromitrin (Acetaldehyde methylformylhydrazone)</t>
        </is>
      </c>
    </row>
    <row r="404">
      <c r="A404" t="inlineStr">
        <is>
          <t>Duvet Fills and Inserts</t>
        </is>
      </c>
      <c r="BO404" t="inlineStr">
        <is>
          <t>Halazepam</t>
        </is>
      </c>
    </row>
    <row r="405">
      <c r="A405" t="inlineStr">
        <is>
          <t>Shower Curtains</t>
        </is>
      </c>
      <c r="BO405" t="inlineStr">
        <is>
          <t>Halobetasol propionate</t>
        </is>
      </c>
    </row>
    <row r="406">
      <c r="A406" t="inlineStr">
        <is>
          <t>Bath Towels</t>
        </is>
      </c>
      <c r="BO406" t="inlineStr">
        <is>
          <t>Haloperidol</t>
        </is>
      </c>
    </row>
    <row r="407">
      <c r="A407" t="inlineStr">
        <is>
          <t>Pet Gates</t>
        </is>
      </c>
      <c r="BO407" t="inlineStr">
        <is>
          <t>Halothane</t>
        </is>
      </c>
    </row>
    <row r="408">
      <c r="A408" t="inlineStr">
        <is>
          <t>Pet Doors</t>
        </is>
      </c>
      <c r="BO408" t="inlineStr">
        <is>
          <t>HC Blue 1</t>
        </is>
      </c>
    </row>
    <row r="409">
      <c r="A409" t="inlineStr">
        <is>
          <t>Cat Cages &amp; Playpens</t>
        </is>
      </c>
      <c r="BO409" t="inlineStr">
        <is>
          <t>Heptachlor</t>
        </is>
      </c>
    </row>
    <row r="410">
      <c r="A410" t="inlineStr">
        <is>
          <t>Pet Bed Accessories &amp; Covers</t>
        </is>
      </c>
      <c r="BO410" t="inlineStr">
        <is>
          <t>Heptachlor epoxide</t>
        </is>
      </c>
    </row>
    <row r="411">
      <c r="A411" t="inlineStr">
        <is>
          <t>Potting Benches &amp; Tables</t>
        </is>
      </c>
      <c r="BO411" t="inlineStr">
        <is>
          <t>Herbal remedies containing plant species of the genus Aristolochia</t>
        </is>
      </c>
    </row>
    <row r="412">
      <c r="A412" t="inlineStr">
        <is>
          <t>Hand Dryers</t>
        </is>
      </c>
      <c r="BO412" t="inlineStr">
        <is>
          <t>Hexachlorobenzene</t>
        </is>
      </c>
    </row>
    <row r="413">
      <c r="A413" t="inlineStr">
        <is>
          <t>Chair Accessories</t>
        </is>
      </c>
      <c r="BO413" t="inlineStr">
        <is>
          <t>Hexachlorobutadiene</t>
        </is>
      </c>
    </row>
    <row r="414">
      <c r="A414" t="inlineStr">
        <is>
          <t>Hooks</t>
        </is>
      </c>
      <c r="BO414" t="inlineStr">
        <is>
          <t>Hexachlorodibenzodioxin</t>
        </is>
      </c>
    </row>
    <row r="415">
      <c r="A415" t="inlineStr">
        <is>
          <t>Brooms and Sweepers</t>
        </is>
      </c>
      <c r="BO415" t="inlineStr">
        <is>
          <t>Hexachloroethane</t>
        </is>
      </c>
    </row>
    <row r="416">
      <c r="A416" t="inlineStr">
        <is>
          <t>Fire Extinguishers</t>
        </is>
      </c>
      <c r="BO416" t="inlineStr">
        <is>
          <t>2,4-Hexadienal (89% trans, trans isomer; 11% cis, trans isomer)</t>
        </is>
      </c>
    </row>
    <row r="417">
      <c r="A417" t="inlineStr">
        <is>
          <t>Key Organizers</t>
        </is>
      </c>
      <c r="BO417" t="inlineStr">
        <is>
          <t>Hexafluoroacetone</t>
        </is>
      </c>
    </row>
    <row r="418">
      <c r="A418" t="inlineStr">
        <is>
          <t>Scales</t>
        </is>
      </c>
      <c r="BO418" t="inlineStr">
        <is>
          <t>Hexamethylphosphoramide</t>
        </is>
      </c>
    </row>
    <row r="419">
      <c r="A419" t="inlineStr">
        <is>
          <t>Time Clocks &amp; Accessories</t>
        </is>
      </c>
      <c r="BO419" t="inlineStr">
        <is>
          <t>Histrelin acetate</t>
        </is>
      </c>
    </row>
    <row r="420">
      <c r="A420" t="inlineStr">
        <is>
          <t>Signs &amp; Sign Holders</t>
        </is>
      </c>
      <c r="BO420" t="inlineStr">
        <is>
          <t>Hydramethylnon</t>
        </is>
      </c>
    </row>
    <row r="421">
      <c r="A421" t="inlineStr">
        <is>
          <t>Disposable Party Supplies</t>
        </is>
      </c>
      <c r="BO421" t="inlineStr">
        <is>
          <t>Hydrazine</t>
        </is>
      </c>
    </row>
    <row r="422">
      <c r="A422" t="inlineStr">
        <is>
          <t>Art Room Supplies</t>
        </is>
      </c>
      <c r="BO422" t="inlineStr">
        <is>
          <t>Hydrazine sulfate</t>
        </is>
      </c>
    </row>
    <row r="423">
      <c r="A423" t="inlineStr">
        <is>
          <t>Hangers</t>
        </is>
      </c>
      <c r="BO423" t="inlineStr">
        <is>
          <t>Hydrazobenzene (1,2-Diphenylhydrazine)</t>
        </is>
      </c>
    </row>
    <row r="424">
      <c r="A424" t="inlineStr">
        <is>
          <t>Partition Desks &amp; Cubicles</t>
        </is>
      </c>
      <c r="BO424" t="inlineStr">
        <is>
          <t>1-Hydroxyanthraquinone</t>
        </is>
      </c>
    </row>
    <row r="425">
      <c r="A425" t="inlineStr">
        <is>
          <t>Partition &amp; Panel Hardware Accessories</t>
        </is>
      </c>
      <c r="BO425" t="inlineStr">
        <is>
          <t>Hydroxyurea</t>
        </is>
      </c>
    </row>
    <row r="426">
      <c r="A426" t="inlineStr">
        <is>
          <t>Trash Bags &amp; Liners</t>
        </is>
      </c>
      <c r="BO426" t="inlineStr">
        <is>
          <t>Idarubicin hydrochloride</t>
        </is>
      </c>
    </row>
    <row r="427">
      <c r="A427" t="inlineStr">
        <is>
          <t>Classroom Decorations</t>
        </is>
      </c>
      <c r="BO427" t="inlineStr">
        <is>
          <t>Ifosfamide</t>
        </is>
      </c>
    </row>
    <row r="428">
      <c r="A428" t="inlineStr">
        <is>
          <t>Smoke &amp; CO Detectors</t>
        </is>
      </c>
      <c r="BO428" t="inlineStr">
        <is>
          <t>Iodine-131</t>
        </is>
      </c>
    </row>
    <row r="429">
      <c r="A429" t="inlineStr">
        <is>
          <t>Vacuum Accessories</t>
        </is>
      </c>
      <c r="BO429" t="inlineStr">
        <is>
          <t>Imazalil</t>
        </is>
      </c>
    </row>
    <row r="430">
      <c r="A430" t="inlineStr">
        <is>
          <t>Eye Wash Stations</t>
        </is>
      </c>
      <c r="BO430" t="inlineStr">
        <is>
          <t>Indeno[1,2,3-cd]pyrene</t>
        </is>
      </c>
    </row>
    <row r="431">
      <c r="A431" t="inlineStr">
        <is>
          <t>Decorative Telephones</t>
        </is>
      </c>
      <c r="BO431" t="inlineStr">
        <is>
          <t>Indium phosphide</t>
        </is>
      </c>
    </row>
    <row r="432">
      <c r="A432" t="inlineStr">
        <is>
          <t>Cash Handling</t>
        </is>
      </c>
      <c r="BO432" t="inlineStr">
        <is>
          <t>IQ (2-Amino-3-methylimidazo[4,5-f] quinoline)</t>
        </is>
      </c>
    </row>
    <row r="433">
      <c r="A433" t="inlineStr">
        <is>
          <t>Restroom Dispensers</t>
        </is>
      </c>
      <c r="BO433" t="inlineStr">
        <is>
          <t>Iprodione</t>
        </is>
      </c>
    </row>
    <row r="434">
      <c r="A434" t="inlineStr">
        <is>
          <t>Drawer Organizers</t>
        </is>
      </c>
      <c r="BO434" t="inlineStr">
        <is>
          <t>Iron dextran complex</t>
        </is>
      </c>
    </row>
    <row r="435">
      <c r="A435" t="inlineStr">
        <is>
          <t>File Boxes</t>
        </is>
      </c>
      <c r="BO435" t="inlineStr">
        <is>
          <t>Isobutyl nitrite</t>
        </is>
      </c>
    </row>
    <row r="436">
      <c r="A436" t="inlineStr">
        <is>
          <t>Water Coolers/Ice Buckets</t>
        </is>
      </c>
      <c r="BO436" t="inlineStr">
        <is>
          <t>Isoprene</t>
        </is>
      </c>
    </row>
    <row r="437">
      <c r="A437" t="inlineStr">
        <is>
          <t>Table Accessories</t>
        </is>
      </c>
      <c r="BO437" t="inlineStr">
        <is>
          <t>Isopyrazam</t>
        </is>
      </c>
    </row>
    <row r="438">
      <c r="A438" t="inlineStr">
        <is>
          <t>Flooring Samples</t>
        </is>
      </c>
      <c r="BO438" t="inlineStr">
        <is>
          <t>Isotretinoin</t>
        </is>
      </c>
    </row>
    <row r="439">
      <c r="A439" t="inlineStr">
        <is>
          <t>Dog Agility Equipment</t>
        </is>
      </c>
      <c r="BO439" t="inlineStr">
        <is>
          <t>Isoxaflutole</t>
        </is>
      </c>
    </row>
    <row r="440">
      <c r="A440" t="inlineStr">
        <is>
          <t>Yoga &amp; Pilates</t>
        </is>
      </c>
      <c r="BO440" t="inlineStr">
        <is>
          <t>Kresoxim-methyl</t>
        </is>
      </c>
    </row>
    <row r="441">
      <c r="A441" t="inlineStr">
        <is>
          <t>Chicken Coops</t>
        </is>
      </c>
      <c r="BO441" t="inlineStr">
        <is>
          <t>Lactofen</t>
        </is>
      </c>
    </row>
    <row r="442">
      <c r="A442" t="inlineStr">
        <is>
          <t>Desktop Organizers &amp; Desk Pads</t>
        </is>
      </c>
      <c r="BO442" t="inlineStr">
        <is>
          <t>Lasiocarpine</t>
        </is>
      </c>
    </row>
    <row r="443">
      <c r="A443" t="inlineStr">
        <is>
          <t>Sports Display Cases</t>
        </is>
      </c>
      <c r="BO443" t="inlineStr">
        <is>
          <t>Lead</t>
        </is>
      </c>
    </row>
    <row r="444">
      <c r="A444" t="inlineStr">
        <is>
          <t>Floor &amp; Wall Tile</t>
        </is>
      </c>
      <c r="BO444" t="inlineStr">
        <is>
          <t>Lead and lead compounds</t>
        </is>
      </c>
    </row>
    <row r="445">
      <c r="A445" t="inlineStr">
        <is>
          <t>Ladders</t>
        </is>
      </c>
      <c r="BO445" t="inlineStr">
        <is>
          <t>Lead acetate</t>
        </is>
      </c>
    </row>
    <row r="446">
      <c r="A446" t="inlineStr">
        <is>
          <t>Tile Trims</t>
        </is>
      </c>
      <c r="BO446" t="inlineStr">
        <is>
          <t>Lead phosphate</t>
        </is>
      </c>
    </row>
    <row r="447">
      <c r="A447" t="inlineStr">
        <is>
          <t>Shelving Accessories</t>
        </is>
      </c>
      <c r="BO447" t="inlineStr">
        <is>
          <t>Lead subacetate</t>
        </is>
      </c>
    </row>
    <row r="448">
      <c r="A448" t="inlineStr">
        <is>
          <t>Vinyl Flooring</t>
        </is>
      </c>
      <c r="BO448" t="inlineStr">
        <is>
          <t>Leather dust</t>
        </is>
      </c>
    </row>
    <row r="449">
      <c r="A449" t="inlineStr">
        <is>
          <t>Furniture Parts</t>
        </is>
      </c>
      <c r="BO449" t="inlineStr">
        <is>
          <t>Leuprolide acetate</t>
        </is>
      </c>
    </row>
    <row r="450">
      <c r="A450" t="inlineStr">
        <is>
          <t>Wedding</t>
        </is>
      </c>
      <c r="BO450" t="inlineStr">
        <is>
          <t>Levodopa</t>
        </is>
      </c>
    </row>
    <row r="451">
      <c r="A451" t="inlineStr">
        <is>
          <t>Hampers &amp; Baskets</t>
        </is>
      </c>
      <c r="BO451" t="inlineStr">
        <is>
          <t>Lindane and other hexachlorocyclohexane isomers</t>
        </is>
      </c>
    </row>
    <row r="452">
      <c r="A452" t="inlineStr">
        <is>
          <t>Tailgating Wagons</t>
        </is>
      </c>
      <c r="BO452" t="inlineStr">
        <is>
          <t>Linuron</t>
        </is>
      </c>
    </row>
    <row r="453">
      <c r="A453" t="inlineStr">
        <is>
          <t>Birding Accessories</t>
        </is>
      </c>
      <c r="BO453" t="inlineStr">
        <is>
          <t>Lithium carbonate</t>
        </is>
      </c>
    </row>
    <row r="454">
      <c r="A454" t="inlineStr">
        <is>
          <t>Flags</t>
        </is>
      </c>
      <c r="BO454" t="inlineStr">
        <is>
          <t>Lithium citrate</t>
        </is>
      </c>
    </row>
    <row r="455">
      <c r="A455" t="inlineStr">
        <is>
          <t>Landscaping Screens &amp; Bridges</t>
        </is>
      </c>
      <c r="BO455" t="inlineStr">
        <is>
          <t>Lorazepam</t>
        </is>
      </c>
    </row>
    <row r="456">
      <c r="A456" t="inlineStr">
        <is>
          <t>Swimming Pools</t>
        </is>
      </c>
      <c r="BO456" t="inlineStr">
        <is>
          <t>Lovastatin</t>
        </is>
      </c>
    </row>
    <row r="457">
      <c r="A457" t="inlineStr">
        <is>
          <t>Hot Tubs</t>
        </is>
      </c>
      <c r="BO457" t="inlineStr">
        <is>
          <t>Lynestrenol</t>
        </is>
      </c>
    </row>
    <row r="458">
      <c r="A458" t="inlineStr">
        <is>
          <t>Garage Storage Cabinets</t>
        </is>
      </c>
      <c r="BO458" t="inlineStr">
        <is>
          <t>Malathion</t>
        </is>
      </c>
    </row>
    <row r="459">
      <c r="A459" t="inlineStr">
        <is>
          <t>Bike And Sport Racks</t>
        </is>
      </c>
      <c r="BO459" t="inlineStr">
        <is>
          <t>Malonaldehyde, sodium salt</t>
        </is>
      </c>
    </row>
    <row r="460">
      <c r="A460" t="inlineStr">
        <is>
          <t>Workbenches</t>
        </is>
      </c>
      <c r="BO460" t="inlineStr">
        <is>
          <t>Mancozeb</t>
        </is>
      </c>
    </row>
    <row r="461">
      <c r="A461" t="inlineStr">
        <is>
          <t>Hose Reels</t>
        </is>
      </c>
      <c r="BO461" t="inlineStr">
        <is>
          <t>Maneb</t>
        </is>
      </c>
    </row>
    <row r="462">
      <c r="A462" t="inlineStr">
        <is>
          <t>Garage Appliances</t>
        </is>
      </c>
      <c r="BO462" t="inlineStr">
        <is>
          <t>Marijuana smoke</t>
        </is>
      </c>
    </row>
    <row r="463">
      <c r="A463" t="inlineStr">
        <is>
          <t>Slatwall &amp; Pegboard Accessories</t>
        </is>
      </c>
      <c r="BO463" t="inlineStr">
        <is>
          <t>Me-A-alpha-C (2-Amino-3-methyl-9H-pyrido[2,3-b]indole)</t>
        </is>
      </c>
    </row>
    <row r="464">
      <c r="A464" t="inlineStr">
        <is>
          <t>Locks</t>
        </is>
      </c>
      <c r="BO464" t="inlineStr">
        <is>
          <t>Mebendazole</t>
        </is>
      </c>
    </row>
    <row r="465">
      <c r="A465" t="inlineStr">
        <is>
          <t>Compost</t>
        </is>
      </c>
      <c r="BO465" t="inlineStr">
        <is>
          <t>Medroxyprogesterone acetate</t>
        </is>
      </c>
    </row>
    <row r="466">
      <c r="A466" t="inlineStr">
        <is>
          <t>Fencing &amp; Edging</t>
        </is>
      </c>
      <c r="BO466" t="inlineStr">
        <is>
          <t>Megestrol acetate</t>
        </is>
      </c>
    </row>
    <row r="467">
      <c r="A467" t="inlineStr">
        <is>
          <t>Fabric</t>
        </is>
      </c>
      <c r="BO467" t="inlineStr">
        <is>
          <t>MeIQ (2-Amino-3,4-dimethylimidazo[4,5-f]quinoline)</t>
        </is>
      </c>
    </row>
    <row r="468">
      <c r="A468" t="inlineStr">
        <is>
          <t>Ramps</t>
        </is>
      </c>
      <c r="BO468" t="inlineStr">
        <is>
          <t>MeIQx (2-Amino-3,8-dimethylimidazo[4,5-f]quinoxaline)</t>
        </is>
      </c>
    </row>
    <row r="469">
      <c r="A469" t="inlineStr">
        <is>
          <t>Exercise Pens and Yard Kennels</t>
        </is>
      </c>
      <c r="BO469" t="inlineStr">
        <is>
          <t>Melphalan</t>
        </is>
      </c>
    </row>
    <row r="470">
      <c r="A470" t="inlineStr">
        <is>
          <t>Baby Blankets</t>
        </is>
      </c>
      <c r="BO470" t="inlineStr">
        <is>
          <t>Menotropins</t>
        </is>
      </c>
    </row>
    <row r="471">
      <c r="A471" t="inlineStr">
        <is>
          <t>Cat Beds</t>
        </is>
      </c>
      <c r="BO471" t="inlineStr">
        <is>
          <t>Mepanipyrim</t>
        </is>
      </c>
    </row>
    <row r="472">
      <c r="A472" t="inlineStr">
        <is>
          <t>Dog Blankets</t>
        </is>
      </c>
      <c r="BO472" t="inlineStr">
        <is>
          <t>Meprobamate</t>
        </is>
      </c>
    </row>
    <row r="473">
      <c r="A473" t="inlineStr">
        <is>
          <t>Pet Grooming Furniture</t>
        </is>
      </c>
      <c r="BO473" t="inlineStr">
        <is>
          <t>2-Mercaptobenzothiazole</t>
        </is>
      </c>
    </row>
    <row r="474">
      <c r="A474" t="inlineStr">
        <is>
          <t>Beer Pong</t>
        </is>
      </c>
      <c r="BO474" t="inlineStr">
        <is>
          <t>Mercaptopurine</t>
        </is>
      </c>
    </row>
    <row r="475">
      <c r="A475" t="inlineStr">
        <is>
          <t>Knife Sets</t>
        </is>
      </c>
      <c r="BO475" t="inlineStr">
        <is>
          <t>Mercury and mercury compounds</t>
        </is>
      </c>
    </row>
    <row r="476">
      <c r="A476" t="inlineStr">
        <is>
          <t>Dog House Accessories</t>
        </is>
      </c>
      <c r="BO476" t="inlineStr">
        <is>
          <t>Merphalan</t>
        </is>
      </c>
    </row>
    <row r="477">
      <c r="A477" t="inlineStr">
        <is>
          <t>Saunas</t>
        </is>
      </c>
      <c r="BO477" t="inlineStr">
        <is>
          <t>Mestranol</t>
        </is>
      </c>
    </row>
    <row r="478">
      <c r="A478" t="inlineStr">
        <is>
          <t>Water Heaters</t>
        </is>
      </c>
      <c r="BO478" t="inlineStr">
        <is>
          <t>Metam potassium</t>
        </is>
      </c>
    </row>
    <row r="479">
      <c r="A479" t="inlineStr">
        <is>
          <t>Dumbbells</t>
        </is>
      </c>
      <c r="BO479" t="inlineStr">
        <is>
          <t>Methacycline hydrochloride</t>
        </is>
      </c>
    </row>
    <row r="480">
      <c r="A480" t="inlineStr">
        <is>
          <t>Weight Benches</t>
        </is>
      </c>
      <c r="BO480" t="inlineStr">
        <is>
          <t>Metham sodium</t>
        </is>
      </c>
    </row>
    <row r="481">
      <c r="A481" t="inlineStr">
        <is>
          <t>Weight Plates</t>
        </is>
      </c>
      <c r="BO481" t="inlineStr">
        <is>
          <t>Methanol</t>
        </is>
      </c>
    </row>
    <row r="482">
      <c r="A482" t="inlineStr">
        <is>
          <t>Sauna Accessories</t>
        </is>
      </c>
      <c r="BO482" t="inlineStr">
        <is>
          <t>Methazole</t>
        </is>
      </c>
    </row>
    <row r="483">
      <c r="A483" t="inlineStr">
        <is>
          <t>Learning Resources</t>
        </is>
      </c>
      <c r="BO483" t="inlineStr">
        <is>
          <t>Methimazole</t>
        </is>
      </c>
    </row>
    <row r="484">
      <c r="A484" t="inlineStr">
        <is>
          <t>Carpet Tile</t>
        </is>
      </c>
      <c r="BO484" t="inlineStr">
        <is>
          <t>Methotrexate</t>
        </is>
      </c>
    </row>
    <row r="485">
      <c r="A485" t="inlineStr">
        <is>
          <t>Outdoor Deck Tiles</t>
        </is>
      </c>
      <c r="BO485" t="inlineStr">
        <is>
          <t>Methotrexate sodium</t>
        </is>
      </c>
    </row>
    <row r="486">
      <c r="A486" t="inlineStr">
        <is>
          <t>Water Filtration</t>
        </is>
      </c>
      <c r="BO486" t="inlineStr">
        <is>
          <t>5-Methoxypsoralen with ultraviolet A therapy</t>
        </is>
      </c>
    </row>
    <row r="487">
      <c r="A487" t="inlineStr">
        <is>
          <t>Sports Flags</t>
        </is>
      </c>
      <c r="BO487" t="inlineStr">
        <is>
          <t>8-Methoxypsoralen with ultraviolet A therapy</t>
        </is>
      </c>
    </row>
    <row r="488">
      <c r="A488" t="inlineStr">
        <is>
          <t>Fitness &amp; Recreational Flooring</t>
        </is>
      </c>
      <c r="BO488" t="inlineStr">
        <is>
          <t>2-Methylaziridine (Propyleneimine)</t>
        </is>
      </c>
    </row>
    <row r="489">
      <c r="A489" t="inlineStr">
        <is>
          <t>Bath Exhaust Fans</t>
        </is>
      </c>
      <c r="BO489" t="inlineStr">
        <is>
          <t>Methylazoxymethanol</t>
        </is>
      </c>
    </row>
    <row r="490">
      <c r="A490" t="inlineStr">
        <is>
          <t>Craft &amp; Sewing Tables</t>
        </is>
      </c>
      <c r="BO490" t="inlineStr">
        <is>
          <t>Methylazoxymethanol acetate</t>
        </is>
      </c>
    </row>
    <row r="491">
      <c r="A491" t="inlineStr">
        <is>
          <t>Bounce Houses &amp; Inflatable Slides</t>
        </is>
      </c>
      <c r="BO491" t="inlineStr">
        <is>
          <t>Methyl bromide, as a structural fumigant</t>
        </is>
      </c>
    </row>
    <row r="492">
      <c r="A492" t="inlineStr">
        <is>
          <t>Commercial Ceiling Lighting</t>
        </is>
      </c>
      <c r="BO492" t="inlineStr">
        <is>
          <t>Methyl carbamate</t>
        </is>
      </c>
    </row>
    <row r="493">
      <c r="A493" t="inlineStr">
        <is>
          <t>Commercial Wall Lighting</t>
        </is>
      </c>
      <c r="BO493" t="inlineStr">
        <is>
          <t>Methyl chloride</t>
        </is>
      </c>
    </row>
    <row r="494">
      <c r="A494" t="inlineStr">
        <is>
          <t>Commercial Outdoor Lighting</t>
        </is>
      </c>
      <c r="BO494" t="inlineStr">
        <is>
          <t>3-Methylcholanthrene</t>
        </is>
      </c>
    </row>
    <row r="495">
      <c r="A495" t="inlineStr">
        <is>
          <t>Commercial Exit And Emergency Lights</t>
        </is>
      </c>
      <c r="BO495" t="inlineStr">
        <is>
          <t>5-Methylchrysene</t>
        </is>
      </c>
    </row>
    <row r="496">
      <c r="A496" t="inlineStr">
        <is>
          <t>Commercial Accent Lighting</t>
        </is>
      </c>
      <c r="BO496" t="inlineStr">
        <is>
          <t>4,4'-Methylene bis(2-chloroaniline)</t>
        </is>
      </c>
    </row>
    <row r="497">
      <c r="A497" t="inlineStr">
        <is>
          <t>Playhouses &amp; Play Tents</t>
        </is>
      </c>
      <c r="BO497" t="inlineStr">
        <is>
          <t>4,4'-Methylene bis(N,N-dimethyl)benzenamine</t>
        </is>
      </c>
    </row>
    <row r="498">
      <c r="A498" t="inlineStr">
        <is>
          <t>Bleachers</t>
        </is>
      </c>
      <c r="BO498" t="inlineStr">
        <is>
          <t>4,4'-Methylene bis(2-methylaniline)</t>
        </is>
      </c>
    </row>
    <row r="499">
      <c r="A499" t="inlineStr">
        <is>
          <t>Chicken Coop Accessories</t>
        </is>
      </c>
      <c r="BO499" t="inlineStr">
        <is>
          <t>4,4'-Methylenedianiline</t>
        </is>
      </c>
    </row>
    <row r="500">
      <c r="A500" t="inlineStr">
        <is>
          <t>Reptile/Snake Terrariums and Habitats</t>
        </is>
      </c>
      <c r="BO500" t="inlineStr">
        <is>
          <t>4,4'-Methylenedianiline dihydrochloride</t>
        </is>
      </c>
    </row>
    <row r="501">
      <c r="A501" t="inlineStr">
        <is>
          <t>Faux Florals</t>
        </is>
      </c>
      <c r="BO501" t="inlineStr">
        <is>
          <t>Methyleugenol</t>
        </is>
      </c>
    </row>
    <row r="502">
      <c r="A502" t="inlineStr">
        <is>
          <t>Faux Plants and Trees</t>
        </is>
      </c>
      <c r="BO502" t="inlineStr">
        <is>
          <t>Methylhydrazine and its salts</t>
        </is>
      </c>
    </row>
    <row r="503">
      <c r="A503" t="inlineStr">
        <is>
          <t>Switches, Dimmers &amp; Outlets</t>
        </is>
      </c>
      <c r="BO503" t="inlineStr">
        <is>
          <t>2-Methylimidazole</t>
        </is>
      </c>
    </row>
    <row r="504">
      <c r="A504" t="inlineStr">
        <is>
          <t>Covers &amp; Carry Bags</t>
        </is>
      </c>
      <c r="BO504" t="inlineStr">
        <is>
          <t>4-Methylimidazole</t>
        </is>
      </c>
    </row>
    <row r="505">
      <c r="A505" t="inlineStr">
        <is>
          <t>Grilling Tools &amp; Accessories</t>
        </is>
      </c>
      <c r="BO505" t="inlineStr">
        <is>
          <t>Methyl iodide</t>
        </is>
      </c>
    </row>
    <row r="506">
      <c r="A506" t="inlineStr">
        <is>
          <t>Grill Parts</t>
        </is>
      </c>
      <c r="BO506" t="inlineStr">
        <is>
          <t>Methyl isobutyl ketone</t>
        </is>
      </c>
    </row>
    <row r="507">
      <c r="A507" t="inlineStr">
        <is>
          <t>Grilling &amp; Heating Fuels</t>
        </is>
      </c>
      <c r="BO507" t="inlineStr">
        <is>
          <t>Methyl isobutyl ketone (MIBK)</t>
        </is>
      </c>
    </row>
    <row r="508">
      <c r="A508" t="inlineStr">
        <is>
          <t>Deck Boxes</t>
        </is>
      </c>
      <c r="BO508" t="inlineStr">
        <is>
          <t>Methyl isocyanate (MIC)</t>
        </is>
      </c>
    </row>
    <row r="509">
      <c r="A509" t="inlineStr">
        <is>
          <t>Wall Stickers</t>
        </is>
      </c>
      <c r="BO509" t="inlineStr">
        <is>
          <t>Methyl mercury</t>
        </is>
      </c>
    </row>
    <row r="510">
      <c r="A510" t="inlineStr">
        <is>
          <t>Ironing Boards, Covers &amp; Pads</t>
        </is>
      </c>
      <c r="BO510" t="inlineStr">
        <is>
          <t>Methylmercury compounds</t>
        </is>
      </c>
    </row>
    <row r="511">
      <c r="A511" t="inlineStr">
        <is>
          <t>Drying Racks</t>
        </is>
      </c>
      <c r="BO511" t="inlineStr">
        <is>
          <t>Methyl methanesulfonate</t>
        </is>
      </c>
    </row>
    <row r="512">
      <c r="A512" t="inlineStr">
        <is>
          <t>Shoe Storage</t>
        </is>
      </c>
      <c r="BO512" t="inlineStr">
        <is>
          <t>Methyl-n-butyl ketone</t>
        </is>
      </c>
    </row>
    <row r="513">
      <c r="A513" t="inlineStr">
        <is>
          <t>Bathroom Storage</t>
        </is>
      </c>
      <c r="BO513" t="inlineStr">
        <is>
          <t>2-Methyl-1-nitroanthraquinone (of uncertain purity)</t>
        </is>
      </c>
    </row>
    <row r="514">
      <c r="A514" t="inlineStr">
        <is>
          <t>Climbing Toys &amp; Slides</t>
        </is>
      </c>
      <c r="BO514" t="inlineStr">
        <is>
          <t>N-Methyl-N'-nitro-N-nitrosoguanidine</t>
        </is>
      </c>
    </row>
    <row r="515">
      <c r="A515" t="inlineStr">
        <is>
          <t>Cruets &amp; Condiment Bottles</t>
        </is>
      </c>
      <c r="BO515" t="inlineStr">
        <is>
          <t>N-Methylolacrylamide</t>
        </is>
      </c>
    </row>
    <row r="516">
      <c r="A516" t="inlineStr">
        <is>
          <t>Changing Table Pads &amp; Covers</t>
        </is>
      </c>
      <c r="BO516" t="inlineStr">
        <is>
          <t>N-Methylpyrrolidone</t>
        </is>
      </c>
    </row>
    <row r="517">
      <c r="A517" t="inlineStr">
        <is>
          <t>Bedding Accessories</t>
        </is>
      </c>
      <c r="BO517" t="inlineStr">
        <is>
          <t>α-Methyl styrene (alpha-Methylstyrene)</t>
        </is>
      </c>
    </row>
    <row r="518">
      <c r="A518" t="inlineStr">
        <is>
          <t>Table Top Games &amp; Accessories</t>
        </is>
      </c>
      <c r="BO518" t="inlineStr">
        <is>
          <t>Methyltestosterone</t>
        </is>
      </c>
    </row>
    <row r="519">
      <c r="A519" t="inlineStr">
        <is>
          <t>Towel Warmers</t>
        </is>
      </c>
      <c r="BO519" t="inlineStr">
        <is>
          <t>Methylthiouracil</t>
        </is>
      </c>
    </row>
    <row r="520">
      <c r="A520" t="inlineStr">
        <is>
          <t>Rug Samples</t>
        </is>
      </c>
      <c r="BO520" t="inlineStr">
        <is>
          <t>Metiram</t>
        </is>
      </c>
    </row>
    <row r="521">
      <c r="A521" t="inlineStr">
        <is>
          <t>Home Brewing</t>
        </is>
      </c>
      <c r="BO521" t="inlineStr">
        <is>
          <t>Metronidazole</t>
        </is>
      </c>
    </row>
    <row r="522">
      <c r="A522" t="inlineStr">
        <is>
          <t>Pavers &amp; Cobblestones</t>
        </is>
      </c>
      <c r="BO522" t="inlineStr">
        <is>
          <t>Michler's ketone</t>
        </is>
      </c>
    </row>
    <row r="523">
      <c r="A523" t="inlineStr">
        <is>
          <t>Body Weight Scales</t>
        </is>
      </c>
      <c r="BO523" t="inlineStr">
        <is>
          <t>Midazolam hydrochloride</t>
        </is>
      </c>
    </row>
    <row r="524">
      <c r="A524" t="inlineStr">
        <is>
          <t>Compact &amp; Mini Fridges</t>
        </is>
      </c>
      <c r="BO524" t="inlineStr">
        <is>
          <t>Minocycline hydrochloride (internal use)</t>
        </is>
      </c>
    </row>
    <row r="525">
      <c r="A525" t="inlineStr">
        <is>
          <t>Large Appliance Accessories</t>
        </is>
      </c>
      <c r="BO525" t="inlineStr">
        <is>
          <t>Mirex</t>
        </is>
      </c>
    </row>
    <row r="526">
      <c r="A526" t="inlineStr">
        <is>
          <t>Christmas Stockings &amp; Holders</t>
        </is>
      </c>
      <c r="BO526" t="inlineStr">
        <is>
          <t>Misoprostol</t>
        </is>
      </c>
    </row>
    <row r="527">
      <c r="A527" t="inlineStr">
        <is>
          <t>Accent Tiles</t>
        </is>
      </c>
      <c r="BO527" t="inlineStr">
        <is>
          <t>Mitomycin C</t>
        </is>
      </c>
    </row>
    <row r="528">
      <c r="A528" t="inlineStr">
        <is>
          <t>Enclosures</t>
        </is>
      </c>
      <c r="BO528" t="inlineStr">
        <is>
          <t>Mitoxantrone hydrochloride</t>
        </is>
      </c>
    </row>
    <row r="529">
      <c r="A529" t="inlineStr">
        <is>
          <t>Tool Holders</t>
        </is>
      </c>
      <c r="BO529" t="inlineStr">
        <is>
          <t>Molinate</t>
        </is>
      </c>
    </row>
    <row r="530">
      <c r="A530" t="inlineStr">
        <is>
          <t>Vanity Tops</t>
        </is>
      </c>
      <c r="BO530" t="inlineStr">
        <is>
          <t>MON 4660 (dichloroacetyl-1-oxa-4-azaspiro(4,5)-decane</t>
        </is>
      </c>
    </row>
    <row r="531">
      <c r="A531" t="inlineStr">
        <is>
          <t>Vanity Bases</t>
        </is>
      </c>
      <c r="BO531" t="inlineStr">
        <is>
          <t>MON 13900 (furilazole)</t>
        </is>
      </c>
    </row>
    <row r="532">
      <c r="A532" t="inlineStr">
        <is>
          <t>Chandeliers</t>
        </is>
      </c>
      <c r="BO532" t="inlineStr">
        <is>
          <t>3-Monochloropropane-1,2-diol (3-MCPD)</t>
        </is>
      </c>
    </row>
    <row r="533">
      <c r="A533" t="inlineStr">
        <is>
          <t>Flush Mount Lighting</t>
        </is>
      </c>
      <c r="BO533" t="inlineStr">
        <is>
          <t>Monocrotaline</t>
        </is>
      </c>
    </row>
    <row r="534">
      <c r="A534" t="inlineStr">
        <is>
          <t>Pendant Lights</t>
        </is>
      </c>
      <c r="BO534" t="inlineStr">
        <is>
          <t>MOPP (vincristine-prednisone-nitrogen mustard-procarbazine mixture)</t>
        </is>
      </c>
    </row>
    <row r="535">
      <c r="A535" t="inlineStr">
        <is>
          <t>Wayfair Gift Certificates &amp; Donations</t>
        </is>
      </c>
      <c r="BO535" t="inlineStr">
        <is>
          <t>5-(Morpholinomethyl)-3-[(5-nitrofurfuryl-idene)-amino]-2-oxazolidinone</t>
        </is>
      </c>
    </row>
    <row r="536">
      <c r="A536" t="inlineStr">
        <is>
          <t>Outdoor Hanging Lights</t>
        </is>
      </c>
      <c r="BO536" t="inlineStr">
        <is>
          <t>Mustard Gas</t>
        </is>
      </c>
    </row>
    <row r="537">
      <c r="A537" t="inlineStr">
        <is>
          <t>Landscape Lighting</t>
        </is>
      </c>
      <c r="BO537" t="inlineStr">
        <is>
          <t>MX (3-chloro-4-dichloromethyl-5-hydroxy-2(5H)-furanone)</t>
        </is>
      </c>
    </row>
    <row r="538">
      <c r="A538" t="inlineStr">
        <is>
          <t>Post Lanterns</t>
        </is>
      </c>
      <c r="BO538" t="inlineStr">
        <is>
          <t>Myclobutanil</t>
        </is>
      </c>
    </row>
    <row r="539">
      <c r="A539" t="inlineStr">
        <is>
          <t>Outdoor Wall Lights</t>
        </is>
      </c>
      <c r="BO539" t="inlineStr">
        <is>
          <t>beta-Myrcene</t>
        </is>
      </c>
    </row>
    <row r="540">
      <c r="A540" t="inlineStr">
        <is>
          <t>Luggage Racks</t>
        </is>
      </c>
      <c r="BO540" t="inlineStr">
        <is>
          <t>Nabam</t>
        </is>
      </c>
    </row>
    <row r="541">
      <c r="A541" t="inlineStr">
        <is>
          <t>Vanity Lighting</t>
        </is>
      </c>
      <c r="BO541" t="inlineStr">
        <is>
          <t>Nafarelin acetate</t>
        </is>
      </c>
    </row>
    <row r="542">
      <c r="A542" t="inlineStr">
        <is>
          <t>Wall Sconces</t>
        </is>
      </c>
      <c r="BO542" t="inlineStr">
        <is>
          <t>Nafenopin</t>
        </is>
      </c>
    </row>
    <row r="543">
      <c r="A543" t="inlineStr">
        <is>
          <t>Kids Bedroom Sets</t>
        </is>
      </c>
      <c r="BO543" t="inlineStr">
        <is>
          <t>Nalidixic acid</t>
        </is>
      </c>
    </row>
    <row r="544">
      <c r="A544" t="inlineStr">
        <is>
          <t>Kids Headboards</t>
        </is>
      </c>
      <c r="BO544" t="inlineStr">
        <is>
          <t>Naphthalene</t>
        </is>
      </c>
    </row>
    <row r="545">
      <c r="A545" t="inlineStr">
        <is>
          <t>Tub Faucets</t>
        </is>
      </c>
      <c r="BO545" t="inlineStr">
        <is>
          <t>1-Naphthylamine</t>
        </is>
      </c>
    </row>
    <row r="546">
      <c r="A546" t="inlineStr">
        <is>
          <t>Shower Faucets &amp; Systems</t>
        </is>
      </c>
      <c r="BO546" t="inlineStr">
        <is>
          <t>2-Naphthylamine</t>
        </is>
      </c>
    </row>
    <row r="547">
      <c r="A547" t="inlineStr">
        <is>
          <t>Candle Holders</t>
        </is>
      </c>
      <c r="BO547" t="inlineStr">
        <is>
          <t>Neomycin sulfate (internal use)</t>
        </is>
      </c>
    </row>
    <row r="548">
      <c r="A548" t="inlineStr">
        <is>
          <t>Shower &amp; Tub Doors</t>
        </is>
      </c>
      <c r="BO548" t="inlineStr">
        <is>
          <t>Netilmicin sulfate</t>
        </is>
      </c>
    </row>
    <row r="549">
      <c r="A549" t="inlineStr">
        <is>
          <t>Shower and Bathtub Enclosures</t>
        </is>
      </c>
      <c r="BO549" t="inlineStr">
        <is>
          <t>Nickel (Metallic)</t>
        </is>
      </c>
    </row>
    <row r="550">
      <c r="A550" t="inlineStr">
        <is>
          <t>Kids Dressers &amp; Chests</t>
        </is>
      </c>
      <c r="BO550" t="inlineStr">
        <is>
          <t>Nickel acetate</t>
        </is>
      </c>
    </row>
    <row r="551">
      <c r="A551" t="inlineStr">
        <is>
          <t>Kids Nightstands</t>
        </is>
      </c>
      <c r="BO551" t="inlineStr">
        <is>
          <t>Nickel carbonate</t>
        </is>
      </c>
    </row>
    <row r="552">
      <c r="A552" t="inlineStr">
        <is>
          <t>Kids Armoires</t>
        </is>
      </c>
      <c r="BO552" t="inlineStr">
        <is>
          <t>Nickel carbonyl</t>
        </is>
      </c>
    </row>
    <row r="553">
      <c r="A553" t="inlineStr">
        <is>
          <t>Flagpoles and Accessories</t>
        </is>
      </c>
      <c r="BO553" t="inlineStr">
        <is>
          <t>Nickel compounds</t>
        </is>
      </c>
    </row>
    <row r="554">
      <c r="A554" t="inlineStr">
        <is>
          <t>Towel Bars, Racks, and Stands</t>
        </is>
      </c>
      <c r="BO554" t="inlineStr">
        <is>
          <t>Nickelocene</t>
        </is>
      </c>
    </row>
    <row r="555">
      <c r="A555" t="inlineStr">
        <is>
          <t>Toilet Paper Holders</t>
        </is>
      </c>
      <c r="BO555" t="inlineStr">
        <is>
          <t>Nickel oxide</t>
        </is>
      </c>
    </row>
    <row r="556">
      <c r="A556" t="inlineStr">
        <is>
          <t>Patio Dining Chairs</t>
        </is>
      </c>
      <c r="BO556" t="inlineStr">
        <is>
          <t>Nickel refinery dust from the pyrometallurgical process</t>
        </is>
      </c>
    </row>
    <row r="557">
      <c r="A557" t="inlineStr">
        <is>
          <t>Wallpaper</t>
        </is>
      </c>
      <c r="BO557" t="inlineStr">
        <is>
          <t>Nickel subsulfide</t>
        </is>
      </c>
    </row>
    <row r="558">
      <c r="A558" t="inlineStr">
        <is>
          <t>Patio Bar Stools</t>
        </is>
      </c>
      <c r="BO558" t="inlineStr">
        <is>
          <t>Nicotine</t>
        </is>
      </c>
    </row>
    <row r="559">
      <c r="A559" t="inlineStr">
        <is>
          <t>Kids Desks</t>
        </is>
      </c>
      <c r="BO559" t="inlineStr">
        <is>
          <t>Nifedipine</t>
        </is>
      </c>
    </row>
    <row r="560">
      <c r="A560" t="inlineStr">
        <is>
          <t>Patio Benches</t>
        </is>
      </c>
      <c r="BO560" t="inlineStr">
        <is>
          <t>Nimodipine</t>
        </is>
      </c>
    </row>
    <row r="561">
      <c r="A561" t="inlineStr">
        <is>
          <t>Kids Vanities</t>
        </is>
      </c>
      <c r="BO561" t="inlineStr">
        <is>
          <t>Niridazole</t>
        </is>
      </c>
    </row>
    <row r="562">
      <c r="A562" t="inlineStr">
        <is>
          <t>Gas Grills</t>
        </is>
      </c>
      <c r="BO562" t="inlineStr">
        <is>
          <t>Nitrapyrin</t>
        </is>
      </c>
    </row>
    <row r="563">
      <c r="A563" t="inlineStr">
        <is>
          <t>Outdoor Cookers</t>
        </is>
      </c>
      <c r="BO563" t="inlineStr">
        <is>
          <t>Nitrilotriacetic acid</t>
        </is>
      </c>
    </row>
    <row r="564">
      <c r="A564" t="inlineStr">
        <is>
          <t>Electric Grills</t>
        </is>
      </c>
      <c r="BO564" t="inlineStr">
        <is>
          <t>Nitrilotriacetic acid, trisodium salt monohydrate</t>
        </is>
      </c>
    </row>
    <row r="565">
      <c r="A565" t="inlineStr">
        <is>
          <t>Saute Pans</t>
        </is>
      </c>
      <c r="BO565" t="inlineStr">
        <is>
          <t>5-Nitroacenaphthene</t>
        </is>
      </c>
    </row>
    <row r="566">
      <c r="A566" t="inlineStr">
        <is>
          <t>Grill Pans &amp; Griddles</t>
        </is>
      </c>
      <c r="BO566" t="inlineStr">
        <is>
          <t>o-Nitroanisole</t>
        </is>
      </c>
    </row>
    <row r="567">
      <c r="A567" t="inlineStr">
        <is>
          <t>Pot Inserts &amp; Steamer Baskets</t>
        </is>
      </c>
      <c r="BO567" t="inlineStr">
        <is>
          <t>Nitrobenzene</t>
        </is>
      </c>
    </row>
    <row r="568">
      <c r="A568" t="inlineStr">
        <is>
          <t>Shower Bases</t>
        </is>
      </c>
      <c r="BO568" t="inlineStr">
        <is>
          <t>4-Nitrobiphenyl</t>
        </is>
      </c>
    </row>
    <row r="569">
      <c r="A569" t="inlineStr">
        <is>
          <t>Ceiling Fan Light Kits</t>
        </is>
      </c>
      <c r="BO569" t="inlineStr">
        <is>
          <t>6-Nitrochrysene</t>
        </is>
      </c>
    </row>
    <row r="570">
      <c r="A570" t="inlineStr">
        <is>
          <t>Outdoor Lanterns &amp; Lamps</t>
        </is>
      </c>
      <c r="BO570" t="inlineStr">
        <is>
          <t>Nitrofen (technical grade)</t>
        </is>
      </c>
    </row>
    <row r="571">
      <c r="A571" t="inlineStr">
        <is>
          <t>Camping Cots</t>
        </is>
      </c>
      <c r="BO571" t="inlineStr">
        <is>
          <t>2-Nitrofluorene</t>
        </is>
      </c>
    </row>
    <row r="572">
      <c r="A572" t="inlineStr">
        <is>
          <t>Air Conditioners</t>
        </is>
      </c>
      <c r="BO572" t="inlineStr">
        <is>
          <t>Nitrofurazone</t>
        </is>
      </c>
    </row>
    <row r="573">
      <c r="A573" t="inlineStr">
        <is>
          <t>Wine Bottle Carriers</t>
        </is>
      </c>
      <c r="BO573" t="inlineStr">
        <is>
          <t>1-[(5-Nitrofurfurylidene)-amino]-2-imidazolidinone</t>
        </is>
      </c>
    </row>
    <row r="574">
      <c r="A574" t="inlineStr">
        <is>
          <t>Floor Lamps</t>
        </is>
      </c>
      <c r="BO574" t="inlineStr">
        <is>
          <t>N-[4-(5-Nitro-2-furyl)-2-thiazolyl]acetamide</t>
        </is>
      </c>
    </row>
    <row r="575">
      <c r="A575" t="inlineStr">
        <is>
          <t>Outdoor Showers</t>
        </is>
      </c>
      <c r="BO575" t="inlineStr">
        <is>
          <t>Nitrogen mustard (Mechlorethamine)</t>
        </is>
      </c>
    </row>
    <row r="576">
      <c r="A576" t="inlineStr">
        <is>
          <t>Curtains &amp; Drapes</t>
        </is>
      </c>
      <c r="BO576" t="inlineStr">
        <is>
          <t>Nitrogen mustard hydrochloride (Mechlorethamine hydrochloride)</t>
        </is>
      </c>
    </row>
    <row r="577">
      <c r="A577" t="inlineStr">
        <is>
          <t>Valances &amp; Kitchen Curtains</t>
        </is>
      </c>
      <c r="BO577" t="inlineStr">
        <is>
          <t>Nitrogen mustard N-oxide</t>
        </is>
      </c>
    </row>
    <row r="578">
      <c r="A578" t="inlineStr">
        <is>
          <t>Curtain Hardware &amp; Accessories</t>
        </is>
      </c>
      <c r="BO578" t="inlineStr">
        <is>
          <t>Nitrogen mustard N-oxide hydrochloride</t>
        </is>
      </c>
    </row>
    <row r="579">
      <c r="A579" t="inlineStr">
        <is>
          <t>Stained Glass Panels</t>
        </is>
      </c>
      <c r="BO579" t="inlineStr">
        <is>
          <t>Nitromethane</t>
        </is>
      </c>
    </row>
    <row r="580">
      <c r="A580" t="inlineStr">
        <is>
          <t>Slatwalls &amp; Pegboards</t>
        </is>
      </c>
      <c r="BO580" t="inlineStr">
        <is>
          <t>2-Nitropropane</t>
        </is>
      </c>
    </row>
    <row r="581">
      <c r="A581" t="inlineStr">
        <is>
          <t>Cotton Candy Makers &amp; Accessories</t>
        </is>
      </c>
      <c r="BO581" t="inlineStr">
        <is>
          <t>1-Nitropyrene</t>
        </is>
      </c>
    </row>
    <row r="582">
      <c r="A582" t="inlineStr">
        <is>
          <t>Holiday Decor Storage</t>
        </is>
      </c>
      <c r="BO582" t="inlineStr">
        <is>
          <t>4-Nitropyrene</t>
        </is>
      </c>
    </row>
    <row r="583">
      <c r="A583" t="inlineStr">
        <is>
          <t>Closet Systems</t>
        </is>
      </c>
      <c r="BO583" t="inlineStr">
        <is>
          <t>N-Nitrosodi-n-butylamine</t>
        </is>
      </c>
    </row>
    <row r="584">
      <c r="A584" t="inlineStr">
        <is>
          <t>Spice Jars &amp; Racks</t>
        </is>
      </c>
      <c r="BO584" t="inlineStr">
        <is>
          <t>N-Nitrosodiethanolamine</t>
        </is>
      </c>
    </row>
    <row r="585">
      <c r="A585" t="inlineStr">
        <is>
          <t>Serving Bowls</t>
        </is>
      </c>
      <c r="BO585" t="inlineStr">
        <is>
          <t>N-Nitrosodiethylamine</t>
        </is>
      </c>
    </row>
    <row r="586">
      <c r="A586" t="inlineStr">
        <is>
          <t>Serving Dishes &amp; Platters</t>
        </is>
      </c>
      <c r="BO586" t="inlineStr">
        <is>
          <t>N-Nitrosodimethylamine</t>
        </is>
      </c>
    </row>
    <row r="587">
      <c r="A587" t="inlineStr">
        <is>
          <t>Specialty Serving</t>
        </is>
      </c>
      <c r="BO587" t="inlineStr">
        <is>
          <t>p-Nitrosodiphenylamine</t>
        </is>
      </c>
    </row>
    <row r="588">
      <c r="A588" t="inlineStr">
        <is>
          <t>Creamers &amp; Sugar Bowls</t>
        </is>
      </c>
      <c r="BO588" t="inlineStr">
        <is>
          <t>N-Nitrosodiphenylamine</t>
        </is>
      </c>
    </row>
    <row r="589">
      <c r="A589" t="inlineStr">
        <is>
          <t>Changing Stations</t>
        </is>
      </c>
      <c r="BO589" t="inlineStr">
        <is>
          <t>N-Nitrosodi-n-propylamine</t>
        </is>
      </c>
    </row>
    <row r="590">
      <c r="A590" t="inlineStr">
        <is>
          <t>Scents &amp; Diffusers</t>
        </is>
      </c>
      <c r="BO590" t="inlineStr">
        <is>
          <t>N-Nitroso-N-ethylurea</t>
        </is>
      </c>
    </row>
    <row r="591">
      <c r="A591" t="inlineStr">
        <is>
          <t>Mugs &amp; Teacups</t>
        </is>
      </c>
      <c r="BO591" t="inlineStr">
        <is>
          <t>3-(N-Nitrosomethylamino) propionitrile</t>
        </is>
      </c>
    </row>
    <row r="592">
      <c r="A592" t="inlineStr">
        <is>
          <t>Holiday Accents &amp; Decor</t>
        </is>
      </c>
      <c r="BO592" t="inlineStr">
        <is>
          <t>4-(N-Nitrosomethylamino)-1-(3-pyridyl)1-butanone</t>
        </is>
      </c>
    </row>
    <row r="593">
      <c r="A593" t="inlineStr">
        <is>
          <t>Decorative Trays</t>
        </is>
      </c>
      <c r="BO593" t="inlineStr">
        <is>
          <t>N-Nitrosomethyl-n-butylamine</t>
        </is>
      </c>
    </row>
    <row r="594">
      <c r="A594" t="inlineStr">
        <is>
          <t>Judaica</t>
        </is>
      </c>
      <c r="BO594" t="inlineStr">
        <is>
          <t>N-Nitrosomethyl-n-decylamine</t>
        </is>
      </c>
    </row>
    <row r="595">
      <c r="A595" t="inlineStr">
        <is>
          <t>Dinnerware Storage</t>
        </is>
      </c>
      <c r="BO595" t="inlineStr">
        <is>
          <t>N-Nitrosomethyl-n-dodecylamine</t>
        </is>
      </c>
    </row>
    <row r="596">
      <c r="A596" t="inlineStr">
        <is>
          <t>Pantry Cabinets</t>
        </is>
      </c>
      <c r="BO596" t="inlineStr">
        <is>
          <t>N-Nitrosomethylethylamine</t>
        </is>
      </c>
    </row>
    <row r="597">
      <c r="A597" t="inlineStr">
        <is>
          <t>Bathroom Hardware Sets</t>
        </is>
      </c>
      <c r="BO597" t="inlineStr">
        <is>
          <t>N-Nitrosomethyl-n-heptylamine</t>
        </is>
      </c>
    </row>
    <row r="598">
      <c r="A598" t="inlineStr">
        <is>
          <t>Soda Makers</t>
        </is>
      </c>
      <c r="BO598" t="inlineStr">
        <is>
          <t>N-Nitrosomethyl-n-hexylamine</t>
        </is>
      </c>
    </row>
    <row r="599">
      <c r="A599" t="inlineStr">
        <is>
          <t>Weight Bar</t>
        </is>
      </c>
      <c r="BO599" t="inlineStr">
        <is>
          <t>N-Nitrosomethyl-n-nonylamine</t>
        </is>
      </c>
    </row>
    <row r="600">
      <c r="A600" t="inlineStr">
        <is>
          <t>Bulletin Boards, Whiteboards, Chalkboards</t>
        </is>
      </c>
      <c r="BO600" t="inlineStr">
        <is>
          <t>N-Nitrosomethyl-n-octylamine</t>
        </is>
      </c>
    </row>
    <row r="601">
      <c r="A601" t="inlineStr">
        <is>
          <t>Makeup Vanities</t>
        </is>
      </c>
      <c r="BO601" t="inlineStr">
        <is>
          <t>N-Nitrosomethyl-n-pentylamine</t>
        </is>
      </c>
    </row>
    <row r="602">
      <c r="A602" t="inlineStr">
        <is>
          <t>Stock &amp; Ready-to-Assemble Kitchen Cabinets</t>
        </is>
      </c>
      <c r="BO602" t="inlineStr">
        <is>
          <t>N-Nitrosomethyl-n-propylamine</t>
        </is>
      </c>
    </row>
    <row r="603">
      <c r="A603" t="inlineStr">
        <is>
          <t>Bar Carts</t>
        </is>
      </c>
      <c r="BO603" t="inlineStr">
        <is>
          <t>N-Nitrosomethyl-n-tetradecylamine</t>
        </is>
      </c>
    </row>
    <row r="604">
      <c r="A604" t="inlineStr">
        <is>
          <t>Restroom Partitions</t>
        </is>
      </c>
      <c r="BO604" t="inlineStr">
        <is>
          <t>N-Nitrosomethyl-n-undecylamine</t>
        </is>
      </c>
    </row>
    <row r="605">
      <c r="A605" t="inlineStr">
        <is>
          <t>Dining Bowls</t>
        </is>
      </c>
      <c r="BO605" t="inlineStr">
        <is>
          <t>N-Nitroso-N-methylurea</t>
        </is>
      </c>
    </row>
    <row r="606">
      <c r="A606" t="inlineStr">
        <is>
          <t>Plates &amp; Saucers</t>
        </is>
      </c>
      <c r="BO606" t="inlineStr">
        <is>
          <t>N-Nitroso-N-methylurethane</t>
        </is>
      </c>
    </row>
    <row r="607">
      <c r="A607" t="inlineStr">
        <is>
          <t>Flushometer Valves</t>
        </is>
      </c>
      <c r="BO607" t="inlineStr">
        <is>
          <t>N-Nitrosomethylvinylamine</t>
        </is>
      </c>
    </row>
    <row r="608">
      <c r="A608" t="inlineStr">
        <is>
          <t>Institutional Furniture Parts &amp; Accessories</t>
        </is>
      </c>
      <c r="BO608" t="inlineStr">
        <is>
          <t>N-Nitrosomorpholine</t>
        </is>
      </c>
    </row>
    <row r="609">
      <c r="A609" t="inlineStr">
        <is>
          <t>Mattresses</t>
        </is>
      </c>
      <c r="BO609" t="inlineStr">
        <is>
          <t>N-Nitrosonornicotine</t>
        </is>
      </c>
    </row>
    <row r="610">
      <c r="A610" t="inlineStr">
        <is>
          <t>Mattress Foundations</t>
        </is>
      </c>
      <c r="BO610" t="inlineStr">
        <is>
          <t>N-Nitrosopiperidine</t>
        </is>
      </c>
    </row>
    <row r="611">
      <c r="A611" t="inlineStr">
        <is>
          <t>Shutters</t>
        </is>
      </c>
      <c r="BO611" t="inlineStr">
        <is>
          <t>N-Nitrosopyrrolidine</t>
        </is>
      </c>
    </row>
    <row r="612">
      <c r="A612" t="inlineStr">
        <is>
          <t>Table Lamps</t>
        </is>
      </c>
      <c r="BO612" t="inlineStr">
        <is>
          <t>N-Nitrososarcosine</t>
        </is>
      </c>
    </row>
    <row r="613">
      <c r="A613" t="inlineStr">
        <is>
          <t>Decorative Torches</t>
        </is>
      </c>
      <c r="BO613" t="inlineStr">
        <is>
          <t>o-Nitrotoluene</t>
        </is>
      </c>
    </row>
    <row r="614">
      <c r="A614" t="inlineStr">
        <is>
          <t>Dwell Studio</t>
        </is>
      </c>
      <c r="BO614" t="inlineStr">
        <is>
          <t>Nitrous oxide</t>
        </is>
      </c>
    </row>
    <row r="615">
      <c r="A615" t="inlineStr">
        <is>
          <t>Mattress Covers and Protectors</t>
        </is>
      </c>
      <c r="BO615" t="inlineStr">
        <is>
          <t>Norethisterone (Norethindrone)</t>
        </is>
      </c>
    </row>
    <row r="616">
      <c r="A616" t="inlineStr">
        <is>
          <t>Trunks</t>
        </is>
      </c>
      <c r="BO616" t="inlineStr">
        <is>
          <t>Norethisterone acetate (Norethindrone acetate)</t>
        </is>
      </c>
    </row>
    <row r="617">
      <c r="A617" t="inlineStr">
        <is>
          <t>Picture Lights</t>
        </is>
      </c>
      <c r="BO617" t="inlineStr">
        <is>
          <t>Norethisterone (Norethindrone)/Ethinyl estradiol</t>
        </is>
      </c>
    </row>
    <row r="618">
      <c r="A618" t="inlineStr">
        <is>
          <t>Stair Accessories</t>
        </is>
      </c>
      <c r="BO618" t="inlineStr">
        <is>
          <t>Norethynodrel</t>
        </is>
      </c>
    </row>
    <row r="619">
      <c r="A619" t="inlineStr">
        <is>
          <t>Interior Doors</t>
        </is>
      </c>
      <c r="BO619" t="inlineStr">
        <is>
          <t>Norgestrel</t>
        </is>
      </c>
    </row>
    <row r="620">
      <c r="A620" t="inlineStr">
        <is>
          <t>Toilet Seat Decals</t>
        </is>
      </c>
      <c r="BO620" t="inlineStr">
        <is>
          <t>Ochratoxin A</t>
        </is>
      </c>
    </row>
    <row r="621">
      <c r="A621" t="inlineStr">
        <is>
          <t>Molding &amp; Millwork</t>
        </is>
      </c>
      <c r="BO621" t="inlineStr">
        <is>
          <t>Oil Orange SS</t>
        </is>
      </c>
    </row>
    <row r="622">
      <c r="A622" t="inlineStr">
        <is>
          <t>Door Hardware Accessories</t>
        </is>
      </c>
      <c r="BO622" t="inlineStr">
        <is>
          <t>Oral contraceptives, combined</t>
        </is>
      </c>
    </row>
    <row r="623">
      <c r="A623" t="inlineStr">
        <is>
          <t>Outdoor Pizza Ovens</t>
        </is>
      </c>
      <c r="BO623" t="inlineStr">
        <is>
          <t>Oral contraceptives, sequential</t>
        </is>
      </c>
    </row>
    <row r="624">
      <c r="A624" t="inlineStr">
        <is>
          <t>Shower &amp; Tub Accessories</t>
        </is>
      </c>
      <c r="BO624" t="inlineStr">
        <is>
          <t>Oryzalin</t>
        </is>
      </c>
    </row>
    <row r="625">
      <c r="A625" t="inlineStr">
        <is>
          <t>Toilet Brushes &amp; Plungers</t>
        </is>
      </c>
      <c r="BO625" t="inlineStr">
        <is>
          <t>Oxadiazon</t>
        </is>
      </c>
    </row>
    <row r="626">
      <c r="A626" t="inlineStr">
        <is>
          <t>Grab Bars</t>
        </is>
      </c>
      <c r="BO626" t="inlineStr">
        <is>
          <t>Oxazepam</t>
        </is>
      </c>
    </row>
    <row r="627">
      <c r="A627" t="inlineStr">
        <is>
          <t>Commercial Floor Care</t>
        </is>
      </c>
      <c r="BO627" t="inlineStr">
        <is>
          <t>Oxymetholone</t>
        </is>
      </c>
    </row>
    <row r="628">
      <c r="A628" t="inlineStr">
        <is>
          <t>Water Filter Pitchers</t>
        </is>
      </c>
      <c r="BO628" t="inlineStr">
        <is>
          <t>Oxytetracycline (internal use)</t>
        </is>
      </c>
    </row>
    <row r="629">
      <c r="A629" t="inlineStr">
        <is>
          <t>Bookends</t>
        </is>
      </c>
      <c r="BO629" t="inlineStr">
        <is>
          <t>Oxytetracycline hydrochloride (internal use)</t>
        </is>
      </c>
    </row>
    <row r="630">
      <c r="A630" t="inlineStr">
        <is>
          <t>Lawn and Beach Chairs</t>
        </is>
      </c>
      <c r="BO630" t="inlineStr">
        <is>
          <t>Oxythioquinox (Chinomethionat)</t>
        </is>
      </c>
    </row>
    <row r="631">
      <c r="A631" t="inlineStr">
        <is>
          <t>Adirondack Chairs</t>
        </is>
      </c>
      <c r="BO631" t="inlineStr">
        <is>
          <t>Paclitaxel</t>
        </is>
      </c>
    </row>
    <row r="632">
      <c r="A632" t="inlineStr">
        <is>
          <t>Patio Rockers &amp; Gliders</t>
        </is>
      </c>
      <c r="BO632" t="inlineStr">
        <is>
          <t>Palygorskite fibers (&gt; 5mm in length)</t>
        </is>
      </c>
    </row>
    <row r="633">
      <c r="A633" t="inlineStr">
        <is>
          <t>Patio Lounge Chairs</t>
        </is>
      </c>
      <c r="BO633" t="inlineStr">
        <is>
          <t>Panfuran S</t>
        </is>
      </c>
    </row>
    <row r="634">
      <c r="A634" t="inlineStr">
        <is>
          <t>Tapestries and Wall Hangings</t>
        </is>
      </c>
      <c r="BO634" t="inlineStr">
        <is>
          <t>Paramethadione</t>
        </is>
      </c>
    </row>
    <row r="635">
      <c r="A635" t="inlineStr">
        <is>
          <t>Wall Décor</t>
        </is>
      </c>
      <c r="BO635" t="inlineStr">
        <is>
          <t>Parathion</t>
        </is>
      </c>
    </row>
    <row r="636">
      <c r="A636" t="inlineStr">
        <is>
          <t>Life Size Cutouts</t>
        </is>
      </c>
      <c r="BO636" t="inlineStr">
        <is>
          <t>Penicillamine</t>
        </is>
      </c>
    </row>
    <row r="637">
      <c r="A637" t="inlineStr">
        <is>
          <t>Ice Buckets, Beverage Tubs &amp; Chillers</t>
        </is>
      </c>
      <c r="BO637" t="inlineStr">
        <is>
          <t>pentabromodiphenyl ether mixture [DE-71 (technical grade)]</t>
        </is>
      </c>
    </row>
    <row r="638">
      <c r="A638" t="inlineStr">
        <is>
          <t>Memo Boards</t>
        </is>
      </c>
      <c r="BO638" t="inlineStr">
        <is>
          <t>Pentachlorophenol</t>
        </is>
      </c>
    </row>
    <row r="639">
      <c r="A639" t="inlineStr">
        <is>
          <t>Cupolas &amp; Weathervanes</t>
        </is>
      </c>
      <c r="BO639" t="inlineStr">
        <is>
          <t>Pentachlorophenol and by-products of its synthesis (complex mixture)</t>
        </is>
      </c>
    </row>
    <row r="640">
      <c r="A640" t="inlineStr">
        <is>
          <t>Weather Instruments</t>
        </is>
      </c>
      <c r="BO640" t="inlineStr">
        <is>
          <t>Pentobarbital sodium</t>
        </is>
      </c>
    </row>
    <row r="641">
      <c r="A641" t="inlineStr">
        <is>
          <t>Floor Installation Accessories</t>
        </is>
      </c>
      <c r="BO641" t="inlineStr">
        <is>
          <t>Pentosan polysulfate sodium</t>
        </is>
      </c>
    </row>
    <row r="642">
      <c r="A642" t="inlineStr">
        <is>
          <t>Floor Underlayments</t>
        </is>
      </c>
      <c r="BO642" t="inlineStr">
        <is>
          <t>Pentostatin</t>
        </is>
      </c>
    </row>
    <row r="643">
      <c r="A643" t="inlineStr">
        <is>
          <t>Floor Vent Covers</t>
        </is>
      </c>
      <c r="BO643" t="inlineStr">
        <is>
          <t>Perfluorooctane sulfonate (PFOS)</t>
        </is>
      </c>
    </row>
    <row r="644">
      <c r="A644" t="inlineStr">
        <is>
          <t>Wallpaper Sample</t>
        </is>
      </c>
      <c r="BO644" t="inlineStr">
        <is>
          <t>Perfluorooctanoic acid (PFOA)</t>
        </is>
      </c>
    </row>
    <row r="645">
      <c r="A645" t="inlineStr">
        <is>
          <t>Awnings</t>
        </is>
      </c>
      <c r="BO645" t="inlineStr">
        <is>
          <t>Pertuzumab</t>
        </is>
      </c>
    </row>
    <row r="646">
      <c r="A646" t="inlineStr">
        <is>
          <t>Shade Sails</t>
        </is>
      </c>
      <c r="BO646" t="inlineStr">
        <is>
          <t>Phenacemide</t>
        </is>
      </c>
    </row>
    <row r="647">
      <c r="A647" t="inlineStr">
        <is>
          <t>Gazebos</t>
        </is>
      </c>
      <c r="BO647" t="inlineStr">
        <is>
          <t>Phenacetin</t>
        </is>
      </c>
    </row>
    <row r="648">
      <c r="A648" t="inlineStr">
        <is>
          <t>Pergolas</t>
        </is>
      </c>
      <c r="BO648" t="inlineStr">
        <is>
          <t>Phenazopyridine</t>
        </is>
      </c>
    </row>
    <row r="649">
      <c r="A649" t="inlineStr">
        <is>
          <t>Beekeeping Supplies</t>
        </is>
      </c>
      <c r="BO649" t="inlineStr">
        <is>
          <t>Phenazopyridine hydrochloride</t>
        </is>
      </c>
    </row>
    <row r="650">
      <c r="A650" t="inlineStr">
        <is>
          <t>Baking Dishes</t>
        </is>
      </c>
      <c r="BO650" t="inlineStr">
        <is>
          <t>Phenesterin</t>
        </is>
      </c>
    </row>
    <row r="651">
      <c r="A651" t="inlineStr">
        <is>
          <t>Muffin &amp; Cupcake Pans</t>
        </is>
      </c>
      <c r="BO651" t="inlineStr">
        <is>
          <t>Phenobarbital</t>
        </is>
      </c>
    </row>
    <row r="652">
      <c r="A652" t="inlineStr">
        <is>
          <t>Bread &amp; Loaf Pans</t>
        </is>
      </c>
      <c r="BO652" t="inlineStr">
        <is>
          <t>Phenolphthalein</t>
        </is>
      </c>
    </row>
    <row r="653">
      <c r="A653" t="inlineStr">
        <is>
          <t>Bakeware Sets</t>
        </is>
      </c>
      <c r="BO653" t="inlineStr">
        <is>
          <t>Phenoxybenzamine</t>
        </is>
      </c>
    </row>
    <row r="654">
      <c r="A654" t="inlineStr">
        <is>
          <t>Napkin Rings, Place Card Holders &amp; Food Markers</t>
        </is>
      </c>
      <c r="BO654" t="inlineStr">
        <is>
          <t>Phenoxybenzamine hydrochloride</t>
        </is>
      </c>
    </row>
    <row r="655">
      <c r="A655" t="inlineStr">
        <is>
          <t>Entry Sets</t>
        </is>
      </c>
      <c r="BO655" t="inlineStr">
        <is>
          <t>Phenprocoumon</t>
        </is>
      </c>
    </row>
    <row r="656">
      <c r="A656" t="inlineStr">
        <is>
          <t>Door Levers</t>
        </is>
      </c>
      <c r="BO656" t="inlineStr">
        <is>
          <t>o-Phenylenediamine and its salts</t>
        </is>
      </c>
    </row>
    <row r="657">
      <c r="A657" t="inlineStr">
        <is>
          <t>Door Knobs</t>
        </is>
      </c>
      <c r="BO657" t="inlineStr">
        <is>
          <t>Phenylhydrazine and its salts</t>
        </is>
      </c>
    </row>
    <row r="658">
      <c r="A658" t="inlineStr">
        <is>
          <t>Deadbolts</t>
        </is>
      </c>
      <c r="BO658" t="inlineStr">
        <is>
          <t>o-Phenylphenate, sodium</t>
        </is>
      </c>
    </row>
    <row r="659">
      <c r="A659" t="inlineStr">
        <is>
          <t>Door Stops</t>
        </is>
      </c>
      <c r="BO659" t="inlineStr">
        <is>
          <t>o-Phenylphenol</t>
        </is>
      </c>
    </row>
    <row r="660">
      <c r="A660" t="inlineStr">
        <is>
          <t>Door Hinges</t>
        </is>
      </c>
      <c r="BO660" t="inlineStr">
        <is>
          <t>Phenylphosphine</t>
        </is>
      </c>
    </row>
    <row r="661">
      <c r="A661" t="inlineStr">
        <is>
          <t>Canisters &amp; Jars</t>
        </is>
      </c>
      <c r="BO661" t="inlineStr">
        <is>
          <t>PhiP(2-Amino-1-methyl-6-phenylimidazol[4,5-b]pyridine)</t>
        </is>
      </c>
    </row>
    <row r="662">
      <c r="A662" t="inlineStr">
        <is>
          <t>Cabinet Hinges</t>
        </is>
      </c>
      <c r="BO662" t="inlineStr">
        <is>
          <t>Pimozide</t>
        </is>
      </c>
    </row>
    <row r="663">
      <c r="A663" t="inlineStr">
        <is>
          <t>Cabinet and Drawer Backplates</t>
        </is>
      </c>
      <c r="BO663" t="inlineStr">
        <is>
          <t>Pioglitazone</t>
        </is>
      </c>
    </row>
    <row r="664">
      <c r="A664" t="inlineStr">
        <is>
          <t>Cabinet and Drawer Knobs</t>
        </is>
      </c>
      <c r="BO664" t="inlineStr">
        <is>
          <t>Pipobroman</t>
        </is>
      </c>
    </row>
    <row r="665">
      <c r="A665" t="inlineStr">
        <is>
          <t>Drawer Slides</t>
        </is>
      </c>
      <c r="BO665" t="inlineStr">
        <is>
          <t>Pirimicarb</t>
        </is>
      </c>
    </row>
    <row r="666">
      <c r="A666" t="inlineStr">
        <is>
          <t>Waiting Room &amp; Reception Chairs</t>
        </is>
      </c>
      <c r="BO666" t="inlineStr">
        <is>
          <t>Plicamycin</t>
        </is>
      </c>
    </row>
    <row r="667">
      <c r="A667" t="inlineStr">
        <is>
          <t>Reception Sofas</t>
        </is>
      </c>
      <c r="BO667" t="inlineStr">
        <is>
          <t>Polybrominated biphenyls</t>
        </is>
      </c>
    </row>
    <row r="668">
      <c r="A668" t="inlineStr">
        <is>
          <t>Reception Benches</t>
        </is>
      </c>
      <c r="BO668" t="inlineStr">
        <is>
          <t>Polychlorinated biphenyls</t>
        </is>
      </c>
    </row>
    <row r="669">
      <c r="A669" t="inlineStr">
        <is>
          <t>Reception Desks</t>
        </is>
      </c>
      <c r="BO669" t="inlineStr">
        <is>
          <t>Polychlorinated biphenyls (containing 60 or more percent chlorine by molecular weight)</t>
        </is>
      </c>
    </row>
    <row r="670">
      <c r="A670" t="inlineStr">
        <is>
          <t>Ceiling Tiles</t>
        </is>
      </c>
      <c r="BO670" t="inlineStr">
        <is>
          <t>Polychlorinated dibenzo-p-dioxins</t>
        </is>
      </c>
    </row>
    <row r="671">
      <c r="A671" t="inlineStr">
        <is>
          <t>Multichannel-Only (MCO) Fulfillment</t>
        </is>
      </c>
      <c r="BO671" t="inlineStr">
        <is>
          <t>Polychlorinated dibenzofurans</t>
        </is>
      </c>
    </row>
    <row r="672">
      <c r="A672" t="inlineStr">
        <is>
          <t>Poker &amp; Card Tables</t>
        </is>
      </c>
      <c r="BO672" t="inlineStr">
        <is>
          <t>Polygeenan</t>
        </is>
      </c>
    </row>
    <row r="673">
      <c r="A673" t="inlineStr">
        <is>
          <t>Futon Frames</t>
        </is>
      </c>
      <c r="BO673" t="inlineStr">
        <is>
          <t>Ponceau MX</t>
        </is>
      </c>
    </row>
    <row r="674">
      <c r="A674" t="inlineStr">
        <is>
          <t>Shade Accessories</t>
        </is>
      </c>
      <c r="BO674" t="inlineStr">
        <is>
          <t>Ponceau 3R</t>
        </is>
      </c>
    </row>
    <row r="675">
      <c r="A675" t="inlineStr">
        <is>
          <t>Cabinet and Drawer Accessories</t>
        </is>
      </c>
      <c r="BO675" t="inlineStr">
        <is>
          <t>Potassium bromate</t>
        </is>
      </c>
    </row>
    <row r="676">
      <c r="A676" t="inlineStr">
        <is>
          <t>Rain Barrels</t>
        </is>
      </c>
      <c r="BO676" t="inlineStr">
        <is>
          <t>Potassium dimethyldithiocarbamate</t>
        </is>
      </c>
    </row>
    <row r="677">
      <c r="A677" t="inlineStr">
        <is>
          <t>Food Service Racks &amp; Shelving</t>
        </is>
      </c>
      <c r="BO677" t="inlineStr">
        <is>
          <t>Pravastatin sodium</t>
        </is>
      </c>
    </row>
    <row r="678">
      <c r="A678" t="inlineStr">
        <is>
          <t>Shower Panels</t>
        </is>
      </c>
      <c r="BO678" t="inlineStr">
        <is>
          <t>Prednisolone sodium phosphate</t>
        </is>
      </c>
    </row>
    <row r="679">
      <c r="A679" t="inlineStr">
        <is>
          <t>Shower Heads</t>
        </is>
      </c>
      <c r="BO679" t="inlineStr">
        <is>
          <t>Primidone</t>
        </is>
      </c>
    </row>
    <row r="680">
      <c r="A680" t="inlineStr">
        <is>
          <t>Arbors</t>
        </is>
      </c>
      <c r="BO680" t="inlineStr">
        <is>
          <t>Procarbazine</t>
        </is>
      </c>
    </row>
    <row r="681">
      <c r="A681" t="inlineStr">
        <is>
          <t>Teapots &amp; Teapot Sets</t>
        </is>
      </c>
      <c r="BO681" t="inlineStr">
        <is>
          <t>Procarbazine hydrochloride</t>
        </is>
      </c>
    </row>
    <row r="682">
      <c r="A682" t="inlineStr">
        <is>
          <t>Wreaths</t>
        </is>
      </c>
      <c r="BO682" t="inlineStr">
        <is>
          <t>Procymidone</t>
        </is>
      </c>
    </row>
    <row r="683">
      <c r="A683" t="inlineStr">
        <is>
          <t>Radiators</t>
        </is>
      </c>
      <c r="BO683" t="inlineStr">
        <is>
          <t>Progesterone</t>
        </is>
      </c>
    </row>
    <row r="684">
      <c r="A684" t="inlineStr">
        <is>
          <t>Hospitality - Booths</t>
        </is>
      </c>
      <c r="BO684" t="inlineStr">
        <is>
          <t>Pronamide</t>
        </is>
      </c>
    </row>
    <row r="685">
      <c r="A685" t="inlineStr">
        <is>
          <t>Decorative Media Players</t>
        </is>
      </c>
      <c r="BO685" t="inlineStr">
        <is>
          <t>Propachlor</t>
        </is>
      </c>
    </row>
    <row r="686">
      <c r="A686" t="inlineStr">
        <is>
          <t>Exterior Doors</t>
        </is>
      </c>
      <c r="BO686" t="inlineStr">
        <is>
          <t>1,3-Propane sultone</t>
        </is>
      </c>
    </row>
    <row r="687">
      <c r="A687" t="inlineStr">
        <is>
          <t>Large Appliance Warranties</t>
        </is>
      </c>
      <c r="BO687" t="inlineStr">
        <is>
          <t>Propargite</t>
        </is>
      </c>
    </row>
    <row r="688">
      <c r="A688" t="inlineStr">
        <is>
          <t>Washer and Dryer Sets</t>
        </is>
      </c>
      <c r="BO688" t="inlineStr">
        <is>
          <t>Propazine</t>
        </is>
      </c>
    </row>
    <row r="689">
      <c r="A689" t="inlineStr">
        <is>
          <t>Towel Rings</t>
        </is>
      </c>
      <c r="BO689" t="inlineStr">
        <is>
          <t>beta-Propiolactone</t>
        </is>
      </c>
    </row>
    <row r="690">
      <c r="A690" t="inlineStr">
        <is>
          <t>Towel &amp; Robe Hooks</t>
        </is>
      </c>
      <c r="BO690" t="inlineStr">
        <is>
          <t>Propoxur</t>
        </is>
      </c>
    </row>
    <row r="691">
      <c r="A691" t="inlineStr">
        <is>
          <t>Dorm Room Furniture</t>
        </is>
      </c>
      <c r="BO691" t="inlineStr">
        <is>
          <t>Propylene glycol mono-t-butyl ether</t>
        </is>
      </c>
    </row>
    <row r="692">
      <c r="A692" t="inlineStr">
        <is>
          <t>Uniters Rugs</t>
        </is>
      </c>
      <c r="BO692" t="inlineStr">
        <is>
          <t>Propylene oxide</t>
        </is>
      </c>
    </row>
    <row r="693">
      <c r="A693" t="inlineStr">
        <is>
          <t>Small Appliance Warranties</t>
        </is>
      </c>
      <c r="BO693" t="inlineStr">
        <is>
          <t>Propylthiouracil</t>
        </is>
      </c>
    </row>
    <row r="694">
      <c r="A694" t="inlineStr">
        <is>
          <t>String Lights</t>
        </is>
      </c>
      <c r="BO694" t="inlineStr">
        <is>
          <t>Pulegone</t>
        </is>
      </c>
    </row>
    <row r="695">
      <c r="A695" t="inlineStr">
        <is>
          <t>Air Purifiers</t>
        </is>
      </c>
      <c r="BO695" t="inlineStr">
        <is>
          <t>Pymetrozine</t>
        </is>
      </c>
    </row>
    <row r="696">
      <c r="A696" t="inlineStr">
        <is>
          <t>Humidifiers</t>
        </is>
      </c>
      <c r="BO696" t="inlineStr">
        <is>
          <t>Pyridine</t>
        </is>
      </c>
    </row>
    <row r="697">
      <c r="A697" t="inlineStr">
        <is>
          <t>Air Treatment Accessories</t>
        </is>
      </c>
      <c r="BO697" t="inlineStr">
        <is>
          <t>Pyrimethamine</t>
        </is>
      </c>
    </row>
    <row r="698">
      <c r="A698" t="inlineStr">
        <is>
          <t>Dehumidifiers</t>
        </is>
      </c>
      <c r="BO698" t="inlineStr">
        <is>
          <t>Quazepam</t>
        </is>
      </c>
    </row>
    <row r="699">
      <c r="A699" t="inlineStr">
        <is>
          <t>Log Storage</t>
        </is>
      </c>
      <c r="BO699" t="inlineStr">
        <is>
          <t>Quinoline and its strong acid salts</t>
        </is>
      </c>
    </row>
    <row r="700">
      <c r="A700" t="inlineStr">
        <is>
          <t>Crib Sheets</t>
        </is>
      </c>
      <c r="BO700" t="inlineStr">
        <is>
          <t>Radionuclides</t>
        </is>
      </c>
    </row>
    <row r="701">
      <c r="A701" t="inlineStr">
        <is>
          <t>Crib Bedding Accessories</t>
        </is>
      </c>
      <c r="BO701" t="inlineStr">
        <is>
          <t>Reserpine</t>
        </is>
      </c>
    </row>
    <row r="702">
      <c r="A702" t="inlineStr">
        <is>
          <t>Product Credit</t>
        </is>
      </c>
      <c r="BO702" t="inlineStr">
        <is>
          <t>Residual (heavy) fuel oils</t>
        </is>
      </c>
    </row>
    <row r="703">
      <c r="A703" t="inlineStr">
        <is>
          <t>Tabletop Fireplaces</t>
        </is>
      </c>
      <c r="BO703" t="inlineStr">
        <is>
          <t>Resmethrin</t>
        </is>
      </c>
    </row>
    <row r="704">
      <c r="A704" t="inlineStr">
        <is>
          <t>Peel and Stick Backsplash Tile</t>
        </is>
      </c>
      <c r="BO704" t="inlineStr">
        <is>
          <t>Retinol/retinyl esters, when in daily dosages in excess of 10,000 IU, or 3,000 retinol equivalents.</t>
        </is>
      </c>
    </row>
    <row r="705">
      <c r="A705" t="inlineStr">
        <is>
          <t>Kids Step Stools</t>
        </is>
      </c>
      <c r="BO705" t="inlineStr">
        <is>
          <t>Ribavirin</t>
        </is>
      </c>
    </row>
    <row r="706">
      <c r="A706" t="inlineStr">
        <is>
          <t>Shower Curtain Rods</t>
        </is>
      </c>
      <c r="BO706" t="inlineStr">
        <is>
          <t>Riddelliine</t>
        </is>
      </c>
    </row>
    <row r="707">
      <c r="A707" t="inlineStr">
        <is>
          <t>Wall Paneling</t>
        </is>
      </c>
      <c r="BO707" t="inlineStr">
        <is>
          <t>Rifampin</t>
        </is>
      </c>
    </row>
    <row r="708">
      <c r="A708" t="inlineStr">
        <is>
          <t>House Letters &amp; Numbers</t>
        </is>
      </c>
      <c r="BO708" t="inlineStr">
        <is>
          <t>Safrole</t>
        </is>
      </c>
    </row>
    <row r="709">
      <c r="A709" t="inlineStr">
        <is>
          <t>Lighting Warranties</t>
        </is>
      </c>
      <c r="BO709" t="inlineStr">
        <is>
          <t>Salted fish, Chinese-style</t>
        </is>
      </c>
    </row>
    <row r="710">
      <c r="A710" t="inlineStr">
        <is>
          <t>Handy</t>
        </is>
      </c>
      <c r="BO710" t="inlineStr">
        <is>
          <t>Secobarbital sodium</t>
        </is>
      </c>
    </row>
    <row r="711">
      <c r="A711" t="inlineStr">
        <is>
          <t>Soft Seating</t>
        </is>
      </c>
      <c r="BO711" t="inlineStr">
        <is>
          <t>Sedaxane</t>
        </is>
      </c>
    </row>
    <row r="712">
      <c r="A712" t="inlineStr">
        <is>
          <t>Uniters Renovation - Plumbing</t>
        </is>
      </c>
      <c r="BO712" t="inlineStr">
        <is>
          <t>Selenium sulfide</t>
        </is>
      </c>
    </row>
    <row r="713">
      <c r="A713" t="inlineStr">
        <is>
          <t>Planter Accessories</t>
        </is>
      </c>
      <c r="BO713" t="inlineStr">
        <is>
          <t>Sermorelin acetate</t>
        </is>
      </c>
    </row>
    <row r="714">
      <c r="A714" t="inlineStr">
        <is>
          <t>Charcoal Grills</t>
        </is>
      </c>
      <c r="BO714" t="inlineStr">
        <is>
          <t>Shale-oils</t>
        </is>
      </c>
    </row>
    <row r="715">
      <c r="A715" t="inlineStr">
        <is>
          <t>Track Lighting Kits</t>
        </is>
      </c>
      <c r="BO715" t="inlineStr">
        <is>
          <t>Silica, crystalline (airborne particles of respirable size)</t>
        </is>
      </c>
    </row>
    <row r="716">
      <c r="A716" t="inlineStr">
        <is>
          <t>Recessed Lighting Kits</t>
        </is>
      </c>
      <c r="BO716" t="inlineStr">
        <is>
          <t>Simazine</t>
        </is>
      </c>
    </row>
    <row r="717">
      <c r="A717" t="inlineStr">
        <is>
          <t>Track Lighting Heads &amp; Pendants</t>
        </is>
      </c>
      <c r="BO717" t="inlineStr">
        <is>
          <t>Sodium dimethyldithiocarbamate</t>
        </is>
      </c>
    </row>
    <row r="718">
      <c r="A718" t="inlineStr">
        <is>
          <t>Track Lighting Tracks, Rails &amp; Connectors</t>
        </is>
      </c>
      <c r="BO718" t="inlineStr">
        <is>
          <t>Soots, tars, and mineral oils (untreated and mildly treated oils and used engine oils)</t>
        </is>
      </c>
    </row>
    <row r="719">
      <c r="A719" t="inlineStr">
        <is>
          <t>Recessed Lighting Trims</t>
        </is>
      </c>
      <c r="BO719" t="inlineStr">
        <is>
          <t>Spirodiclofen</t>
        </is>
      </c>
    </row>
    <row r="720">
      <c r="A720" t="inlineStr">
        <is>
          <t>Wall Organizers, Wall Baskets, and Key Organizers</t>
        </is>
      </c>
      <c r="BO720" t="inlineStr">
        <is>
          <t>Spironolactone</t>
        </is>
      </c>
    </row>
    <row r="721">
      <c r="A721" t="inlineStr">
        <is>
          <t>Coffee Pods &amp; K-Cups</t>
        </is>
      </c>
      <c r="BO721" t="inlineStr">
        <is>
          <t>Stanozolol</t>
        </is>
      </c>
    </row>
    <row r="722">
      <c r="A722" t="inlineStr">
        <is>
          <t>Curtains, Drapes, &amp; Valences Samples</t>
        </is>
      </c>
      <c r="BO722" t="inlineStr">
        <is>
          <t>Sterigmatocystin</t>
        </is>
      </c>
    </row>
    <row r="723">
      <c r="A723" t="inlineStr">
        <is>
          <t>Large Appliances Fulfillment Services</t>
        </is>
      </c>
      <c r="BO723" t="inlineStr">
        <is>
          <t>Streptomycin sulfate</t>
        </is>
      </c>
    </row>
    <row r="724">
      <c r="A724" t="inlineStr">
        <is>
          <t>Outdoor Structures &amp; Spa Warranties</t>
        </is>
      </c>
      <c r="BO724" t="inlineStr">
        <is>
          <t>Streptozocin (streptozotocin)</t>
        </is>
      </c>
    </row>
    <row r="725">
      <c r="A725" t="inlineStr">
        <is>
          <t>Portable Washers &amp; Dryers</t>
        </is>
      </c>
      <c r="BO725" t="inlineStr">
        <is>
          <t>Streptozotocin (streptozocin)</t>
        </is>
      </c>
    </row>
    <row r="726">
      <c r="A726" t="inlineStr">
        <is>
          <t>Adjustable Beds</t>
        </is>
      </c>
      <c r="BO726" t="inlineStr">
        <is>
          <t>Strong inorganic acid mists containing sulfuric acid</t>
        </is>
      </c>
    </row>
    <row r="727">
      <c r="A727" t="inlineStr">
        <is>
          <t>Closet Organizer Accessories</t>
        </is>
      </c>
      <c r="BO727" t="inlineStr">
        <is>
          <t>Styrene</t>
        </is>
      </c>
    </row>
    <row r="728">
      <c r="A728" t="inlineStr">
        <is>
          <t>Shower Benches</t>
        </is>
      </c>
      <c r="BO728" t="inlineStr">
        <is>
          <t>Styrene oxide</t>
        </is>
      </c>
    </row>
    <row r="729">
      <c r="A729" t="inlineStr">
        <is>
          <t>Placemats, Chargers, &amp; Napkins</t>
        </is>
      </c>
      <c r="BO729" t="inlineStr">
        <is>
          <t>Sulfallate</t>
        </is>
      </c>
    </row>
    <row r="730">
      <c r="A730" t="inlineStr">
        <is>
          <t>Clothing &amp; Garment Racks</t>
        </is>
      </c>
      <c r="BO730" t="inlineStr">
        <is>
          <t>Sulfasalazine (Salicylazosulfapyridine)</t>
        </is>
      </c>
    </row>
    <row r="731">
      <c r="A731" t="inlineStr">
        <is>
          <t>Nursery Furniture Sets</t>
        </is>
      </c>
      <c r="BO731" t="inlineStr">
        <is>
          <t>Sulfur dioxidee</t>
        </is>
      </c>
    </row>
    <row r="732">
      <c r="A732" t="inlineStr">
        <is>
          <t>Wood Pellet Grills</t>
        </is>
      </c>
      <c r="BO732" t="inlineStr">
        <is>
          <t>Sulindac</t>
        </is>
      </c>
    </row>
    <row r="733">
      <c r="A733" t="inlineStr">
        <is>
          <t>Wayfair Registry</t>
        </is>
      </c>
      <c r="BO733" t="inlineStr">
        <is>
          <t>Talc containing asbestiform fibers</t>
        </is>
      </c>
    </row>
    <row r="734">
      <c r="A734" t="inlineStr">
        <is>
          <t>Beauty Organizers</t>
        </is>
      </c>
      <c r="BO734" t="inlineStr">
        <is>
          <t>Tamoxifen and its salts</t>
        </is>
      </c>
    </row>
    <row r="735">
      <c r="A735" t="inlineStr">
        <is>
          <t>Security Lighting</t>
        </is>
      </c>
      <c r="BO735" t="inlineStr">
        <is>
          <t>Tamoxifen citrate</t>
        </is>
      </c>
    </row>
    <row r="736">
      <c r="A736" t="inlineStr">
        <is>
          <t>Fireplace Screens &amp; Doors</t>
        </is>
      </c>
      <c r="BO736" t="inlineStr">
        <is>
          <t>Temazepam</t>
        </is>
      </c>
    </row>
    <row r="737">
      <c r="A737" t="inlineStr">
        <is>
          <t>Garden Accents</t>
        </is>
      </c>
      <c r="BO737" t="inlineStr">
        <is>
          <t>Teniposide</t>
        </is>
      </c>
    </row>
    <row r="738">
      <c r="A738" t="inlineStr">
        <is>
          <t>Evaporative Coolers</t>
        </is>
      </c>
      <c r="BO738" t="inlineStr">
        <is>
          <t>Terbacil</t>
        </is>
      </c>
    </row>
    <row r="739">
      <c r="A739" t="inlineStr">
        <is>
          <t>Bathrobes</t>
        </is>
      </c>
      <c r="BO739" t="inlineStr">
        <is>
          <t>Teriparatide</t>
        </is>
      </c>
    </row>
    <row r="740">
      <c r="A740" t="inlineStr">
        <is>
          <t>Outdoor Wall Decor</t>
        </is>
      </c>
      <c r="BO740" t="inlineStr">
        <is>
          <t>Terrazole</t>
        </is>
      </c>
    </row>
    <row r="741">
      <c r="A741" t="inlineStr">
        <is>
          <t>Doormats</t>
        </is>
      </c>
      <c r="BO741" t="inlineStr">
        <is>
          <t>Testosterone and its esters</t>
        </is>
      </c>
    </row>
    <row r="742">
      <c r="A742" t="inlineStr">
        <is>
          <t>Kitchen Mats</t>
        </is>
      </c>
      <c r="BO742" t="inlineStr">
        <is>
          <t>Testosterone cypionate</t>
        </is>
      </c>
    </row>
    <row r="743">
      <c r="A743" t="inlineStr">
        <is>
          <t>Decorative Boxes</t>
        </is>
      </c>
      <c r="BO743" t="inlineStr">
        <is>
          <t>Testosterone enanthate</t>
        </is>
      </c>
    </row>
    <row r="744">
      <c r="A744" t="inlineStr">
        <is>
          <t>Microfridge Combo Units</t>
        </is>
      </c>
      <c r="BO744" t="inlineStr">
        <is>
          <t>Tetrabromobisphenol A</t>
        </is>
      </c>
    </row>
    <row r="745">
      <c r="A745" t="inlineStr">
        <is>
          <t>Gas Fireplaces</t>
        </is>
      </c>
      <c r="BO745" t="inlineStr">
        <is>
          <t>3,3',4,4'-Tetrachloroazobenzene</t>
        </is>
      </c>
    </row>
    <row r="746">
      <c r="A746" t="inlineStr">
        <is>
          <t>Barn Door Hardware</t>
        </is>
      </c>
      <c r="BO746" t="inlineStr">
        <is>
          <t>2,3,7,8-Tetrachlorodibenzo-p-dioxin (TCDD)</t>
        </is>
      </c>
    </row>
    <row r="747">
      <c r="A747" t="inlineStr">
        <is>
          <t>Fabric Samples</t>
        </is>
      </c>
      <c r="BO747" t="inlineStr">
        <is>
          <t>1,1,1,2-Tetrachloroethane</t>
        </is>
      </c>
    </row>
    <row r="748">
      <c r="A748" t="inlineStr">
        <is>
          <t>Glass Sample</t>
        </is>
      </c>
      <c r="BO748" t="inlineStr">
        <is>
          <t>1,1,2,2-Tetrachloroethane</t>
        </is>
      </c>
    </row>
    <row r="749">
      <c r="A749" t="inlineStr">
        <is>
          <t>Metal Sample</t>
        </is>
      </c>
      <c r="BO749" t="inlineStr">
        <is>
          <t>Tetrachloroethylene (Perchloroethylene)</t>
        </is>
      </c>
    </row>
    <row r="750">
      <c r="A750" t="inlineStr">
        <is>
          <t>Plastic Sample</t>
        </is>
      </c>
      <c r="BO750" t="inlineStr">
        <is>
          <t>p-a,a,a-Tetrachlorotoluene</t>
        </is>
      </c>
    </row>
    <row r="751">
      <c r="A751" t="inlineStr">
        <is>
          <t>Ceramic/Stone Sample</t>
        </is>
      </c>
      <c r="BO751" t="inlineStr">
        <is>
          <t>Tetrachlorvinphos</t>
        </is>
      </c>
    </row>
    <row r="752">
      <c r="A752" t="inlineStr">
        <is>
          <t>Wicker/Rattan Sample</t>
        </is>
      </c>
      <c r="BO752" t="inlineStr">
        <is>
          <t>Tetracycline (internal use)</t>
        </is>
      </c>
    </row>
    <row r="753">
      <c r="A753" t="inlineStr">
        <is>
          <t>Textile Sample</t>
        </is>
      </c>
      <c r="BO753" t="inlineStr">
        <is>
          <t>Tetracyclines (internal use)</t>
        </is>
      </c>
    </row>
    <row r="754">
      <c r="A754" t="inlineStr">
        <is>
          <t>Thermostats</t>
        </is>
      </c>
      <c r="BO754" t="inlineStr">
        <is>
          <t>Tetracycline hydrochloride (internal use)</t>
        </is>
      </c>
    </row>
    <row r="755">
      <c r="A755" t="inlineStr">
        <is>
          <t>Restaurant Table Bases</t>
        </is>
      </c>
      <c r="BO755" t="inlineStr">
        <is>
          <t>Tetrafluoroethylene</t>
        </is>
      </c>
    </row>
    <row r="756">
      <c r="A756" t="inlineStr">
        <is>
          <t>Restaurant Tables</t>
        </is>
      </c>
      <c r="BO756" t="inlineStr">
        <is>
          <t>Tetranitromethane</t>
        </is>
      </c>
    </row>
    <row r="757">
      <c r="A757" t="inlineStr">
        <is>
          <t>Outdoor Flush Mounts</t>
        </is>
      </c>
      <c r="BO757" t="inlineStr">
        <is>
          <t>Thalidomide</t>
        </is>
      </c>
    </row>
    <row r="758">
      <c r="A758" t="inlineStr">
        <is>
          <t>Novelty Lighting</t>
        </is>
      </c>
      <c r="BO758" t="inlineStr">
        <is>
          <t>Thioacetamide</t>
        </is>
      </c>
    </row>
    <row r="759">
      <c r="A759" t="inlineStr">
        <is>
          <t>Kitchen Appliance Packages</t>
        </is>
      </c>
      <c r="BO759" t="inlineStr">
        <is>
          <t>4,4'-Thiodianiline</t>
        </is>
      </c>
    </row>
    <row r="760">
      <c r="A760" t="inlineStr">
        <is>
          <t>Commercial Cooking Equipment</t>
        </is>
      </c>
      <c r="BO760" t="inlineStr">
        <is>
          <t>Thiodicarb</t>
        </is>
      </c>
    </row>
    <row r="761">
      <c r="A761" t="inlineStr">
        <is>
          <t>Commercial Work Tables</t>
        </is>
      </c>
      <c r="BO761" t="inlineStr">
        <is>
          <t>Thioguanine</t>
        </is>
      </c>
    </row>
    <row r="762">
      <c r="A762" t="inlineStr">
        <is>
          <t>Countertop Ovens &amp; Cookers</t>
        </is>
      </c>
      <c r="BO762" t="inlineStr">
        <is>
          <t>Thiouracil</t>
        </is>
      </c>
    </row>
    <row r="763">
      <c r="A763" t="inlineStr">
        <is>
          <t>Commercial Ovens &amp; Ranges</t>
        </is>
      </c>
      <c r="BO763" t="inlineStr">
        <is>
          <t>Thiourea</t>
        </is>
      </c>
    </row>
    <row r="764">
      <c r="A764" t="inlineStr">
        <is>
          <t>Commercial Refrigerators &amp; Freezers</t>
        </is>
      </c>
      <c r="BO764" t="inlineStr">
        <is>
          <t>Thorium dioxide</t>
        </is>
      </c>
    </row>
    <row r="765">
      <c r="A765" t="inlineStr">
        <is>
          <t>Knife Storage</t>
        </is>
      </c>
      <c r="BO765" t="inlineStr">
        <is>
          <t>Titanium dioxide (airborne, unbound particles of respirable size)</t>
        </is>
      </c>
    </row>
    <row r="766">
      <c r="A766" t="inlineStr">
        <is>
          <t>Buffet Accessories</t>
        </is>
      </c>
      <c r="BO766" t="inlineStr">
        <is>
          <t>Tobacco, oral use of smokeless products</t>
        </is>
      </c>
    </row>
    <row r="767">
      <c r="A767" t="inlineStr">
        <is>
          <t>Smart &amp; Electronic Door Locks</t>
        </is>
      </c>
      <c r="BO767" t="inlineStr">
        <is>
          <t>Tobacco smoke</t>
        </is>
      </c>
    </row>
    <row r="768">
      <c r="A768" t="inlineStr">
        <is>
          <t>Privacy Booths</t>
        </is>
      </c>
      <c r="BO768" t="inlineStr">
        <is>
          <t>Tobacco smoke (primary)</t>
        </is>
      </c>
    </row>
    <row r="769">
      <c r="A769" t="inlineStr">
        <is>
          <t>Interactive Tables</t>
        </is>
      </c>
      <c r="BO769" t="inlineStr">
        <is>
          <t>Tobramycin sulfate</t>
        </is>
      </c>
    </row>
    <row r="770">
      <c r="A770" t="inlineStr">
        <is>
          <t>Ceiling Fan Parts and Accessories</t>
        </is>
      </c>
      <c r="BO770" t="inlineStr">
        <is>
          <t>Toluene</t>
        </is>
      </c>
    </row>
    <row r="771">
      <c r="A771" t="inlineStr">
        <is>
          <t>Bar Equipment &amp; Accessories</t>
        </is>
      </c>
      <c r="BO771" t="inlineStr">
        <is>
          <t>Toluene diisocyanate</t>
        </is>
      </c>
    </row>
    <row r="772">
      <c r="A772" t="inlineStr">
        <is>
          <t>Footboards</t>
        </is>
      </c>
      <c r="BO772" t="inlineStr">
        <is>
          <t>o-Toluidine</t>
        </is>
      </c>
    </row>
    <row r="773">
      <c r="A773" t="inlineStr">
        <is>
          <t>Outdoor Kitchens</t>
        </is>
      </c>
      <c r="BO773" t="inlineStr">
        <is>
          <t>o-Toluidine hydrochloride</t>
        </is>
      </c>
    </row>
    <row r="774">
      <c r="A774" t="inlineStr">
        <is>
          <t>Teen Beds</t>
        </is>
      </c>
      <c r="BO774" t="inlineStr">
        <is>
          <t>Topiramate</t>
        </is>
      </c>
    </row>
    <row r="775">
      <c r="A775" t="inlineStr">
        <is>
          <t>Teen Bookcases</t>
        </is>
      </c>
      <c r="BO775" t="inlineStr">
        <is>
          <t>Toxaphene (Polychlorinated camphenes)</t>
        </is>
      </c>
    </row>
    <row r="776">
      <c r="A776" t="inlineStr">
        <is>
          <t>Teens Headboards</t>
        </is>
      </c>
      <c r="BO776" t="inlineStr">
        <is>
          <t>Toxins derived from Fusarium moniliforme (Fusarium verticillioides)</t>
        </is>
      </c>
    </row>
    <row r="777">
      <c r="A777" t="inlineStr">
        <is>
          <t>Teen Nightstands</t>
        </is>
      </c>
      <c r="BO777" t="inlineStr">
        <is>
          <t>Treosulfan</t>
        </is>
      </c>
    </row>
    <row r="778">
      <c r="A778" t="inlineStr">
        <is>
          <t>Teen Dressers</t>
        </is>
      </c>
      <c r="BO778" t="inlineStr">
        <is>
          <t>Triadimefon</t>
        </is>
      </c>
    </row>
    <row r="779">
      <c r="A779" t="inlineStr">
        <is>
          <t>Square Trade - Plumbing Core</t>
        </is>
      </c>
      <c r="BO779" t="inlineStr">
        <is>
          <t>Triamterene</t>
        </is>
      </c>
    </row>
    <row r="780">
      <c r="A780" t="inlineStr">
        <is>
          <t>Square Trade - Plumbing Vanities</t>
        </is>
      </c>
      <c r="BO780" t="inlineStr">
        <is>
          <t>Triazolam</t>
        </is>
      </c>
    </row>
    <row r="781">
      <c r="A781" t="inlineStr">
        <is>
          <t>Changing Table Toppers</t>
        </is>
      </c>
      <c r="BO781" t="inlineStr">
        <is>
          <t>S,S,S-Tributyl phosphorotrithioate (Tribufos, DEF)</t>
        </is>
      </c>
    </row>
    <row r="782">
      <c r="A782" t="inlineStr">
        <is>
          <t>Square Trade - Upholstery Niche</t>
        </is>
      </c>
      <c r="BO782" t="inlineStr">
        <is>
          <t>Tributyltin methacrylate</t>
        </is>
      </c>
    </row>
    <row r="783">
      <c r="A783" t="inlineStr">
        <is>
          <t>Teacher Desks</t>
        </is>
      </c>
      <c r="BO783" t="inlineStr">
        <is>
          <t>Trichlormethine (Trimustine hydrochloride)</t>
        </is>
      </c>
    </row>
    <row r="784">
      <c r="A784" t="inlineStr">
        <is>
          <t>Study Carrels</t>
        </is>
      </c>
      <c r="BO784" t="inlineStr">
        <is>
          <t>Trichloroacetic acid</t>
        </is>
      </c>
    </row>
    <row r="785">
      <c r="A785" t="inlineStr">
        <is>
          <t>Toasters</t>
        </is>
      </c>
      <c r="BO785" t="inlineStr">
        <is>
          <t>Trichloroethylene</t>
        </is>
      </c>
    </row>
    <row r="786">
      <c r="A786" t="inlineStr">
        <is>
          <t>Wall Plates</t>
        </is>
      </c>
      <c r="BO786" t="inlineStr">
        <is>
          <t>2,4,6-Trichlorophenol</t>
        </is>
      </c>
    </row>
    <row r="787">
      <c r="A787" t="inlineStr">
        <is>
          <t>Square Trade - Kitchen and Dining</t>
        </is>
      </c>
      <c r="BO787" t="inlineStr">
        <is>
          <t>1,2,3-Trichloropropane</t>
        </is>
      </c>
    </row>
    <row r="788">
      <c r="A788" t="inlineStr">
        <is>
          <t>Square Trade - Upholstery</t>
        </is>
      </c>
      <c r="BO788" t="inlineStr">
        <is>
          <t>Trientine hydrochloride</t>
        </is>
      </c>
    </row>
    <row r="789">
      <c r="A789" t="inlineStr">
        <is>
          <t>Square Trade Rugs</t>
        </is>
      </c>
      <c r="BO789" t="inlineStr">
        <is>
          <t>Triforine</t>
        </is>
      </c>
    </row>
    <row r="790">
      <c r="A790" t="inlineStr">
        <is>
          <t>Square Trade - Youth</t>
        </is>
      </c>
      <c r="BO790" t="inlineStr">
        <is>
          <t>Trilostane</t>
        </is>
      </c>
    </row>
    <row r="791">
      <c r="A791" t="inlineStr">
        <is>
          <t>Square Trade - Office</t>
        </is>
      </c>
      <c r="BO791" t="inlineStr">
        <is>
          <t>Trimethadione</t>
        </is>
      </c>
    </row>
    <row r="792">
      <c r="A792" t="inlineStr">
        <is>
          <t>Guest Room Sets</t>
        </is>
      </c>
      <c r="BO792" t="inlineStr">
        <is>
          <t>2,4,5-Trimethylaniline and its strong acid salts</t>
        </is>
      </c>
    </row>
    <row r="793">
      <c r="A793" t="inlineStr">
        <is>
          <t>Square Trade - Utility Bedding</t>
        </is>
      </c>
      <c r="BO793" t="inlineStr">
        <is>
          <t>Trimethyl phosphate</t>
        </is>
      </c>
    </row>
    <row r="794">
      <c r="A794" t="inlineStr">
        <is>
          <t>Square Trade - Mattresses</t>
        </is>
      </c>
      <c r="BO794" t="inlineStr">
        <is>
          <t>Trimetrexate glucuronate</t>
        </is>
      </c>
    </row>
    <row r="795">
      <c r="A795" t="inlineStr">
        <is>
          <t>Underfloor Heating</t>
        </is>
      </c>
      <c r="BO795" t="inlineStr">
        <is>
          <t>2,4,6-Trinitrotoluene (TNT)</t>
        </is>
      </c>
    </row>
    <row r="796">
      <c r="A796" t="inlineStr">
        <is>
          <t>Can Openers, Food Scales &amp; Packaging Appliances</t>
        </is>
      </c>
      <c r="BO796" t="inlineStr">
        <is>
          <t>Triphenyltin hydroxide</t>
        </is>
      </c>
    </row>
    <row r="797">
      <c r="A797" t="inlineStr">
        <is>
          <t>Specialized Food Preparation</t>
        </is>
      </c>
      <c r="BO797" t="inlineStr">
        <is>
          <t>Tris(1-aziridinyl)phosphine sulfide (Thiotepa)</t>
        </is>
      </c>
    </row>
    <row r="798">
      <c r="A798" t="inlineStr">
        <is>
          <t>Design Services</t>
        </is>
      </c>
      <c r="BO798" t="inlineStr">
        <is>
          <t>Tris(2-chloroethyl) phosphate</t>
        </is>
      </c>
    </row>
    <row r="799">
      <c r="A799" t="inlineStr">
        <is>
          <t>Rice Cookers and Food Steamers</t>
        </is>
      </c>
      <c r="BO799" t="inlineStr">
        <is>
          <t>Tris(2,3-dibromopropyl)phosphate</t>
        </is>
      </c>
    </row>
    <row r="800">
      <c r="A800" t="inlineStr">
        <is>
          <t>Water Bottles, Travel Mugs &amp; Tumblers</t>
        </is>
      </c>
      <c r="BO800" t="inlineStr">
        <is>
          <t>Tris(1,3-dichloro-2-propyl) phosphate (TDCPP)</t>
        </is>
      </c>
    </row>
    <row r="801">
      <c r="A801" t="inlineStr">
        <is>
          <t>Wood Samples</t>
        </is>
      </c>
      <c r="BO801" t="inlineStr">
        <is>
          <t>Trp-P-1 (Tryptophan-P-1)</t>
        </is>
      </c>
    </row>
    <row r="802">
      <c r="A802" t="inlineStr">
        <is>
          <t>Kitchen Sink Storage</t>
        </is>
      </c>
      <c r="BO802" t="inlineStr">
        <is>
          <t>Trp-P-2 (Tryptophan-P-2)</t>
        </is>
      </c>
    </row>
    <row r="803">
      <c r="A803" t="inlineStr">
        <is>
          <t>Bed Accessories</t>
        </is>
      </c>
      <c r="BO803" t="inlineStr">
        <is>
          <t>Trypan blue (commercial grade)</t>
        </is>
      </c>
    </row>
    <row r="804">
      <c r="A804" t="inlineStr">
        <is>
          <t>Square Trade - Nursery</t>
        </is>
      </c>
      <c r="BO804" t="inlineStr">
        <is>
          <t>Unleaded gasoline (wholly vaporized)</t>
        </is>
      </c>
    </row>
    <row r="805">
      <c r="A805" t="inlineStr">
        <is>
          <t>Square Trade - Hardware</t>
        </is>
      </c>
      <c r="BO805" t="inlineStr">
        <is>
          <t>Uracil mustard</t>
        </is>
      </c>
    </row>
    <row r="806">
      <c r="A806" t="inlineStr">
        <is>
          <t>Stationery &amp; Coffee Table Books</t>
        </is>
      </c>
      <c r="BO806" t="inlineStr">
        <is>
          <t>Urethane (Ethyl carbamate)</t>
        </is>
      </c>
    </row>
    <row r="807">
      <c r="A807" t="inlineStr">
        <is>
          <t>Teen Bedding</t>
        </is>
      </c>
      <c r="BO807" t="inlineStr">
        <is>
          <t>Urofollitropin</t>
        </is>
      </c>
    </row>
    <row r="808">
      <c r="A808" t="inlineStr">
        <is>
          <t>Beverage Refrigerators &amp; Coolers</t>
        </is>
      </c>
      <c r="BO808" t="inlineStr">
        <is>
          <t>Valproate (Valproic acid)</t>
        </is>
      </c>
    </row>
    <row r="809">
      <c r="A809" t="inlineStr">
        <is>
          <t>Reception Sets</t>
        </is>
      </c>
      <c r="BO809" t="inlineStr">
        <is>
          <t>Vanadium pentoxide (orthorhombic crystalline form)</t>
        </is>
      </c>
    </row>
    <row r="810">
      <c r="A810" t="inlineStr">
        <is>
          <t>Commercial Plumbing Parts &amp; Accessories</t>
        </is>
      </c>
      <c r="BO810" t="inlineStr">
        <is>
          <t>Vinblastine sulfate</t>
        </is>
      </c>
    </row>
    <row r="811">
      <c r="A811" t="inlineStr">
        <is>
          <t>Christmas Tree Skirts &amp; Collars</t>
        </is>
      </c>
      <c r="BO811" t="inlineStr">
        <is>
          <t>Vinclozolin</t>
        </is>
      </c>
    </row>
    <row r="812">
      <c r="A812" t="inlineStr">
        <is>
          <t>Teen Desks</t>
        </is>
      </c>
      <c r="BO812" t="inlineStr">
        <is>
          <t>Vincristine sulfate</t>
        </is>
      </c>
    </row>
    <row r="813">
      <c r="A813" t="inlineStr">
        <is>
          <t>Deep Fryers</t>
        </is>
      </c>
      <c r="BO813" t="inlineStr">
        <is>
          <t>Vinyl bromide</t>
        </is>
      </c>
    </row>
    <row r="814">
      <c r="A814" t="inlineStr">
        <is>
          <t>Square Trade Fireplaces &amp; Grills</t>
        </is>
      </c>
      <c r="BO814" t="inlineStr">
        <is>
          <t>Vinyl chloride</t>
        </is>
      </c>
    </row>
    <row r="815">
      <c r="A815" t="inlineStr">
        <is>
          <t>Square Trade Storage &amp; Organization</t>
        </is>
      </c>
      <c r="BO815" t="inlineStr">
        <is>
          <t>4-Vinylcyclohexene</t>
        </is>
      </c>
    </row>
    <row r="816">
      <c r="A816" t="inlineStr">
        <is>
          <t>Playground Flooring</t>
        </is>
      </c>
      <c r="BO816" t="inlineStr">
        <is>
          <t>4-Vinyl-1-cyclohexene diepoxide (Vinyl cyclohexenedioxide)</t>
        </is>
      </c>
    </row>
    <row r="817">
      <c r="A817" t="inlineStr">
        <is>
          <t>Shower Curtain Hooks and Accessories</t>
        </is>
      </c>
      <c r="BO817" t="inlineStr">
        <is>
          <t>Vinyl fluoride</t>
        </is>
      </c>
    </row>
    <row r="818">
      <c r="A818" t="inlineStr">
        <is>
          <t>Gift Cards for Physical Store</t>
        </is>
      </c>
      <c r="BO818" t="inlineStr">
        <is>
          <t>Vinylidene chloride (1,1-Dichloroethylene)</t>
        </is>
      </c>
    </row>
    <row r="819">
      <c r="A819" t="inlineStr">
        <is>
          <t>Teen Desk Chairs</t>
        </is>
      </c>
      <c r="BO819" t="inlineStr">
        <is>
          <t>Vinyl trichloride (1,1,2-Trichloroethane)</t>
        </is>
      </c>
    </row>
    <row r="820">
      <c r="A820" t="inlineStr">
        <is>
          <t>Kids Cots</t>
        </is>
      </c>
      <c r="BO820" t="inlineStr">
        <is>
          <t>Warfarin</t>
        </is>
      </c>
    </row>
    <row r="821">
      <c r="A821" t="inlineStr">
        <is>
          <t>True Components</t>
        </is>
      </c>
      <c r="BO821" t="inlineStr">
        <is>
          <t>Wood dust</t>
        </is>
      </c>
    </row>
    <row r="822">
      <c r="A822" t="inlineStr">
        <is>
          <t>Pet Food Storage Containers &amp; Treat Jars</t>
        </is>
      </c>
      <c r="BO822" t="inlineStr">
        <is>
          <t>2,6-Xylidine (2,6-Dimethylaniline)</t>
        </is>
      </c>
    </row>
    <row r="823">
      <c r="A823" t="inlineStr">
        <is>
          <t>Restaurant Table Tops</t>
        </is>
      </c>
      <c r="BO823" t="inlineStr">
        <is>
          <t>Zalcitabine</t>
        </is>
      </c>
    </row>
    <row r="824">
      <c r="A824" t="inlineStr">
        <is>
          <t>One-of-a-Kind Rugs</t>
        </is>
      </c>
      <c r="BO824" t="inlineStr">
        <is>
          <t>Zidovudine (AZT)</t>
        </is>
      </c>
    </row>
    <row r="825">
      <c r="A825" t="inlineStr">
        <is>
          <t>Reading Benches &amp; Chairs</t>
        </is>
      </c>
      <c r="BO825" t="inlineStr">
        <is>
          <t>Zileuton</t>
        </is>
      </c>
    </row>
    <row r="826">
      <c r="A826" t="inlineStr">
        <is>
          <t>Tree &amp; Novelty Garlands</t>
        </is>
      </c>
      <c r="BO826" t="inlineStr">
        <is>
          <t>2-Bromopropane (2-BP)</t>
        </is>
      </c>
    </row>
    <row r="827">
      <c r="A827" t="inlineStr">
        <is>
          <t>Protection Plans</t>
        </is>
      </c>
      <c r="BO827" t="inlineStr">
        <is>
          <t>2-Chloropropionic acid</t>
        </is>
      </c>
    </row>
    <row r="828">
      <c r="A828" t="inlineStr">
        <is>
          <t>Laundry Accessories</t>
        </is>
      </c>
      <c r="BO828" t="inlineStr">
        <is>
          <t>Di-n-hexyl phthalate (DnHP)</t>
        </is>
      </c>
    </row>
    <row r="829">
      <c r="A829" t="inlineStr">
        <is>
          <t>Shower Walls</t>
        </is>
      </c>
      <c r="BO829" t="inlineStr">
        <is>
          <t>m-Dinitrobenzene</t>
        </is>
      </c>
    </row>
    <row r="830">
      <c r="A830" t="inlineStr">
        <is>
          <t>Fencing Accessories</t>
        </is>
      </c>
      <c r="BO830" t="inlineStr">
        <is>
          <t>o-Dinitrobenzene</t>
        </is>
      </c>
    </row>
    <row r="831">
      <c r="A831" t="inlineStr">
        <is>
          <t>Teen Lounge Furniture</t>
        </is>
      </c>
      <c r="BO831" t="inlineStr">
        <is>
          <t>p-Dinitrobenzene</t>
        </is>
      </c>
    </row>
    <row r="832">
      <c r="A832" t="inlineStr">
        <is>
          <t>Teen Accent Pillows</t>
        </is>
      </c>
      <c r="BO832" t="inlineStr">
        <is>
          <t>Dinitrotoluene (technical grade)</t>
        </is>
      </c>
    </row>
    <row r="833">
      <c r="A833" t="inlineStr">
        <is>
          <t>Teen Wall Art</t>
        </is>
      </c>
      <c r="BO833" t="inlineStr">
        <is>
          <t>n-Hexane</t>
        </is>
      </c>
    </row>
    <row r="834">
      <c r="A834" t="inlineStr">
        <is>
          <t>Commercial Food Storage &amp; Accessories</t>
        </is>
      </c>
      <c r="BO834" t="inlineStr">
        <is>
          <t>2,5-Hexanedione</t>
        </is>
      </c>
    </row>
    <row r="835">
      <c r="A835" t="inlineStr">
        <is>
          <t>Teen Wall Décor</t>
        </is>
      </c>
      <c r="BO835" t="inlineStr">
        <is>
          <t>Hydrogen cyanide (HCN) and cyanide salts (CN salts)</t>
        </is>
      </c>
    </row>
    <row r="836">
      <c r="A836" t="inlineStr">
        <is>
          <t>Teen Tapestries and Wall Hangings</t>
        </is>
      </c>
      <c r="BO836" t="inlineStr">
        <is>
          <t>Levonorgestrel implants</t>
        </is>
      </c>
    </row>
    <row r="837">
      <c r="A837" t="inlineStr">
        <is>
          <t>Teen Novelty Lighting</t>
        </is>
      </c>
      <c r="BO837" t="inlineStr">
        <is>
          <t>Nitrofurantoin</t>
        </is>
      </c>
    </row>
    <row r="838">
      <c r="A838" t="inlineStr">
        <is>
          <t>Live Plants and Trees</t>
        </is>
      </c>
      <c r="BO838" t="inlineStr">
        <is>
          <t>Oxydemeton methyl</t>
        </is>
      </c>
    </row>
    <row r="839">
      <c r="A839" t="inlineStr">
        <is>
          <t>Turf Flooring</t>
        </is>
      </c>
      <c r="BO839" t="inlineStr">
        <is>
          <t>Quizalofop-ethyl</t>
        </is>
      </c>
    </row>
    <row r="840">
      <c r="A840" t="inlineStr">
        <is>
          <t>Semi-Custom &amp; Custom Kitchen Cabinets</t>
        </is>
      </c>
      <c r="BO840" t="inlineStr">
        <is>
          <t>Sodium fluoroacetate</t>
        </is>
      </c>
    </row>
    <row r="841">
      <c r="A841" t="inlineStr">
        <is>
          <t>Outdoor Privacy Screens and Partitions</t>
        </is>
      </c>
      <c r="BO841" t="inlineStr">
        <is>
          <t>Thiophanate methyl</t>
        </is>
      </c>
    </row>
    <row r="842">
      <c r="A842" t="inlineStr">
        <is>
          <t>Admins Can Sell (ACS) - Sales and Service (S&amp;S)</t>
        </is>
      </c>
      <c r="BO842" t="inlineStr">
        <is>
          <t>Vinyl cyclohexene dioxide (4-Vinyl-1-cyclohexene diepoxide)</t>
        </is>
      </c>
    </row>
    <row r="843">
      <c r="A843" t="inlineStr">
        <is>
          <t>Swimming Pool Accessories</t>
        </is>
      </c>
      <c r="BO843" t="inlineStr">
        <is>
          <t>Chloroform</t>
        </is>
      </c>
    </row>
    <row r="844">
      <c r="A844" t="inlineStr">
        <is>
          <t>Baby &amp; Kids Rugs</t>
        </is>
      </c>
      <c r="BO844" t="inlineStr">
        <is>
          <t>1,2-Dibromo-3-chloropropane (DBCP)</t>
        </is>
      </c>
    </row>
    <row r="845">
      <c r="A845" t="inlineStr">
        <is>
          <t>Kids Bedding Sets</t>
        </is>
      </c>
      <c r="BO845" t="inlineStr">
        <is>
          <t>Diclofop-methyl</t>
        </is>
      </c>
    </row>
    <row r="846">
      <c r="A846" t="inlineStr">
        <is>
          <t>Cabinet Samples</t>
        </is>
      </c>
      <c r="BO846" t="inlineStr">
        <is>
          <t>Phenyl glycidyl ether</t>
        </is>
      </c>
    </row>
    <row r="847">
      <c r="A847" t="inlineStr">
        <is>
          <t>Design Project Class</t>
        </is>
      </c>
      <c r="BO847" t="inlineStr">
        <is>
          <t>Di-isodecyl phthalate (DIDP)</t>
        </is>
      </c>
    </row>
    <row r="848">
      <c r="A848" t="inlineStr">
        <is>
          <t>Media &amp; Character Shop</t>
        </is>
      </c>
      <c r="BO848" t="inlineStr">
        <is>
          <t>Erionite</t>
        </is>
      </c>
    </row>
    <row r="849">
      <c r="A849" t="inlineStr">
        <is>
          <t>Door Lining &amp; Frames</t>
        </is>
      </c>
      <c r="BO849" t="inlineStr">
        <is>
          <t>Iprovalicarb</t>
        </is>
      </c>
    </row>
    <row r="850">
      <c r="A850" t="inlineStr">
        <is>
          <t>Cold Plunges</t>
        </is>
      </c>
      <c r="BO850" t="inlineStr">
        <is>
          <t>Nickel hydroxide</t>
        </is>
      </c>
    </row>
    <row r="851">
      <c r="BO851" t="inlineStr">
        <is>
          <t>Norethisterone (Norethindrone) /Mestranol</t>
        </is>
      </c>
    </row>
    <row r="852">
      <c r="BO852" t="inlineStr">
        <is>
          <t>Anabolic steroids</t>
        </is>
      </c>
    </row>
    <row r="853">
      <c r="BO853" t="inlineStr">
        <is>
          <t>Altretamine</t>
        </is>
      </c>
    </row>
    <row r="854">
      <c r="BO854" t="inlineStr">
        <is>
          <t>Beryllium</t>
        </is>
      </c>
    </row>
    <row r="855">
      <c r="BO855" t="inlineStr">
        <is>
          <t>Beryllium Oxide</t>
        </is>
      </c>
    </row>
    <row r="856">
      <c r="BO856" t="inlineStr">
        <is>
          <t>Beryllium Sulfate</t>
        </is>
      </c>
    </row>
    <row r="857">
      <c r="BO857" t="inlineStr">
        <is>
          <t>Hexachlorocyclohexane (alpha isomer)</t>
        </is>
      </c>
    </row>
    <row r="858">
      <c r="BO858" t="inlineStr">
        <is>
          <t>Hexachlorocyclohexane (beta isomer)</t>
        </is>
      </c>
    </row>
    <row r="859">
      <c r="BO859" t="inlineStr">
        <is>
          <t>Hexachlorocyclohexane (gamma isomer)</t>
        </is>
      </c>
    </row>
    <row r="860">
      <c r="BO860" t="inlineStr">
        <is>
          <t>Cyanide salts that readily dissociate in solution (expressed as cyanide)</t>
        </is>
      </c>
    </row>
    <row r="861">
      <c r="BO861" t="inlineStr">
        <is>
          <t>Hydrogen cyanide</t>
        </is>
      </c>
    </row>
    <row r="862">
      <c r="BO862" t="inlineStr">
        <is>
          <t>Potassium cyanide</t>
        </is>
      </c>
    </row>
    <row r="863">
      <c r="BO863" t="inlineStr">
        <is>
          <t>Methylhydrazine</t>
        </is>
      </c>
    </row>
    <row r="864">
      <c r="BO864" t="inlineStr">
        <is>
          <t>Methylhydrazine sulfate</t>
        </is>
      </c>
    </row>
    <row r="865">
      <c r="BO865" t="inlineStr">
        <is>
          <t>o-Phenylenediamine</t>
        </is>
      </c>
    </row>
    <row r="866">
      <c r="BO866" t="inlineStr">
        <is>
          <t>o-Phenylenediamine dihydochloride</t>
        </is>
      </c>
    </row>
    <row r="867">
      <c r="BO867" t="inlineStr">
        <is>
          <t>Phenylhydrazine</t>
        </is>
      </c>
    </row>
    <row r="868">
      <c r="BO868" t="inlineStr">
        <is>
          <t>Phenylhydrazine hydrochloride</t>
        </is>
      </c>
    </row>
    <row r="869">
      <c r="BO869" t="inlineStr">
        <is>
          <t>Sodium cyanide</t>
        </is>
      </c>
    </row>
    <row r="870">
      <c r="BO870" t="inlineStr">
        <is>
          <t>Short form warning</t>
        </is>
      </c>
    </row>
    <row r="871">
      <c r="BO871" t="inlineStr">
        <is>
          <t>Nickel (soluble compounds)</t>
        </is>
      </c>
    </row>
    <row r="872">
      <c r="BO872" t="inlineStr">
        <is>
          <t>TRIM VX</t>
        </is>
      </c>
    </row>
    <row r="873">
      <c r="BO873" t="inlineStr">
        <is>
          <t>N-Nitrosohexamethyleneimine</t>
        </is>
      </c>
    </row>
    <row r="874">
      <c r="BO874" t="inlineStr">
        <is>
          <t>Gentian violet (Crystal violet)</t>
        </is>
      </c>
    </row>
    <row r="875">
      <c r="BO875" t="inlineStr">
        <is>
          <t>Custom warning</t>
        </is>
      </c>
    </row>
    <row r="876">
      <c r="BO876" t="inlineStr">
        <is>
          <t>2-Amino-4-chlorophenol</t>
        </is>
      </c>
    </row>
    <row r="877">
      <c r="BO877" t="inlineStr">
        <is>
          <t>2-Chloronitrobenzene</t>
        </is>
      </c>
    </row>
    <row r="878">
      <c r="BO878" t="inlineStr">
        <is>
          <t>1,4-Dichloro-2-nitrobenzene</t>
        </is>
      </c>
    </row>
    <row r="879">
      <c r="BO879" t="inlineStr">
        <is>
          <t>2,4-Dichloro-1-nitrobenzene</t>
        </is>
      </c>
    </row>
    <row r="880">
      <c r="BO880" t="inlineStr">
        <is>
          <t>Bevacizumab</t>
        </is>
      </c>
    </row>
    <row r="881">
      <c r="BO881" t="inlineStr">
        <is>
          <t>p-chloro-?,?,?-trifluorotoluene (para-Chlorobenzotrifluoride, PCBTF)</t>
        </is>
      </c>
    </row>
    <row r="882">
      <c r="BO882" t="inlineStr">
        <is>
          <t>para-Nitroanisole</t>
        </is>
      </c>
    </row>
    <row r="883">
      <c r="BO883" t="inlineStr">
        <is>
          <t>Cannabis (marijuana) smoke</t>
        </is>
      </c>
    </row>
    <row r="884">
      <c r="BO884" t="inlineStr">
        <is>
          <t>?9 -Tetrahydrocannabinol (?9 -THC)</t>
        </is>
      </c>
    </row>
    <row r="885">
      <c r="BO885" t="inlineStr">
        <is>
          <t>1,1,1-Trichloroethane</t>
        </is>
      </c>
    </row>
    <row r="886">
      <c r="BO886" t="inlineStr">
        <is>
          <t>1-Bromo-3-chloropropane</t>
        </is>
      </c>
    </row>
    <row r="887">
      <c r="BO887" t="inlineStr">
        <is>
          <t>1-Butyl glycidyl ether</t>
        </is>
      </c>
    </row>
    <row r="888">
      <c r="BO888" t="inlineStr">
        <is>
          <t>2-Ethylhexyl acrylate</t>
        </is>
      </c>
    </row>
    <row r="889">
      <c r="BO889" t="inlineStr">
        <is>
          <t>Alcoholic beverages</t>
        </is>
      </c>
    </row>
    <row r="890">
      <c r="BO890" t="inlineStr">
        <is>
          <t>Anthracene</t>
        </is>
      </c>
    </row>
    <row r="891">
      <c r="BO891" t="inlineStr">
        <is>
          <t>Bisphenol S (BPS)</t>
        </is>
      </c>
    </row>
    <row r="892">
      <c r="BO892" t="inlineStr">
        <is>
          <t>Coal-tar pitch</t>
        </is>
      </c>
    </row>
    <row r="893">
      <c r="BO893" t="inlineStr">
        <is>
          <t>Dimethyl hydrogen phosphite</t>
        </is>
      </c>
    </row>
    <row r="894">
      <c r="BO894" t="inlineStr">
        <is>
          <t>Fluoro-edenite fibrous amphibole</t>
        </is>
      </c>
    </row>
    <row r="895">
      <c r="BO895" t="inlineStr">
        <is>
          <t>Glycidyl methacrylate</t>
        </is>
      </c>
    </row>
    <row r="896">
      <c r="BO896" t="inlineStr">
        <is>
          <t>Hexachlorocyclohexane (technical grade)</t>
        </is>
      </c>
    </row>
    <row r="897">
      <c r="BO897" t="inlineStr">
        <is>
          <t>Indium tin oxide</t>
        </is>
      </c>
    </row>
    <row r="898">
      <c r="BO898" t="inlineStr">
        <is>
          <t>Leucomalachite green</t>
        </is>
      </c>
    </row>
    <row r="899">
      <c r="BO899" t="inlineStr">
        <is>
          <t>Methyl acrylate</t>
        </is>
      </c>
    </row>
    <row r="900">
      <c r="BO900" t="inlineStr">
        <is>
          <t>Molybdenum trioxide</t>
        </is>
      </c>
    </row>
    <row r="901">
      <c r="BO901" t="inlineStr">
        <is>
          <t>p-Chloro-o-toluidine, hydrochloride</t>
        </is>
      </c>
    </row>
    <row r="902">
      <c r="BO902" t="inlineStr">
        <is>
          <t>Perfluorononanoic acid (PFNA) and its salts</t>
        </is>
      </c>
    </row>
    <row r="903">
      <c r="BO903" t="inlineStr">
        <is>
          <t>Perfluorooctane sulfonic acid (PFOS) and its salts and transformation and degradation precursors</t>
        </is>
      </c>
    </row>
    <row r="904">
      <c r="BO904" t="inlineStr">
        <is>
          <t>Retinol/retinyl esters, when in daily dosages in excess of 10,000 IU, or 3,000 retinol equivalents. (NOTE: Retinol/retinyl esters are required and essential for maintenance of normal reproductive function. The recommended daily level during pregnancy is 8,000 IU.)</t>
        </is>
      </c>
    </row>
    <row r="905">
      <c r="BO905" t="inlineStr">
        <is>
          <t>Silicon carbide whiskers</t>
        </is>
      </c>
    </row>
    <row r="906">
      <c r="BO906" t="inlineStr">
        <is>
          <t>Tetrahydrofuran</t>
        </is>
      </c>
    </row>
    <row r="907">
      <c r="BO907" t="inlineStr">
        <is>
          <t>Trimethylolpropane triacrylate, technical grade</t>
        </is>
      </c>
    </row>
    <row r="908">
      <c r="BO908" t="inlineStr">
        <is>
          <t>Vismodegib</t>
        </is>
      </c>
    </row>
  </sheetData>
  <sheetProtection selectLockedCells="0" selectUnlockedCells="0" sheet="1" objects="1" insertRows="1" insertHyperlinks="1" autoFilter="1" scenarios="1" formatColumns="1" deleteColumns="1" insertColumns="1" pivotTables="1" deleteRows="1" formatCells="1" formatRows="1" sort="1" password="FBFF"/>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ET507"/>
  <sheetViews>
    <sheetView workbookViewId="0">
      <pane xSplit="2" topLeftCell="C1" activePane="topRight" state="frozen"/>
      <selection pane="topRight" activeCell="A1" sqref="A1"/>
    </sheetView>
  </sheetViews>
  <sheetFormatPr baseColWidth="8" defaultRowHeight="15"/>
  <cols>
    <col width="35.7109375" customWidth="1" min="1" max="1"/>
    <col width="25.7109375" customWidth="1" style="22" min="2" max="2"/>
    <col width="30.7109375" customWidth="1" style="22" min="3" max="3"/>
    <col width="10.7109375" customWidth="1" style="22" min="4" max="4"/>
    <col width="29.7109375" customWidth="1" style="22" min="5" max="5"/>
    <col width="27.7109375" customWidth="1" style="22" min="6" max="6"/>
    <col width="17.7109375" customWidth="1" style="22" min="7" max="7"/>
    <col width="20.7109375" customWidth="1" style="22" min="8" max="8"/>
    <col width="29.7109375" customWidth="1" style="22" min="9" max="9"/>
    <col width="14.7109375" customWidth="1" style="22" min="10" max="10"/>
    <col width="29.7109375" customWidth="1" style="22" min="11" max="11"/>
    <col width="40.7109375" customWidth="1" style="22" min="12" max="12"/>
    <col width="19.7109375" customWidth="1" style="22" min="13" max="13"/>
    <col width="21.7109375" customWidth="1" style="22" min="14" max="18"/>
    <col width="27.7109375" customWidth="1" style="22" min="19" max="19"/>
    <col width="30.7109375" customWidth="1" style="22" min="20" max="20"/>
    <col width="25.7109375" customWidth="1" style="22" min="21" max="21"/>
    <col width="19.7109375" customWidth="1" style="22" min="22" max="22"/>
    <col width="14.7109375" customWidth="1" style="22" min="23" max="23"/>
    <col width="18.7109375" customWidth="1" style="22" min="24" max="24"/>
    <col width="14.7109375" customWidth="1" style="22" min="25" max="25"/>
    <col width="26.7109375" customWidth="1" style="22" min="26" max="26"/>
    <col width="33.7109375" customWidth="1" style="22" min="27" max="27"/>
    <col width="14.7109375" customWidth="1" style="22" min="28" max="28"/>
    <col width="20.7109375" customWidth="1" style="22" min="29" max="31"/>
    <col width="19.7109375" customWidth="1" style="22" min="32" max="33"/>
    <col width="21.7109375" customWidth="1" style="22" min="34" max="34"/>
    <col width="15.7109375" customWidth="1" style="22" min="35" max="36"/>
    <col width="28.7109375" customWidth="1" style="22" min="37" max="37"/>
    <col width="29.7109375" customWidth="1" style="22" min="38" max="43"/>
    <col width="32.7109375" customWidth="1" style="22" min="44" max="44"/>
    <col width="20.7109375" customWidth="1" style="22" min="45" max="45"/>
    <col width="26.7109375" customWidth="1" style="22" min="46" max="46"/>
    <col width="22.7109375" customWidth="1" style="22" min="47" max="47"/>
    <col width="24.7109375" customWidth="1" style="22" min="48" max="48"/>
    <col width="32.7109375" customWidth="1" style="22" min="49" max="49"/>
    <col width="20.7109375" customWidth="1" style="22" min="50" max="50"/>
    <col width="26.7109375" customWidth="1" style="22" min="51" max="51"/>
    <col width="22.7109375" customWidth="1" style="22" min="52" max="52"/>
    <col width="24.7109375" customWidth="1" style="22" min="53" max="53"/>
    <col width="32.7109375" customWidth="1" style="22" min="54" max="54"/>
    <col width="20.7109375" customWidth="1" style="22" min="55" max="55"/>
    <col width="26.7109375" customWidth="1" style="22" min="56" max="56"/>
    <col width="22.7109375" customWidth="1" style="22" min="57" max="57"/>
    <col width="24.7109375" customWidth="1" style="22" min="58" max="58"/>
    <col width="17.7109375" customWidth="1" style="22" min="59" max="59"/>
    <col width="29.7109375" customWidth="1" style="22" min="60" max="60"/>
    <col width="21.7109375" customWidth="1" style="22" min="61" max="61"/>
    <col width="22.7109375" customWidth="1" style="22" min="62" max="63"/>
    <col width="21.7109375" customWidth="1" style="22" min="64" max="64"/>
    <col width="30.7109375" customWidth="1" style="22" min="65" max="66"/>
    <col width="20.7109375" customWidth="1" style="22" min="67" max="67"/>
    <col width="21.7109375" customWidth="1" style="22" min="68" max="68"/>
    <col width="13.7109375" customWidth="1" style="22" min="69" max="69"/>
    <col width="32.7109375" customWidth="1" style="22" min="70" max="70"/>
    <col width="27.7109375" customWidth="1" style="22" min="71" max="71"/>
    <col width="17.7109375" customWidth="1" style="22" min="72" max="72"/>
    <col width="13.7109375" customWidth="1" style="22" min="73" max="73"/>
    <col width="29.7109375" customWidth="1" style="22" min="74" max="74"/>
    <col width="23.7109375" customWidth="1" style="22" min="75" max="75"/>
    <col width="27.7109375" customWidth="1" style="22" min="76" max="76"/>
    <col width="21.7109375" customWidth="1" style="22" min="77" max="77"/>
    <col width="30.7109375" customWidth="1" style="22" min="78" max="78"/>
    <col width="23.7109375" customWidth="1" style="22" min="79" max="79"/>
    <col width="12.7109375" customWidth="1" style="22" min="80" max="80"/>
    <col width="38.7109375" customWidth="1" style="22" min="81" max="81"/>
    <col width="33.7109375" customWidth="1" style="22" min="82" max="82"/>
    <col width="22.7109375" customWidth="1" style="22" min="83" max="83"/>
    <col width="39.7109375" customWidth="1" style="22" min="84" max="84"/>
    <col width="43.7109375" customWidth="1" style="22" min="85" max="85"/>
    <col width="29.7109375" customWidth="1" style="22" min="86" max="86"/>
    <col width="20.7109375" customWidth="1" style="22" min="87" max="87"/>
    <col width="17.7109375" customWidth="1" style="22" min="88" max="88"/>
    <col width="34.7109375" customWidth="1" style="22" min="89" max="89"/>
    <col width="24.7109375" customWidth="1" style="22" min="90" max="90"/>
    <col width="17.7109375" customWidth="1" style="22" min="91" max="91"/>
    <col width="24.7109375" customWidth="1" style="22" min="92" max="92"/>
    <col width="21.7109375" customWidth="1" style="22" min="93" max="93"/>
    <col width="20.7109375" customWidth="1" style="22" min="94" max="94"/>
    <col width="35.7109375" customWidth="1" style="22" min="95" max="95"/>
    <col width="30.7109375" customWidth="1" style="22" min="96" max="96"/>
    <col width="27.7109375" customWidth="1" style="22" min="97" max="97"/>
    <col width="21.7109375" customWidth="1" style="22" min="98" max="98"/>
    <col width="20.7109375" customWidth="1" style="22" min="99" max="99"/>
    <col width="17.7109375" customWidth="1" style="22" min="100" max="100"/>
    <col width="15.7109375" customWidth="1" style="22" min="101" max="101"/>
    <col width="19.7109375" customWidth="1" style="22" min="102" max="103"/>
    <col width="34.7109375" customWidth="1" style="22" min="104" max="104"/>
    <col width="14.7109375" customWidth="1" style="22" min="105" max="106"/>
    <col width="16.7109375" customWidth="1" style="22" min="107" max="107"/>
    <col width="21.7109375" customWidth="1" style="22" min="108" max="109"/>
    <col width="20.7109375" customWidth="1" style="22" min="110" max="110"/>
    <col width="23.7109375" customWidth="1" style="22" min="111" max="112"/>
    <col width="19.7109375" customWidth="1" style="22" min="113" max="113"/>
    <col width="44.7109375" customWidth="1" style="22" min="114" max="114"/>
    <col width="33.7109375" customWidth="1" style="22" min="115" max="115"/>
    <col width="53.7109375" customWidth="1" style="22" min="116" max="117"/>
    <col width="21.7109375" customWidth="1" style="22" min="118" max="118"/>
    <col width="64.7109375" customWidth="1" style="22" min="119" max="119"/>
    <col width="31.7109375" customWidth="1" style="22" min="120" max="120"/>
    <col width="27.7109375" customWidth="1" style="22" min="121" max="121"/>
    <col width="19.7109375" customWidth="1" style="22" min="122" max="122"/>
    <col width="41.7109375" customWidth="1" style="22" min="123" max="123"/>
    <col width="20.7109375" customWidth="1" style="22" min="124" max="124"/>
    <col width="21.7109375" customWidth="1" style="22" min="125" max="125"/>
    <col width="18.7109375" customWidth="1" style="22" min="126" max="126"/>
    <col width="30.7109375" customWidth="1" style="22" min="127" max="127"/>
    <col width="44.7109375" customWidth="1" style="22" min="128" max="128"/>
    <col width="22.7109375" customWidth="1" style="22" min="129" max="129"/>
    <col width="42.7109375" customWidth="1" style="22" min="130" max="130"/>
    <col width="47.7109375" customWidth="1" style="22" min="131" max="131"/>
    <col width="19.7109375" customWidth="1" style="22" min="132" max="132"/>
    <col width="79.7109375" customWidth="1" style="22" min="133" max="133"/>
    <col width="30.7109375" customWidth="1" style="22" min="134" max="134"/>
    <col width="34.7109375" customWidth="1" style="22" min="135" max="135"/>
    <col width="35.7109375" customWidth="1" style="22" min="136" max="136"/>
    <col width="56.7109375" customWidth="1" style="22" min="137" max="137"/>
    <col width="54.7109375" customWidth="1" style="22" min="138" max="138"/>
    <col width="55.7109375" customWidth="1" style="22" min="139" max="139"/>
    <col width="27.7109375" customWidth="1" style="22" min="140" max="140"/>
    <col width="40.7109375" customWidth="1" style="22" min="141" max="141"/>
    <col width="44.7109375" customWidth="1" style="22" min="142" max="142"/>
    <col width="22.7109375" customWidth="1" style="22" min="143" max="144"/>
    <col width="45.7109375" customWidth="1" style="22" min="145" max="145"/>
    <col width="24.7109375" customWidth="1" style="22" min="146" max="146"/>
    <col width="31.7109375" customWidth="1" style="22" min="147" max="147"/>
    <col width="21.7109375" customWidth="1" style="22" min="148" max="148"/>
    <col width="29.7109375" customWidth="1" style="22" min="149" max="149"/>
    <col width="20.7109375" customWidth="1" style="22" min="150" max="150"/>
  </cols>
  <sheetData>
    <row r="1" hidden="1">
      <c r="B1" s="22" t="inlineStr">
        <is>
          <t>core::supplierPartNumber</t>
        </is>
      </c>
      <c r="C1" s="22" t="inlineStr">
        <is>
          <t>core::amazonStandardIdentificationNumber</t>
        </is>
      </c>
      <c r="D1" s="22" t="inlineStr">
        <is>
          <t>core::manufacturerId</t>
        </is>
      </c>
      <c r="E1" s="22" t="inlineStr">
        <is>
          <t>core::manufacturerPartNumber</t>
        </is>
      </c>
      <c r="F1" s="22" t="inlineStr">
        <is>
          <t>core::universalProductCode</t>
        </is>
      </c>
      <c r="G1" s="22" t="inlineStr">
        <is>
          <t>core::productName</t>
        </is>
      </c>
      <c r="H1" s="22" t="inlineStr">
        <is>
          <t>core::collectionName</t>
        </is>
      </c>
      <c r="I1" s="22" t="inlineStr">
        <is>
          <t>core::manufacturerProductUrl</t>
        </is>
      </c>
      <c r="J1" s="22" t="inlineStr">
        <is>
          <t>price::wholesalePrice</t>
        </is>
      </c>
      <c r="K1" s="22" t="inlineStr">
        <is>
          <t>price::minimumAdvertizedPrice</t>
        </is>
      </c>
      <c r="L1" s="22" t="inlineStr">
        <is>
          <t>price::manufacturerSuggestedRetailPrice</t>
        </is>
      </c>
      <c r="M1" s="22" t="inlineStr">
        <is>
          <t>featureDescription::romanceCopy</t>
        </is>
      </c>
      <c r="N1" s="22" t="inlineStr">
        <is>
          <t>featureDescription::genericFeatures</t>
        </is>
      </c>
      <c r="O1" s="22" t="inlineStr">
        <is>
          <t>featureDescription::genericFeatures</t>
        </is>
      </c>
      <c r="P1" s="22" t="inlineStr">
        <is>
          <t>featureDescription::genericFeatures</t>
        </is>
      </c>
      <c r="Q1" s="22" t="inlineStr">
        <is>
          <t>featureDescription::genericFeatures</t>
        </is>
      </c>
      <c r="R1" s="22" t="inlineStr">
        <is>
          <t>featureDescription::genericFeatures</t>
        </is>
      </c>
      <c r="S1" s="22" t="inlineStr">
        <is>
          <t>shippingAndFulfillment::minimumOrderQuantity</t>
        </is>
      </c>
      <c r="T1" s="22" t="inlineStr">
        <is>
          <t>shippingAndFulfillment::forceQuantityMultiplier</t>
        </is>
      </c>
      <c r="U1" s="22" t="inlineStr">
        <is>
          <t>shippingAndFulfillment::displaySetQuantity</t>
        </is>
      </c>
      <c r="V1" s="22" t="inlineStr">
        <is>
          <t>shippingAndFulfillment::productWeight</t>
        </is>
      </c>
      <c r="W1" s="22" t="inlineStr">
        <is>
          <t>shippingAndFulfillment::shipType</t>
        </is>
      </c>
      <c r="X1" s="22" t="inlineStr">
        <is>
          <t>shippingAndFulfillment::freightClass</t>
        </is>
      </c>
      <c r="Y1" s="22" t="inlineStr">
        <is>
          <t>shippingAndFulfillment::leadTime</t>
        </is>
      </c>
      <c r="Z1" s="22" t="inlineStr">
        <is>
          <t>shippingAndFulfillment::replacementLeadTime</t>
        </is>
      </c>
      <c r="AA1" s="22" t="inlineStr">
        <is>
          <t>shippingAndFulfillment::nationalMotorFreightClass</t>
        </is>
      </c>
      <c r="AB1" s="22" t="inlineStr">
        <is>
          <t>shippingAndFulfillment::flatPack</t>
        </is>
      </c>
      <c r="AC1" s="22" t="inlineStr">
        <is>
          <t>shippingAndFulfillment::shipPalletized</t>
        </is>
      </c>
      <c r="AD1" s="22" t="inlineStr">
        <is>
          <t>shippingAndFulfillment::weight</t>
        </is>
      </c>
      <c r="AE1" s="22" t="inlineStr">
        <is>
          <t>shippingAndFulfillment::height</t>
        </is>
      </c>
      <c r="AF1" s="22" t="inlineStr">
        <is>
          <t>shippingAndFulfillment::width</t>
        </is>
      </c>
      <c r="AG1" s="22" t="inlineStr">
        <is>
          <t>shippingAndFulfillment::depth</t>
        </is>
      </c>
      <c r="AH1" s="22" t="inlineStr">
        <is>
          <t>propSixtyFive::warningRequired</t>
        </is>
      </c>
      <c r="AI1" s="22" t="inlineStr">
        <is>
          <t>propSixtyFive::chemicalId</t>
        </is>
      </c>
      <c r="AJ1" s="22" t="inlineStr">
        <is>
          <t>propSixtyFive::toxicity</t>
        </is>
      </c>
      <c r="AK1" s="22" t="inlineStr">
        <is>
          <t>propSixtyFive::countryOfManufacturer</t>
        </is>
      </c>
      <c r="AL1" s="22" t="inlineStr">
        <is>
          <t>media::imageValue</t>
        </is>
      </c>
      <c r="AM1" s="22" t="inlineStr">
        <is>
          <t>media::imageValue</t>
        </is>
      </c>
      <c r="AN1" s="22" t="inlineStr">
        <is>
          <t>media::imageValue</t>
        </is>
      </c>
      <c r="AO1" s="22" t="inlineStr">
        <is>
          <t>media::imageValue</t>
        </is>
      </c>
      <c r="AP1" s="22" t="inlineStr">
        <is>
          <t>media::imageValue</t>
        </is>
      </c>
      <c r="AQ1" s="22" t="inlineStr">
        <is>
          <t>media::videoValue</t>
        </is>
      </c>
      <c r="AR1" s="22" t="inlineStr">
        <is>
          <t>media::documentValue</t>
        </is>
      </c>
      <c r="AS1" s="22" t="inlineStr">
        <is>
          <t>media::documentType</t>
        </is>
      </c>
      <c r="AT1" s="22" t="inlineStr">
        <is>
          <t>media::legalDocumentType</t>
        </is>
      </c>
      <c r="AU1" s="22" t="inlineStr">
        <is>
          <t>media::regionType</t>
        </is>
      </c>
      <c r="AV1" s="22" t="inlineStr">
        <is>
          <t>media::language</t>
        </is>
      </c>
      <c r="AW1" s="22" t="inlineStr">
        <is>
          <t>media::documentValue</t>
        </is>
      </c>
      <c r="AX1" s="22" t="inlineStr">
        <is>
          <t>media::documentType</t>
        </is>
      </c>
      <c r="AY1" s="22" t="inlineStr">
        <is>
          <t>media::legalDocumentType</t>
        </is>
      </c>
      <c r="AZ1" s="22" t="inlineStr">
        <is>
          <t>media::regionType</t>
        </is>
      </c>
      <c r="BA1" s="22" t="inlineStr">
        <is>
          <t>media::language</t>
        </is>
      </c>
      <c r="BB1" s="22" t="inlineStr">
        <is>
          <t>media::documentValue</t>
        </is>
      </c>
      <c r="BC1" s="22" t="inlineStr">
        <is>
          <t>media::documentType</t>
        </is>
      </c>
      <c r="BD1" s="22" t="inlineStr">
        <is>
          <t>media::legalDocumentType</t>
        </is>
      </c>
      <c r="BE1" s="22" t="inlineStr">
        <is>
          <t>media::regionType</t>
        </is>
      </c>
      <c r="BF1" s="22" t="inlineStr">
        <is>
          <t>media::language</t>
        </is>
      </c>
      <c r="BG1" s="22" t="inlineStr">
        <is>
          <t>5620</t>
        </is>
      </c>
      <c r="BH1" s="22" t="inlineStr">
        <is>
          <t>252622</t>
        </is>
      </c>
      <c r="BI1" s="22" t="inlineStr">
        <is>
          <t>5635</t>
        </is>
      </c>
      <c r="BJ1" s="22" t="inlineStr">
        <is>
          <t>5911</t>
        </is>
      </c>
      <c r="BK1" s="22" t="inlineStr">
        <is>
          <t>5636</t>
        </is>
      </c>
      <c r="BL1" s="22" t="inlineStr">
        <is>
          <t>382543</t>
        </is>
      </c>
      <c r="BM1" s="22" t="inlineStr">
        <is>
          <t>5634</t>
        </is>
      </c>
      <c r="BN1" s="22" t="inlineStr">
        <is>
          <t>5678</t>
        </is>
      </c>
      <c r="BO1" s="22" t="inlineStr">
        <is>
          <t>252625</t>
        </is>
      </c>
      <c r="BP1" s="22" t="inlineStr">
        <is>
          <t>5621</t>
        </is>
      </c>
      <c r="BQ1" s="22" t="inlineStr">
        <is>
          <t>5625</t>
        </is>
      </c>
      <c r="BR1" s="22" t="inlineStr">
        <is>
          <t>222860</t>
        </is>
      </c>
      <c r="BS1" s="22" t="inlineStr">
        <is>
          <t>222861</t>
        </is>
      </c>
      <c r="BT1" s="22" t="inlineStr">
        <is>
          <t>5624</t>
        </is>
      </c>
      <c r="BU1" s="22" t="inlineStr">
        <is>
          <t>220722</t>
        </is>
      </c>
      <c r="BV1" s="22" t="inlineStr">
        <is>
          <t>221251</t>
        </is>
      </c>
      <c r="BW1" s="22" t="inlineStr">
        <is>
          <t>218007</t>
        </is>
      </c>
      <c r="BX1" s="22" t="inlineStr">
        <is>
          <t>5648</t>
        </is>
      </c>
      <c r="BY1" s="22" t="inlineStr">
        <is>
          <t>5649</t>
        </is>
      </c>
      <c r="BZ1" s="22" t="inlineStr">
        <is>
          <t>5643</t>
        </is>
      </c>
      <c r="CA1" s="22" t="inlineStr">
        <is>
          <t>5645</t>
        </is>
      </c>
      <c r="CB1" s="22" t="inlineStr">
        <is>
          <t>189876</t>
        </is>
      </c>
      <c r="CC1" s="22" t="inlineStr">
        <is>
          <t>201479</t>
        </is>
      </c>
      <c r="CD1" s="22" t="inlineStr">
        <is>
          <t>5663</t>
        </is>
      </c>
      <c r="CE1" s="22" t="inlineStr">
        <is>
          <t>242478</t>
        </is>
      </c>
      <c r="CF1" s="22" t="inlineStr">
        <is>
          <t>227966</t>
        </is>
      </c>
      <c r="CG1" s="22" t="inlineStr">
        <is>
          <t>244566</t>
        </is>
      </c>
      <c r="CH1" s="22" t="inlineStr">
        <is>
          <t>293480</t>
        </is>
      </c>
      <c r="CI1" s="22" t="inlineStr">
        <is>
          <t>293547</t>
        </is>
      </c>
      <c r="CJ1" s="22" t="inlineStr">
        <is>
          <t>185254</t>
        </is>
      </c>
      <c r="CK1" s="22" t="inlineStr">
        <is>
          <t>344955</t>
        </is>
      </c>
      <c r="CL1" s="22" t="inlineStr">
        <is>
          <t>346869</t>
        </is>
      </c>
      <c r="CM1" s="22" t="inlineStr">
        <is>
          <t>351619</t>
        </is>
      </c>
      <c r="CN1" s="22" t="inlineStr">
        <is>
          <t>367149</t>
        </is>
      </c>
      <c r="CO1" s="22" t="inlineStr">
        <is>
          <t>351641</t>
        </is>
      </c>
      <c r="CP1" s="22" t="inlineStr">
        <is>
          <t>352351</t>
        </is>
      </c>
      <c r="CQ1" s="22" t="inlineStr">
        <is>
          <t>352342</t>
        </is>
      </c>
      <c r="CR1" s="22" t="inlineStr">
        <is>
          <t>351649</t>
        </is>
      </c>
      <c r="CS1" s="22" t="inlineStr">
        <is>
          <t>5949</t>
        </is>
      </c>
      <c r="CT1" s="22" t="inlineStr">
        <is>
          <t>5950</t>
        </is>
      </c>
      <c r="CU1" s="22" t="inlineStr">
        <is>
          <t>5654</t>
        </is>
      </c>
      <c r="CV1" s="22" t="inlineStr">
        <is>
          <t>368645</t>
        </is>
      </c>
      <c r="CW1" s="22" t="inlineStr">
        <is>
          <t>370848</t>
        </is>
      </c>
      <c r="CX1" s="22" t="inlineStr">
        <is>
          <t>5910</t>
        </is>
      </c>
      <c r="CY1" s="22" t="inlineStr">
        <is>
          <t>379875</t>
        </is>
      </c>
      <c r="CZ1" s="22" t="inlineStr">
        <is>
          <t>292794</t>
        </is>
      </c>
      <c r="DA1" s="22" t="inlineStr">
        <is>
          <t>220267</t>
        </is>
      </c>
      <c r="DB1" s="22" t="inlineStr">
        <is>
          <t>220265</t>
        </is>
      </c>
      <c r="DC1" s="22" t="inlineStr">
        <is>
          <t>384286</t>
        </is>
      </c>
      <c r="DD1" s="22" t="inlineStr">
        <is>
          <t>393970</t>
        </is>
      </c>
      <c r="DE1" s="22" t="inlineStr">
        <is>
          <t>400764</t>
        </is>
      </c>
      <c r="DF1" s="22" t="inlineStr">
        <is>
          <t>420139</t>
        </is>
      </c>
      <c r="DG1" s="22" t="inlineStr">
        <is>
          <t>5920</t>
        </is>
      </c>
      <c r="DH1" s="22" t="inlineStr">
        <is>
          <t>5916</t>
        </is>
      </c>
      <c r="DI1" s="22" t="inlineStr">
        <is>
          <t>5938</t>
        </is>
      </c>
      <c r="DJ1" s="22" t="inlineStr">
        <is>
          <t>5671</t>
        </is>
      </c>
      <c r="DK1" s="22" t="inlineStr">
        <is>
          <t>201426</t>
        </is>
      </c>
      <c r="DL1" s="22" t="inlineStr">
        <is>
          <t>224759</t>
        </is>
      </c>
      <c r="DM1" s="22" t="inlineStr">
        <is>
          <t>224980</t>
        </is>
      </c>
      <c r="DN1" s="22" t="inlineStr">
        <is>
          <t>364708</t>
        </is>
      </c>
      <c r="DO1" s="22" t="inlineStr">
        <is>
          <t>236083</t>
        </is>
      </c>
      <c r="DP1" s="22" t="inlineStr">
        <is>
          <t>249364</t>
        </is>
      </c>
      <c r="DQ1" s="22" t="inlineStr">
        <is>
          <t>251110</t>
        </is>
      </c>
      <c r="DR1" s="22" t="inlineStr">
        <is>
          <t>310560</t>
        </is>
      </c>
      <c r="DS1" s="22" t="inlineStr">
        <is>
          <t>339330</t>
        </is>
      </c>
      <c r="DT1" s="22" t="inlineStr">
        <is>
          <t>373560</t>
        </is>
      </c>
      <c r="DU1" s="22" t="inlineStr">
        <is>
          <t>340810</t>
        </is>
      </c>
      <c r="DV1" s="22" t="inlineStr">
        <is>
          <t>341070</t>
        </is>
      </c>
      <c r="DW1" s="22" t="inlineStr">
        <is>
          <t>369614</t>
        </is>
      </c>
      <c r="DX1" s="22" t="inlineStr">
        <is>
          <t>368262</t>
        </is>
      </c>
      <c r="DY1" s="22" t="inlineStr">
        <is>
          <t>375302</t>
        </is>
      </c>
      <c r="DZ1" s="22" t="inlineStr">
        <is>
          <t>376202</t>
        </is>
      </c>
      <c r="EA1" s="22" t="inlineStr">
        <is>
          <t>382060</t>
        </is>
      </c>
      <c r="EB1" s="22" t="inlineStr">
        <is>
          <t>385921</t>
        </is>
      </c>
      <c r="EC1" s="22" t="inlineStr">
        <is>
          <t>415242</t>
        </is>
      </c>
      <c r="ED1" s="22" t="inlineStr">
        <is>
          <t>421601</t>
        </is>
      </c>
      <c r="EE1" s="22" t="inlineStr">
        <is>
          <t>5675</t>
        </is>
      </c>
      <c r="EF1" s="22" t="inlineStr">
        <is>
          <t>5676</t>
        </is>
      </c>
      <c r="EG1" s="22" t="inlineStr">
        <is>
          <t>252485</t>
        </is>
      </c>
      <c r="EH1" s="22" t="inlineStr">
        <is>
          <t>252486</t>
        </is>
      </c>
      <c r="EI1" s="22" t="inlineStr">
        <is>
          <t>252487</t>
        </is>
      </c>
      <c r="EJ1" s="22" t="inlineStr">
        <is>
          <t>5681</t>
        </is>
      </c>
      <c r="EK1" s="22" t="inlineStr">
        <is>
          <t>217965</t>
        </is>
      </c>
      <c r="EL1" s="22" t="inlineStr">
        <is>
          <t>5674</t>
        </is>
      </c>
      <c r="EM1" s="22" t="inlineStr">
        <is>
          <t>5682</t>
        </is>
      </c>
      <c r="EN1" s="22" t="inlineStr">
        <is>
          <t>222775</t>
        </is>
      </c>
      <c r="EO1" s="22" t="inlineStr">
        <is>
          <t>222778</t>
        </is>
      </c>
      <c r="EP1" s="22" t="inlineStr">
        <is>
          <t>228934</t>
        </is>
      </c>
      <c r="EQ1" s="22" t="inlineStr">
        <is>
          <t>333812</t>
        </is>
      </c>
      <c r="ER1" s="22" t="inlineStr">
        <is>
          <t>254186</t>
        </is>
      </c>
      <c r="ES1" s="22" t="inlineStr">
        <is>
          <t>255305</t>
        </is>
      </c>
      <c r="ET1" s="22" t="inlineStr">
        <is>
          <t>256090</t>
        </is>
      </c>
    </row>
    <row r="2">
      <c r="B2" s="23" t="inlineStr">
        <is>
          <t>Basic Information</t>
        </is>
      </c>
      <c r="C2" s="40" t="n"/>
      <c r="D2" s="40" t="n"/>
      <c r="E2" s="40" t="n"/>
      <c r="F2" s="40" t="n"/>
      <c r="G2" s="40" t="n"/>
      <c r="H2" s="40" t="n"/>
      <c r="I2" s="41" t="n"/>
      <c r="J2" s="24" t="inlineStr">
        <is>
          <t>Pricing</t>
        </is>
      </c>
      <c r="K2" s="40" t="n"/>
      <c r="L2" s="41" t="n"/>
      <c r="M2" s="25" t="inlineStr">
        <is>
          <t>Marketing Information</t>
        </is>
      </c>
      <c r="N2" s="40" t="n"/>
      <c r="O2" s="40" t="n"/>
      <c r="P2" s="40" t="n"/>
      <c r="Q2" s="40" t="n"/>
      <c r="R2" s="41" t="n"/>
      <c r="S2" s="26" t="inlineStr">
        <is>
          <t>Fulfillment Information</t>
        </is>
      </c>
      <c r="T2" s="40" t="n"/>
      <c r="U2" s="40" t="n"/>
      <c r="V2" s="40" t="n"/>
      <c r="W2" s="40" t="n"/>
      <c r="X2" s="40" t="n"/>
      <c r="Y2" s="40" t="n"/>
      <c r="Z2" s="40" t="n"/>
      <c r="AA2" s="40" t="n"/>
      <c r="AB2" s="40" t="n"/>
      <c r="AC2" s="41" t="n"/>
      <c r="AD2" s="27" t="inlineStr">
        <is>
          <t>Carton Details</t>
        </is>
      </c>
      <c r="AE2" s="40" t="n"/>
      <c r="AF2" s="40" t="n"/>
      <c r="AG2" s="41" t="n"/>
      <c r="AH2" s="28" t="inlineStr">
        <is>
          <t>Compliance</t>
        </is>
      </c>
      <c r="AI2" s="40" t="n"/>
      <c r="AJ2" s="40" t="n"/>
      <c r="AK2" s="41" t="n"/>
      <c r="AL2" s="29" t="inlineStr">
        <is>
          <t>Media</t>
        </is>
      </c>
      <c r="AM2" s="40" t="n"/>
      <c r="AN2" s="40" t="n"/>
      <c r="AO2" s="40" t="n"/>
      <c r="AP2" s="40" t="n"/>
      <c r="AQ2" s="40" t="n"/>
      <c r="AR2" s="40" t="n"/>
      <c r="AS2" s="40" t="n"/>
      <c r="AT2" s="40" t="n"/>
      <c r="AU2" s="40" t="n"/>
      <c r="AV2" s="40" t="n"/>
      <c r="AW2" s="40" t="n"/>
      <c r="AX2" s="40" t="n"/>
      <c r="AY2" s="40" t="n"/>
      <c r="AZ2" s="40" t="n"/>
      <c r="BA2" s="40" t="n"/>
      <c r="BB2" s="40" t="n"/>
      <c r="BC2" s="40" t="n"/>
      <c r="BD2" s="40" t="n"/>
      <c r="BE2" s="40" t="n"/>
      <c r="BF2" s="41" t="n"/>
      <c r="BG2" s="30" t="inlineStr">
        <is>
          <t>Attributes</t>
        </is>
      </c>
      <c r="BH2" s="40" t="n"/>
      <c r="BI2" s="40" t="n"/>
      <c r="BJ2" s="40" t="n"/>
      <c r="BK2" s="40" t="n"/>
      <c r="BL2" s="40" t="n"/>
      <c r="BM2" s="40" t="n"/>
      <c r="BN2" s="40" t="n"/>
      <c r="BO2" s="40" t="n"/>
      <c r="BP2" s="40" t="n"/>
      <c r="BQ2" s="40" t="n"/>
      <c r="BR2" s="40" t="n"/>
      <c r="BS2" s="40" t="n"/>
      <c r="BT2" s="40" t="n"/>
      <c r="BU2" s="40" t="n"/>
      <c r="BV2" s="40" t="n"/>
      <c r="BW2" s="40" t="n"/>
      <c r="BX2" s="40" t="n"/>
      <c r="BY2" s="40" t="n"/>
      <c r="BZ2" s="40" t="n"/>
      <c r="CA2" s="40" t="n"/>
      <c r="CB2" s="40" t="n"/>
      <c r="CC2" s="40" t="n"/>
      <c r="CD2" s="40" t="n"/>
      <c r="CE2" s="40" t="n"/>
      <c r="CF2" s="40" t="n"/>
      <c r="CG2" s="40" t="n"/>
      <c r="CH2" s="40" t="n"/>
      <c r="CI2" s="40" t="n"/>
      <c r="CJ2" s="40" t="n"/>
      <c r="CK2" s="40" t="n"/>
      <c r="CL2" s="40" t="n"/>
      <c r="CM2" s="40" t="n"/>
      <c r="CN2" s="40" t="n"/>
      <c r="CO2" s="40" t="n"/>
      <c r="CP2" s="40" t="n"/>
      <c r="CQ2" s="40" t="n"/>
      <c r="CR2" s="40" t="n"/>
      <c r="CS2" s="40" t="n"/>
      <c r="CT2" s="40" t="n"/>
      <c r="CU2" s="40" t="n"/>
      <c r="CV2" s="40" t="n"/>
      <c r="CW2" s="40" t="n"/>
      <c r="CX2" s="40" t="n"/>
      <c r="CY2" s="40" t="n"/>
      <c r="CZ2" s="40" t="n"/>
      <c r="DA2" s="40" t="n"/>
      <c r="DB2" s="40" t="n"/>
      <c r="DC2" s="40" t="n"/>
      <c r="DD2" s="40" t="n"/>
      <c r="DE2" s="40" t="n"/>
      <c r="DF2" s="40" t="n"/>
      <c r="DG2" s="40" t="n"/>
      <c r="DH2" s="40" t="n"/>
      <c r="DI2" s="40" t="n"/>
      <c r="DJ2" s="40" t="n"/>
      <c r="DK2" s="40" t="n"/>
      <c r="DL2" s="40" t="n"/>
      <c r="DM2" s="40" t="n"/>
      <c r="DN2" s="40" t="n"/>
      <c r="DO2" s="40" t="n"/>
      <c r="DP2" s="40" t="n"/>
      <c r="DQ2" s="40" t="n"/>
      <c r="DR2" s="40" t="n"/>
      <c r="DS2" s="40" t="n"/>
      <c r="DT2" s="40" t="n"/>
      <c r="DU2" s="40" t="n"/>
      <c r="DV2" s="40" t="n"/>
      <c r="DW2" s="40" t="n"/>
      <c r="DX2" s="40" t="n"/>
      <c r="DY2" s="40" t="n"/>
      <c r="DZ2" s="40" t="n"/>
      <c r="EA2" s="40" t="n"/>
      <c r="EB2" s="40" t="n"/>
      <c r="EC2" s="40" t="n"/>
      <c r="ED2" s="40" t="n"/>
      <c r="EE2" s="40" t="n"/>
      <c r="EF2" s="40" t="n"/>
      <c r="EG2" s="40" t="n"/>
      <c r="EH2" s="40" t="n"/>
      <c r="EI2" s="40" t="n"/>
      <c r="EJ2" s="40" t="n"/>
      <c r="EK2" s="40" t="n"/>
      <c r="EL2" s="40" t="n"/>
      <c r="EM2" s="40" t="n"/>
      <c r="EN2" s="40" t="n"/>
      <c r="EO2" s="40" t="n"/>
      <c r="EP2" s="40" t="n"/>
      <c r="EQ2" s="40" t="n"/>
      <c r="ER2" s="40" t="n"/>
      <c r="ES2" s="40" t="n"/>
      <c r="ET2" s="41" t="n"/>
    </row>
    <row r="3">
      <c r="B3" s="31" t="inlineStr">
        <is>
          <t>Required</t>
        </is>
      </c>
      <c r="C3" s="31" t="inlineStr">
        <is>
          <t>Additional</t>
        </is>
      </c>
      <c r="D3" s="31" t="inlineStr">
        <is>
          <t>Required</t>
        </is>
      </c>
      <c r="E3" s="31" t="inlineStr">
        <is>
          <t>Required</t>
        </is>
      </c>
      <c r="F3" s="31" t="inlineStr">
        <is>
          <t>Recommended</t>
        </is>
      </c>
      <c r="G3" s="31" t="inlineStr">
        <is>
          <t>Required</t>
        </is>
      </c>
      <c r="H3" s="31" t="inlineStr">
        <is>
          <t>Additional</t>
        </is>
      </c>
      <c r="I3" s="31" t="inlineStr">
        <is>
          <t>Additional</t>
        </is>
      </c>
      <c r="J3" s="31" t="inlineStr">
        <is>
          <t>Required</t>
        </is>
      </c>
      <c r="K3" s="31" t="inlineStr">
        <is>
          <t>Additional</t>
        </is>
      </c>
      <c r="L3" s="31" t="inlineStr">
        <is>
          <t>Additional</t>
        </is>
      </c>
      <c r="M3" s="31" t="inlineStr">
        <is>
          <t>Conditional</t>
        </is>
      </c>
      <c r="N3" s="31" t="inlineStr">
        <is>
          <t>Conditional</t>
        </is>
      </c>
      <c r="O3" s="31" t="inlineStr">
        <is>
          <t>Conditional</t>
        </is>
      </c>
      <c r="P3" s="31" t="inlineStr">
        <is>
          <t>Conditional</t>
        </is>
      </c>
      <c r="Q3" s="31" t="inlineStr">
        <is>
          <t>Conditional</t>
        </is>
      </c>
      <c r="R3" s="31" t="inlineStr">
        <is>
          <t>Conditional</t>
        </is>
      </c>
      <c r="S3" s="31" t="inlineStr">
        <is>
          <t>Required</t>
        </is>
      </c>
      <c r="T3" s="31" t="inlineStr">
        <is>
          <t>Required</t>
        </is>
      </c>
      <c r="U3" s="31" t="inlineStr">
        <is>
          <t>Required</t>
        </is>
      </c>
      <c r="V3" s="31" t="inlineStr">
        <is>
          <t>Required</t>
        </is>
      </c>
      <c r="W3" s="31" t="inlineStr">
        <is>
          <t>Required</t>
        </is>
      </c>
      <c r="X3" s="31" t="inlineStr">
        <is>
          <t>Conditional</t>
        </is>
      </c>
      <c r="Y3" s="31" t="inlineStr">
        <is>
          <t>Required</t>
        </is>
      </c>
      <c r="Z3" s="31" t="inlineStr">
        <is>
          <t>Required</t>
        </is>
      </c>
      <c r="AA3" s="31" t="inlineStr">
        <is>
          <t>Additional</t>
        </is>
      </c>
      <c r="AB3" s="31" t="inlineStr">
        <is>
          <t>Additional</t>
        </is>
      </c>
      <c r="AC3" s="31" t="inlineStr">
        <is>
          <t>Additional</t>
        </is>
      </c>
      <c r="AD3" s="31" t="inlineStr">
        <is>
          <t>Required</t>
        </is>
      </c>
      <c r="AE3" s="31" t="inlineStr">
        <is>
          <t>Required</t>
        </is>
      </c>
      <c r="AF3" s="31" t="inlineStr">
        <is>
          <t>Required</t>
        </is>
      </c>
      <c r="AG3" s="31" t="inlineStr">
        <is>
          <t>Required</t>
        </is>
      </c>
      <c r="AH3" s="31" t="inlineStr">
        <is>
          <t>Required</t>
        </is>
      </c>
      <c r="AI3" s="31" t="inlineStr">
        <is>
          <t>Conditional</t>
        </is>
      </c>
      <c r="AJ3" s="31" t="inlineStr">
        <is>
          <t>Conditional</t>
        </is>
      </c>
      <c r="AK3" s="31" t="inlineStr">
        <is>
          <t>Required</t>
        </is>
      </c>
      <c r="AL3" s="31" t="inlineStr">
        <is>
          <t>Required</t>
        </is>
      </c>
      <c r="AM3" s="31" t="inlineStr">
        <is>
          <t>Additional</t>
        </is>
      </c>
      <c r="AN3" s="31" t="inlineStr">
        <is>
          <t>Additional</t>
        </is>
      </c>
      <c r="AO3" s="31" t="inlineStr">
        <is>
          <t>Additional</t>
        </is>
      </c>
      <c r="AP3" s="31" t="inlineStr">
        <is>
          <t>Additional</t>
        </is>
      </c>
      <c r="AQ3" s="31" t="inlineStr">
        <is>
          <t>Additional</t>
        </is>
      </c>
      <c r="AR3" s="31" t="inlineStr">
        <is>
          <t>Conditional</t>
        </is>
      </c>
      <c r="AS3" s="31" t="inlineStr">
        <is>
          <t>Conditional</t>
        </is>
      </c>
      <c r="AT3" s="31" t="inlineStr">
        <is>
          <t>Conditional</t>
        </is>
      </c>
      <c r="AU3" s="31" t="inlineStr">
        <is>
          <t>Conditional</t>
        </is>
      </c>
      <c r="AV3" s="31" t="inlineStr">
        <is>
          <t>Conditional</t>
        </is>
      </c>
      <c r="AW3" s="31" t="inlineStr">
        <is>
          <t>Conditional</t>
        </is>
      </c>
      <c r="AX3" s="31" t="inlineStr">
        <is>
          <t>Conditional</t>
        </is>
      </c>
      <c r="AY3" s="31" t="inlineStr">
        <is>
          <t>Conditional</t>
        </is>
      </c>
      <c r="AZ3" s="31" t="inlineStr">
        <is>
          <t>Conditional</t>
        </is>
      </c>
      <c r="BA3" s="31" t="inlineStr">
        <is>
          <t>Conditional</t>
        </is>
      </c>
      <c r="BB3" s="31" t="inlineStr">
        <is>
          <t>Conditional</t>
        </is>
      </c>
      <c r="BC3" s="31" t="inlineStr">
        <is>
          <t>Conditional</t>
        </is>
      </c>
      <c r="BD3" s="31" t="inlineStr">
        <is>
          <t>Conditional</t>
        </is>
      </c>
      <c r="BE3" s="31" t="inlineStr">
        <is>
          <t>Conditional</t>
        </is>
      </c>
      <c r="BF3" s="31" t="inlineStr">
        <is>
          <t>Conditional</t>
        </is>
      </c>
      <c r="BG3" s="31" t="inlineStr">
        <is>
          <t>Required</t>
        </is>
      </c>
      <c r="BH3" s="31" t="inlineStr">
        <is>
          <t>Recommended</t>
        </is>
      </c>
      <c r="BI3" s="31" t="inlineStr">
        <is>
          <t>Required</t>
        </is>
      </c>
      <c r="BJ3" s="31" t="inlineStr">
        <is>
          <t>Required</t>
        </is>
      </c>
      <c r="BK3" s="31" t="inlineStr">
        <is>
          <t>Required</t>
        </is>
      </c>
      <c r="BL3" s="31" t="inlineStr">
        <is>
          <t>Recommended</t>
        </is>
      </c>
      <c r="BM3" s="31" t="inlineStr">
        <is>
          <t>Recommended</t>
        </is>
      </c>
      <c r="BN3" s="31" t="inlineStr">
        <is>
          <t>Recommended</t>
        </is>
      </c>
      <c r="BO3" s="31" t="inlineStr">
        <is>
          <t>Recommended</t>
        </is>
      </c>
      <c r="BP3" s="31" t="inlineStr">
        <is>
          <t>Required</t>
        </is>
      </c>
      <c r="BQ3" s="31" t="inlineStr">
        <is>
          <t>Required</t>
        </is>
      </c>
      <c r="BR3" s="31" t="inlineStr">
        <is>
          <t>Recommended</t>
        </is>
      </c>
      <c r="BS3" s="31" t="inlineStr">
        <is>
          <t>Recommended</t>
        </is>
      </c>
      <c r="BT3" s="31" t="inlineStr">
        <is>
          <t>Recommended</t>
        </is>
      </c>
      <c r="BU3" s="31" t="inlineStr">
        <is>
          <t>Recommended</t>
        </is>
      </c>
      <c r="BV3" s="31" t="inlineStr">
        <is>
          <t>Recommended</t>
        </is>
      </c>
      <c r="BW3" s="31" t="inlineStr">
        <is>
          <t>Recommended</t>
        </is>
      </c>
      <c r="BX3" s="31" t="inlineStr">
        <is>
          <t>Recommended</t>
        </is>
      </c>
      <c r="BY3" s="31" t="inlineStr">
        <is>
          <t>Recommended</t>
        </is>
      </c>
      <c r="BZ3" s="31" t="inlineStr">
        <is>
          <t>Recommended</t>
        </is>
      </c>
      <c r="CA3" s="31" t="inlineStr">
        <is>
          <t>Required</t>
        </is>
      </c>
      <c r="CB3" s="31" t="inlineStr">
        <is>
          <t>Required</t>
        </is>
      </c>
      <c r="CC3" s="31" t="inlineStr">
        <is>
          <t>Required</t>
        </is>
      </c>
      <c r="CD3" s="31" t="inlineStr">
        <is>
          <t>Recommended</t>
        </is>
      </c>
      <c r="CE3" s="31" t="inlineStr">
        <is>
          <t>Recommended</t>
        </is>
      </c>
      <c r="CF3" s="31" t="inlineStr">
        <is>
          <t>Required</t>
        </is>
      </c>
      <c r="CG3" s="31" t="inlineStr">
        <is>
          <t>Additional</t>
        </is>
      </c>
      <c r="CH3" s="31" t="inlineStr">
        <is>
          <t>Recommended</t>
        </is>
      </c>
      <c r="CI3" s="31" t="inlineStr">
        <is>
          <t>Recommended</t>
        </is>
      </c>
      <c r="CJ3" s="31" t="inlineStr">
        <is>
          <t>Recommended</t>
        </is>
      </c>
      <c r="CK3" s="31" t="inlineStr">
        <is>
          <t>Required</t>
        </is>
      </c>
      <c r="CL3" s="31" t="inlineStr">
        <is>
          <t>Required</t>
        </is>
      </c>
      <c r="CM3" s="31" t="inlineStr">
        <is>
          <t>Required</t>
        </is>
      </c>
      <c r="CN3" s="31" t="inlineStr">
        <is>
          <t>Required</t>
        </is>
      </c>
      <c r="CO3" s="31" t="inlineStr">
        <is>
          <t>Additional</t>
        </is>
      </c>
      <c r="CP3" s="31" t="inlineStr">
        <is>
          <t>Additional</t>
        </is>
      </c>
      <c r="CQ3" s="31" t="inlineStr">
        <is>
          <t>Additional</t>
        </is>
      </c>
      <c r="CR3" s="31" t="inlineStr">
        <is>
          <t>Additional</t>
        </is>
      </c>
      <c r="CS3" s="31" t="inlineStr">
        <is>
          <t>Recommended</t>
        </is>
      </c>
      <c r="CT3" s="31" t="inlineStr">
        <is>
          <t>Recommended</t>
        </is>
      </c>
      <c r="CU3" s="31" t="inlineStr">
        <is>
          <t>Required</t>
        </is>
      </c>
      <c r="CV3" s="31" t="inlineStr">
        <is>
          <t>Recommended</t>
        </is>
      </c>
      <c r="CW3" s="31" t="inlineStr">
        <is>
          <t>Recommended</t>
        </is>
      </c>
      <c r="CX3" s="31" t="inlineStr">
        <is>
          <t>Recommended</t>
        </is>
      </c>
      <c r="CY3" s="31" t="inlineStr">
        <is>
          <t>Required</t>
        </is>
      </c>
      <c r="CZ3" s="31" t="inlineStr">
        <is>
          <t>Recommended</t>
        </is>
      </c>
      <c r="DA3" s="31" t="inlineStr">
        <is>
          <t>Required</t>
        </is>
      </c>
      <c r="DB3" s="31" t="inlineStr">
        <is>
          <t>Required</t>
        </is>
      </c>
      <c r="DC3" s="31" t="inlineStr">
        <is>
          <t>Recommended</t>
        </is>
      </c>
      <c r="DD3" s="31" t="inlineStr">
        <is>
          <t>Recommended</t>
        </is>
      </c>
      <c r="DE3" s="31" t="inlineStr">
        <is>
          <t>Recommended</t>
        </is>
      </c>
      <c r="DF3" s="31" t="inlineStr">
        <is>
          <t>Required</t>
        </is>
      </c>
      <c r="DG3" s="31" t="inlineStr">
        <is>
          <t>Required</t>
        </is>
      </c>
      <c r="DH3" s="31" t="inlineStr">
        <is>
          <t>Recommended</t>
        </is>
      </c>
      <c r="DI3" s="31" t="inlineStr">
        <is>
          <t>Recommended</t>
        </is>
      </c>
      <c r="DJ3" s="31" t="inlineStr">
        <is>
          <t>Required</t>
        </is>
      </c>
      <c r="DK3" s="31" t="inlineStr">
        <is>
          <t>Required</t>
        </is>
      </c>
      <c r="DL3" s="31" t="inlineStr">
        <is>
          <t>Required</t>
        </is>
      </c>
      <c r="DM3" s="31" t="inlineStr">
        <is>
          <t>Required</t>
        </is>
      </c>
      <c r="DN3" s="31" t="inlineStr">
        <is>
          <t>Required</t>
        </is>
      </c>
      <c r="DO3" s="31" t="inlineStr">
        <is>
          <t>Required</t>
        </is>
      </c>
      <c r="DP3" s="31" t="inlineStr">
        <is>
          <t>Required</t>
        </is>
      </c>
      <c r="DQ3" s="31" t="inlineStr">
        <is>
          <t>Required</t>
        </is>
      </c>
      <c r="DR3" s="31" t="inlineStr">
        <is>
          <t>Recommended</t>
        </is>
      </c>
      <c r="DS3" s="31" t="inlineStr">
        <is>
          <t>Recommended</t>
        </is>
      </c>
      <c r="DT3" s="31" t="inlineStr">
        <is>
          <t>Recommended</t>
        </is>
      </c>
      <c r="DU3" s="31" t="inlineStr">
        <is>
          <t>Recommended</t>
        </is>
      </c>
      <c r="DV3" s="31" t="inlineStr">
        <is>
          <t>Recommended</t>
        </is>
      </c>
      <c r="DW3" s="31" t="inlineStr">
        <is>
          <t>Recommended</t>
        </is>
      </c>
      <c r="DX3" s="31" t="inlineStr">
        <is>
          <t>Required</t>
        </is>
      </c>
      <c r="DY3" s="31" t="inlineStr">
        <is>
          <t>Required</t>
        </is>
      </c>
      <c r="DZ3" s="31" t="inlineStr">
        <is>
          <t>Required</t>
        </is>
      </c>
      <c r="EA3" s="31" t="inlineStr">
        <is>
          <t>Required</t>
        </is>
      </c>
      <c r="EB3" s="31" t="inlineStr">
        <is>
          <t>Recommended</t>
        </is>
      </c>
      <c r="EC3" s="31" t="inlineStr">
        <is>
          <t>Recommended</t>
        </is>
      </c>
      <c r="ED3" s="31" t="inlineStr">
        <is>
          <t>Recommended</t>
        </is>
      </c>
      <c r="EE3" s="31" t="inlineStr">
        <is>
          <t>Required</t>
        </is>
      </c>
      <c r="EF3" s="31" t="inlineStr">
        <is>
          <t>Required</t>
        </is>
      </c>
      <c r="EG3" s="31" t="inlineStr">
        <is>
          <t>Required</t>
        </is>
      </c>
      <c r="EH3" s="31" t="inlineStr">
        <is>
          <t>Required</t>
        </is>
      </c>
      <c r="EI3" s="31" t="inlineStr">
        <is>
          <t>Required</t>
        </is>
      </c>
      <c r="EJ3" s="31" t="inlineStr">
        <is>
          <t>Recommended</t>
        </is>
      </c>
      <c r="EK3" s="31" t="inlineStr">
        <is>
          <t>Required</t>
        </is>
      </c>
      <c r="EL3" s="31" t="inlineStr">
        <is>
          <t>Required</t>
        </is>
      </c>
      <c r="EM3" s="31" t="inlineStr">
        <is>
          <t>Required</t>
        </is>
      </c>
      <c r="EN3" s="31" t="inlineStr">
        <is>
          <t>Required</t>
        </is>
      </c>
      <c r="EO3" s="31" t="inlineStr">
        <is>
          <t>Recommended</t>
        </is>
      </c>
      <c r="EP3" s="31" t="inlineStr">
        <is>
          <t>Required</t>
        </is>
      </c>
      <c r="EQ3" s="31" t="inlineStr">
        <is>
          <t>Recommended</t>
        </is>
      </c>
      <c r="ER3" s="31" t="inlineStr">
        <is>
          <t>Recommended</t>
        </is>
      </c>
      <c r="ES3" s="31" t="inlineStr">
        <is>
          <t>Recommended</t>
        </is>
      </c>
      <c r="ET3" s="31" t="inlineStr">
        <is>
          <t>Recommended</t>
        </is>
      </c>
    </row>
    <row r="4" ht="50" customHeight="1">
      <c r="A4" s="19" t="inlineStr">
        <is>
          <t>Errors</t>
        </is>
      </c>
      <c r="B4" s="19" t="inlineStr">
        <is>
          <t>Supplier Part Number</t>
        </is>
      </c>
      <c r="C4" s="19" t="inlineStr">
        <is>
          <t>ASIN or Amazon Seller SKU</t>
        </is>
      </c>
      <c r="D4" s="19" t="inlineStr">
        <is>
          <t>Brand</t>
        </is>
      </c>
      <c r="E4" s="19" t="inlineStr">
        <is>
          <t>Manufacturer Part Number</t>
        </is>
      </c>
      <c r="F4" s="19" t="inlineStr">
        <is>
          <t>Universal Product Code</t>
        </is>
      </c>
      <c r="G4" s="19" t="inlineStr">
        <is>
          <t>Product Name</t>
        </is>
      </c>
      <c r="H4" s="19" t="inlineStr">
        <is>
          <t>Collection Name</t>
        </is>
      </c>
      <c r="I4" s="19" t="inlineStr">
        <is>
          <t>Manufacturer Product URL</t>
        </is>
      </c>
      <c r="J4" s="19" t="inlineStr">
        <is>
          <t>Base Cost</t>
        </is>
      </c>
      <c r="K4" s="19" t="inlineStr">
        <is>
          <t>Minimum Advertised Price</t>
        </is>
      </c>
      <c r="L4" s="19" t="inlineStr">
        <is>
          <t>Manufacturer Suggested Retail Price</t>
        </is>
      </c>
      <c r="M4" s="19" t="inlineStr">
        <is>
          <t>Marketing Copy</t>
        </is>
      </c>
      <c r="N4" s="19" t="inlineStr">
        <is>
          <t>Feature Bullet 1</t>
        </is>
      </c>
      <c r="O4" s="19" t="inlineStr">
        <is>
          <t>Feature Bullet 2</t>
        </is>
      </c>
      <c r="P4" s="19" t="inlineStr">
        <is>
          <t>Feature Bullet 3</t>
        </is>
      </c>
      <c r="Q4" s="19" t="inlineStr">
        <is>
          <t>Feature Bullet 4</t>
        </is>
      </c>
      <c r="R4" s="19" t="inlineStr">
        <is>
          <t>Feature Bullet 5</t>
        </is>
      </c>
      <c r="S4" s="19" t="inlineStr">
        <is>
          <t>Minimum Order Quantity</t>
        </is>
      </c>
      <c r="T4" s="19" t="inlineStr">
        <is>
          <t>Force Quantity Multiplier</t>
        </is>
      </c>
      <c r="U4" s="19" t="inlineStr">
        <is>
          <t>Display Set Quantity</t>
        </is>
      </c>
      <c r="V4" s="19" t="inlineStr">
        <is>
          <t>Product Weight</t>
        </is>
      </c>
      <c r="W4" s="19" t="inlineStr">
        <is>
          <t>Ship Type</t>
        </is>
      </c>
      <c r="X4" s="19" t="inlineStr">
        <is>
          <t>Freight Class</t>
        </is>
      </c>
      <c r="Y4" s="19" t="inlineStr">
        <is>
          <t>Lead Time</t>
        </is>
      </c>
      <c r="Z4" s="19" t="inlineStr">
        <is>
          <t>Replacement Lead Time</t>
        </is>
      </c>
      <c r="AA4" s="19" t="inlineStr">
        <is>
          <t>National Motor Freight Class</t>
        </is>
      </c>
      <c r="AB4" s="19" t="inlineStr">
        <is>
          <t>Flat Pack</t>
        </is>
      </c>
      <c r="AC4" s="19" t="inlineStr">
        <is>
          <t>Ship Palletized</t>
        </is>
      </c>
      <c r="AD4" s="19" t="inlineStr">
        <is>
          <t>Carton Weight 1</t>
        </is>
      </c>
      <c r="AE4" s="19" t="inlineStr">
        <is>
          <t>Carton Height 1</t>
        </is>
      </c>
      <c r="AF4" s="19" t="inlineStr">
        <is>
          <t>Carton Width 1</t>
        </is>
      </c>
      <c r="AG4" s="19" t="inlineStr">
        <is>
          <t>Carton Depth 1</t>
        </is>
      </c>
      <c r="AH4" s="19" t="inlineStr">
        <is>
          <t>Warning Required</t>
        </is>
      </c>
      <c r="AI4" s="19" t="inlineStr">
        <is>
          <t>Chemical 1</t>
        </is>
      </c>
      <c r="AJ4" s="19" t="inlineStr">
        <is>
          <t>Toxicity 1</t>
        </is>
      </c>
      <c r="AK4" s="19" t="inlineStr">
        <is>
          <t>Country Of Manufacturer</t>
        </is>
      </c>
      <c r="AL4" s="19" t="inlineStr">
        <is>
          <t>Image File Name or URL 1</t>
        </is>
      </c>
      <c r="AM4" s="19" t="inlineStr">
        <is>
          <t>Image File Name or URL 2</t>
        </is>
      </c>
      <c r="AN4" s="19" t="inlineStr">
        <is>
          <t>Image File Name or URL 3</t>
        </is>
      </c>
      <c r="AO4" s="19" t="inlineStr">
        <is>
          <t>Image File Name or URL 4</t>
        </is>
      </c>
      <c r="AP4" s="19" t="inlineStr">
        <is>
          <t>Image File Name or URL 5</t>
        </is>
      </c>
      <c r="AQ4" s="19" t="inlineStr">
        <is>
          <t>Video File Name or URL 1</t>
        </is>
      </c>
      <c r="AR4" s="19" t="inlineStr">
        <is>
          <t>Document File Name or URL 1</t>
        </is>
      </c>
      <c r="AS4" s="19" t="inlineStr">
        <is>
          <t>Document Type 1</t>
        </is>
      </c>
      <c r="AT4" s="19" t="inlineStr">
        <is>
          <t>Legal Document Type 1</t>
        </is>
      </c>
      <c r="AU4" s="19" t="inlineStr">
        <is>
          <t>Document Region 1</t>
        </is>
      </c>
      <c r="AV4" s="19" t="inlineStr">
        <is>
          <t>Document Language 1</t>
        </is>
      </c>
      <c r="AW4" s="19" t="inlineStr">
        <is>
          <t>Document File Name or URL 2</t>
        </is>
      </c>
      <c r="AX4" s="19" t="inlineStr">
        <is>
          <t>Document Type 2</t>
        </is>
      </c>
      <c r="AY4" s="19" t="inlineStr">
        <is>
          <t>Legal Document Type 2</t>
        </is>
      </c>
      <c r="AZ4" s="19" t="inlineStr">
        <is>
          <t>Document Region 2</t>
        </is>
      </c>
      <c r="BA4" s="19" t="inlineStr">
        <is>
          <t>Document Language 2</t>
        </is>
      </c>
      <c r="BB4" s="19" t="inlineStr">
        <is>
          <t>Document File Name or URL 3</t>
        </is>
      </c>
      <c r="BC4" s="19" t="inlineStr">
        <is>
          <t>Document Type 3</t>
        </is>
      </c>
      <c r="BD4" s="19" t="inlineStr">
        <is>
          <t>Legal Document Type 3</t>
        </is>
      </c>
      <c r="BE4" s="19" t="inlineStr">
        <is>
          <t>Document Region 3</t>
        </is>
      </c>
      <c r="BF4" s="19" t="inlineStr">
        <is>
          <t>Document Language 3</t>
        </is>
      </c>
      <c r="BG4" s="19" t="inlineStr">
        <is>
          <t>Product Type</t>
        </is>
      </c>
      <c r="BH4" s="19" t="inlineStr">
        <is>
          <t>Pier / Bookcase Included</t>
        </is>
      </c>
      <c r="BI4" s="19" t="inlineStr">
        <is>
          <t>Drawers Included</t>
        </is>
      </c>
      <c r="BJ4" s="19" t="inlineStr">
        <is>
          <t>Number of Drawers</t>
        </is>
      </c>
      <c r="BK4" s="19" t="inlineStr">
        <is>
          <t>Cabinets Included</t>
        </is>
      </c>
      <c r="BL4" s="19" t="inlineStr">
        <is>
          <t>Shelves Included</t>
        </is>
      </c>
      <c r="BM4" s="19" t="inlineStr">
        <is>
          <t>Exterior Shelves Included</t>
        </is>
      </c>
      <c r="BN4" s="19" t="inlineStr">
        <is>
          <t>Interior Shelves Included</t>
        </is>
      </c>
      <c r="BO4" s="19" t="inlineStr">
        <is>
          <t>Bridge Included</t>
        </is>
      </c>
      <c r="BP4" s="19" t="inlineStr">
        <is>
          <t>Furniture Design</t>
        </is>
      </c>
      <c r="BQ4" s="19" t="inlineStr">
        <is>
          <t>Material</t>
        </is>
      </c>
      <c r="BR4" s="19" t="inlineStr">
        <is>
          <t>Purposeful Distressing Type</t>
        </is>
      </c>
      <c r="BS4" s="19" t="inlineStr">
        <is>
          <t>Natural Variation Type</t>
        </is>
      </c>
      <c r="BT4" s="19" t="inlineStr">
        <is>
          <t>Gloss Finish</t>
        </is>
      </c>
      <c r="BU4" s="19" t="inlineStr">
        <is>
          <t>Mirrored</t>
        </is>
      </c>
      <c r="BV4" s="19" t="inlineStr">
        <is>
          <t>Sound Bar Shelf Included</t>
        </is>
      </c>
      <c r="BW4" s="19" t="inlineStr">
        <is>
          <t>Adjustable Shelves</t>
        </is>
      </c>
      <c r="BX4" s="19" t="inlineStr">
        <is>
          <t>Media Storage Included</t>
        </is>
      </c>
      <c r="BY4" s="19" t="inlineStr">
        <is>
          <t>Cable Management</t>
        </is>
      </c>
      <c r="BZ4" s="19" t="inlineStr">
        <is>
          <t>Wheels / Casters Included</t>
        </is>
      </c>
      <c r="CA4" s="19" t="inlineStr">
        <is>
          <t>Fireplace Included</t>
        </is>
      </c>
      <c r="CB4" s="19" t="inlineStr">
        <is>
          <t>Plug-In</t>
        </is>
      </c>
      <c r="CC4" s="19" t="inlineStr">
        <is>
          <t>Tipover Restraint Device Included</t>
        </is>
      </c>
      <c r="CD4" s="19" t="inlineStr">
        <is>
          <t>Integrated TV Mount Included</t>
        </is>
      </c>
      <c r="CE4" s="19" t="inlineStr">
        <is>
          <t>Adjustable Height</t>
        </is>
      </c>
      <c r="CF4" s="19" t="inlineStr">
        <is>
          <t>Supplier Intended and Approved Use</t>
        </is>
      </c>
      <c r="CG4" s="19" t="inlineStr">
        <is>
          <t>Country of Origin - Additional Details</t>
        </is>
      </c>
      <c r="CH4" s="19" t="inlineStr">
        <is>
          <t>Main Wood Joinery Method</t>
        </is>
      </c>
      <c r="CI4" s="19" t="inlineStr">
        <is>
          <t>Kiln-Dried Wood</t>
        </is>
      </c>
      <c r="CJ4" s="19" t="inlineStr">
        <is>
          <t>Wood Species</t>
        </is>
      </c>
      <c r="CK4" s="32" t="inlineStr">
        <is>
          <t>Battery or Batteries Included</t>
        </is>
      </c>
      <c r="CL4" s="33" t="inlineStr">
        <is>
          <t>Battery Composition</t>
        </is>
      </c>
      <c r="CM4" s="33" t="inlineStr">
        <is>
          <t>Battery Type</t>
        </is>
      </c>
      <c r="CN4" s="33" t="inlineStr">
        <is>
          <t>Number of Batteries</t>
        </is>
      </c>
      <c r="CO4" s="33" t="inlineStr">
        <is>
          <t>Battery Shipment</t>
        </is>
      </c>
      <c r="CP4" s="33" t="inlineStr">
        <is>
          <t>Lithium Content</t>
        </is>
      </c>
      <c r="CQ4" s="33" t="inlineStr">
        <is>
          <t>Watt Rating of Cells / Battery</t>
        </is>
      </c>
      <c r="CR4" s="33" t="inlineStr">
        <is>
          <t>Weight of Cells / Battery</t>
        </is>
      </c>
      <c r="CS4" s="19" t="inlineStr">
        <is>
          <t>Adjustable Temperature</t>
        </is>
      </c>
      <c r="CT4" s="19" t="inlineStr">
        <is>
          <t>Adjustable Flame</t>
        </is>
      </c>
      <c r="CU4" s="19" t="inlineStr">
        <is>
          <t>Weight Capacity</t>
        </is>
      </c>
      <c r="CV4" s="19" t="inlineStr">
        <is>
          <t>Product Care</t>
        </is>
      </c>
      <c r="CW4" s="19" t="inlineStr">
        <is>
          <t>Unfinished</t>
        </is>
      </c>
      <c r="CX4" s="19" t="inlineStr">
        <is>
          <t>Shelf Material</t>
        </is>
      </c>
      <c r="CY4" s="19" t="inlineStr">
        <is>
          <t>Color / Finish</t>
        </is>
      </c>
      <c r="CZ4" s="19" t="inlineStr">
        <is>
          <t>Drawer Glide Type &amp; Extension</t>
        </is>
      </c>
      <c r="DA4" s="19" t="inlineStr">
        <is>
          <t>Vent Type</t>
        </is>
      </c>
      <c r="DB4" s="19" t="inlineStr">
        <is>
          <t>Fuel Type</t>
        </is>
      </c>
      <c r="DC4" s="19" t="inlineStr">
        <is>
          <t>Door Design</t>
        </is>
      </c>
      <c r="DD4" s="19" t="inlineStr">
        <is>
          <t>Ribbed Detailing</t>
        </is>
      </c>
      <c r="DE4" s="19" t="inlineStr">
        <is>
          <t>Fluted Detailing</t>
        </is>
      </c>
      <c r="DF4" s="19" t="inlineStr">
        <is>
          <t>Pieces Included</t>
        </is>
      </c>
      <c r="DG4" s="19" t="inlineStr">
        <is>
          <t>Number of Cabinets</t>
        </is>
      </c>
      <c r="DH4" s="19" t="inlineStr">
        <is>
          <t>Drawer Safety Stop</t>
        </is>
      </c>
      <c r="DI4" s="19" t="inlineStr">
        <is>
          <t>Fireplace Type</t>
        </is>
      </c>
      <c r="DJ4" s="19" t="inlineStr">
        <is>
          <t>General Certificate of Conformity (GCC)</t>
        </is>
      </c>
      <c r="DK4" s="32" t="inlineStr">
        <is>
          <t>Composite Wood Product (CWP)</t>
        </is>
      </c>
      <c r="DL4" s="33" t="inlineStr">
        <is>
          <t>CARB Phase II Compliant (formaldehyde emissions)</t>
        </is>
      </c>
      <c r="DM4" s="33" t="inlineStr">
        <is>
          <t>TSCA Title VI Compliant (formaldehyde emissions)</t>
        </is>
      </c>
      <c r="DN4" s="33" t="inlineStr">
        <is>
          <t>CANFER Compliant</t>
        </is>
      </c>
      <c r="DO4" s="19" t="inlineStr">
        <is>
          <t>Uniform Packaging and Labeling Regulations (UPLR) Compliant</t>
        </is>
      </c>
      <c r="DP4" s="32" t="inlineStr">
        <is>
          <t>Canada Product Restriction</t>
        </is>
      </c>
      <c r="DQ4" s="33" t="inlineStr">
        <is>
          <t>Reason for Restriction</t>
        </is>
      </c>
      <c r="DR4" s="19" t="inlineStr">
        <is>
          <t>UL 1678 Listed</t>
        </is>
      </c>
      <c r="DS4" s="32" t="inlineStr">
        <is>
          <t>Hazardous Material / Dangerous Goods</t>
        </is>
      </c>
      <c r="DT4" s="33" t="inlineStr">
        <is>
          <t>UN or ID number</t>
        </is>
      </c>
      <c r="DU4" s="33" t="inlineStr">
        <is>
          <t>Hazard Class(es)</t>
        </is>
      </c>
      <c r="DV4" s="33" t="inlineStr">
        <is>
          <t>Packing Group</t>
        </is>
      </c>
      <c r="DW4" s="33" t="inlineStr">
        <is>
          <t>Hazardous Material Weight</t>
        </is>
      </c>
      <c r="DX4" s="19" t="inlineStr">
        <is>
          <t>Energy Efficiency Regulations Compliant</t>
        </is>
      </c>
      <c r="DY4" s="32" t="inlineStr">
        <is>
          <t>Safety Listing(s)</t>
        </is>
      </c>
      <c r="DZ4" s="33" t="inlineStr">
        <is>
          <t>Safety Listing(s) Registration Number</t>
        </is>
      </c>
      <c r="EA4" s="19" t="inlineStr">
        <is>
          <t>CPSC - 16 CFR 1263 Compliant (Reese's Law)</t>
        </is>
      </c>
      <c r="EB4" s="19" t="inlineStr">
        <is>
          <t>ISTA Certified</t>
        </is>
      </c>
      <c r="EC4" s="19" t="inlineStr">
        <is>
          <t>Sustainability &amp; Social Responsibility Certifications (North America Only)</t>
        </is>
      </c>
      <c r="ED4" s="19" t="inlineStr">
        <is>
          <t>Commercial Certifications</t>
        </is>
      </c>
      <c r="EE4" s="19" t="inlineStr">
        <is>
          <t>TV Stand Width - Side to Side</t>
        </is>
      </c>
      <c r="EF4" s="19" t="inlineStr">
        <is>
          <t>TV Stand Depth - Front to Back</t>
        </is>
      </c>
      <c r="EG4" s="19" t="inlineStr">
        <is>
          <t>Overall Entertainment Center Height - Top to Bottom</t>
        </is>
      </c>
      <c r="EH4" s="19" t="inlineStr">
        <is>
          <t>Overall Entertainment Center Width - Side to Side</t>
        </is>
      </c>
      <c r="EI4" s="19" t="inlineStr">
        <is>
          <t>Overall Entertainment Center Depth - Front to Back</t>
        </is>
      </c>
      <c r="EJ4" s="19" t="inlineStr">
        <is>
          <t>Overall Product Weight</t>
        </is>
      </c>
      <c r="EK4" s="19" t="inlineStr">
        <is>
          <t>Maximum TV Screen Size Accommodated</t>
        </is>
      </c>
      <c r="EL4" s="19" t="inlineStr">
        <is>
          <t>TV Stand Overall Height - Top to Bottom</t>
        </is>
      </c>
      <c r="EM4" s="19" t="inlineStr">
        <is>
          <t>Assembly Required</t>
        </is>
      </c>
      <c r="EN4" s="19" t="inlineStr">
        <is>
          <t>Level of Assembly</t>
        </is>
      </c>
      <c r="EO4" s="19" t="inlineStr">
        <is>
          <t>Additional Tools Required (Not Included)</t>
        </is>
      </c>
      <c r="EP4" s="32" t="inlineStr">
        <is>
          <t>Commercial Warranty</t>
        </is>
      </c>
      <c r="EQ4" s="33" t="inlineStr">
        <is>
          <t>Commercial Warranty Length</t>
        </is>
      </c>
      <c r="ER4" s="19" t="inlineStr">
        <is>
          <t>Product Warranty</t>
        </is>
      </c>
      <c r="ES4" s="19" t="inlineStr">
        <is>
          <t>Full or Limited Warranty</t>
        </is>
      </c>
      <c r="ET4" s="19" t="inlineStr">
        <is>
          <t>Warranty Length</t>
        </is>
      </c>
    </row>
    <row r="5" ht="50" customHeight="1">
      <c r="A5" s="34" t="inlineStr">
        <is>
          <t>Displays the error status and message for the first error in the row, with a link to the corresponding cell.</t>
        </is>
      </c>
      <c r="B5" s="34" t="inlineStr">
        <is>
          <t>Must be less than 64 characters and must be a unique value (products cannot be added if they have the same part number as something you already have in your catalog). This is the supplier-specific value for the product as it appears on your Inventory Feed and Purchased Orders.</t>
        </is>
      </c>
      <c r="C5" s="34" t="inlineStr">
        <is>
          <t>The Amazon Standard Identification Number (ASIN) is a 10-character alphanumeric unique identifier assigned by Amazon.com and its partners for product identification within the Amazon organization. The Amazon Seller SKU is Amazon's identifier for your product that allows you to fulfill the product through Amazon shipping even when selling the product on other sites like Wayfair.</t>
        </is>
      </c>
      <c r="D5" s="34" t="inlineStr">
        <is>
          <t>Enter your product's brand (may be the same as the product's manufacturer). New brands must be created in the brand management tool in Partner Home before they can be selected here.</t>
        </is>
      </c>
      <c r="E5" s="34" t="inlineStr">
        <is>
          <t>Must be less than 64 characters and must be a unique value (products cannot be added if they have the same part number as something you already have in your catalog). This is the part number provided by the manufacturer.</t>
        </is>
      </c>
      <c r="F5" s="34" t="inlineStr">
        <is>
          <t>Must follow the standard UPC format and must be a unique value (products cannot be added if they have the same UPC as something you already have in your catalog).</t>
        </is>
      </c>
      <c r="G5" s="34" t="inlineStr">
        <is>
          <t>Please do not use abbreviations or exceed the 255 character limit. Wayfair may adjust the provided name based on marketing standards per class.</t>
        </is>
      </c>
      <c r="H5" s="34" t="inlineStr">
        <is>
          <t>If the product belongs to a collection of associated products that are not just product variances/options, enter the collection here. This can match with collections of products you already sell on site. For example, a collection may be a bed and nightstand that both follow a modern theme, but would not be a bed that comes in two separate colors. Products in a collection do not share the same listing on site.</t>
        </is>
      </c>
      <c r="I5" s="34" t="inlineStr">
        <is>
          <t>Enter the URL for the specific manufacturer product page of your product.</t>
        </is>
      </c>
      <c r="J5" s="34" t="inlineStr">
        <is>
          <t>Your supplier profile preference for currency is used to determine the currency of the base (wholesale) cost provided.</t>
        </is>
      </c>
      <c r="K5" s="34" t="inlineStr">
        <is>
          <t>The region selected for this sheet is used to determine the currency of the MAP provided. This may differ from the currency of your base cost.</t>
        </is>
      </c>
      <c r="L5" s="34" t="inlineStr">
        <is>
          <t>The region selected for this sheet is used to determine the currency of the MSRP provided. This may differ from the currency of your base cost.</t>
        </is>
      </c>
      <c r="M5" s="34" t="inlineStr">
        <is>
          <t>Please do not use special symbols (trademark, copyright, etc.) or extra lines/spacing. This should be a short, single paragraph product description in complete sentences highlighting details about key product information.</t>
        </is>
      </c>
      <c r="N5" s="34" t="inlineStr">
        <is>
          <t>15 words or less, describing one aspect of the product, eg., Unique aspects, benefits, use cases, technology. These provide customers with key facts at first glance and help them to decide whether they want to make the purchase. If no marketing copy is provided, then at least 3 feature bullets must be provided.</t>
        </is>
      </c>
      <c r="O5" s="34" t="inlineStr">
        <is>
          <t>15 words or less, describing one aspect of the product, eg., Unique aspects, benefits, use cases, technology. These provide customers with key facts at first glance and help them to decide whether they want to make the purchase. If no marketing copy is provided, then at least 3 feature bullets must be provided.</t>
        </is>
      </c>
      <c r="P5" s="34" t="inlineStr">
        <is>
          <t>15 words or less, describing one aspect of the product, eg., Unique aspects, benefits, use cases, technology. These provide customers with key facts at first glance and help them to decide whether they want to make the purchase. If no marketing copy is provided, then at least 3 feature bullets must be provided.</t>
        </is>
      </c>
      <c r="Q5" s="34" t="inlineStr">
        <is>
          <t>15 words or less, describing one aspect of the product, eg., Unique aspects, benefits, use cases, technology. These provide customers with key facts at first glance and help them to decide whether they want to make the purchase. If no marketing copy is provided, then at least 3 feature bullets must be provided.</t>
        </is>
      </c>
      <c r="R5" s="34" t="inlineStr">
        <is>
          <t>15 words or less, describing one aspect of the product, eg., Unique aspects, benefits, use cases, technology. These provide customers with key facts at first glance and help them to decide whether they want to make the purchase. If no marketing copy is provided, then at least 3 feature bullets must be provided.</t>
        </is>
      </c>
      <c r="S5" s="34" t="inlineStr">
        <is>
          <t>The minimum count of items a customer must choose to purchase the product.</t>
        </is>
      </c>
      <c r="T5" s="34" t="inlineStr">
        <is>
          <t>This represents how many items the customer must buy in increments of, or in addition to. For example, a multiplier of 2 would mean a custom must buy 1 quantity, 3 quantity, 5 quantity, or some other multiple of 2.</t>
        </is>
      </c>
      <c r="U5" s="34" t="inlineStr">
        <is>
          <t>Number of items represented by the part number and wholesale price. For example, if you want to sell a bundle of pillows, and the part number and wholesale cost you provided represents that full bundle of pillows, then you would answer the Display Set Quantity question with how many pillows are in the bundle.</t>
        </is>
      </c>
      <c r="V5" s="34" t="inlineStr">
        <is>
          <t>[Pounds] What is the total weight of this product once assembled? Please enter just the number (i.e. 45.5) without a unit of measurement.</t>
        </is>
      </c>
      <c r="W5" s="34" t="inlineStr">
        <is>
          <t>Enter small parcel or LTL to indicate how the product can ship based on size and weight.</t>
        </is>
      </c>
      <c r="X5" s="34" t="inlineStr">
        <is>
          <t>Each product falls into 1 of 18 classes determined by a product's 'transportability' and are crucial for calculating shipping cost. The field is required when ship type is LTL.</t>
        </is>
      </c>
      <c r="Y5" s="34" t="inlineStr">
        <is>
          <t>[Hours] This is the length of time from receipt of PO to shipment from the warehouse.</t>
        </is>
      </c>
      <c r="Z5" s="34" t="inlineStr">
        <is>
          <t>[Hours] This is length of time from receipt of a replacement PO to shipment from the warehouse</t>
        </is>
      </c>
      <c r="AA5" s="34" t="inlineStr">
        <is>
          <t>5 to 7 digit number in length (depending on any sub classification) that will identify what is shipping in the box</t>
        </is>
      </c>
      <c r="AB5" s="34" t="inlineStr">
        <is>
          <t>Also known as 'knocked down'. Select 'Yes' if this product ships disassembled in a flat pack box.</t>
        </is>
      </c>
      <c r="AC5" s="34" t="inlineStr">
        <is>
          <t>Select 'Yes' if this product ships on a pallet.</t>
        </is>
      </c>
      <c r="AD5" s="34" t="inlineStr">
        <is>
          <t>[Pounds] Enter in the shipping weight (i.e. 45.5) of the packaging used for the product.  If the product ships in more than one box, this measurement is per box.</t>
        </is>
      </c>
      <c r="AE5" s="34" t="inlineStr">
        <is>
          <t>[Inches] Enter in the shipping height (i.e. 45.5) of the packaging used for the product.  If the product ships in more than one box, this measurement is per box.</t>
        </is>
      </c>
      <c r="AF5" s="34" t="inlineStr">
        <is>
          <t>[Inches] Enter in the shipping width (i.e. 45.5) of the packaging used for the product.  If the product ships in more than one box, this measurement is per box.</t>
        </is>
      </c>
      <c r="AG5" s="34" t="inlineStr">
        <is>
          <t>[Inches] Enter in the shipping depth (i.e. 45.5) of the packaging used for the product.  If the product ships in more than one box, this measurement is per box.</t>
        </is>
      </c>
      <c r="AH5" s="34" t="inlineStr">
        <is>
          <t>If the product requires a warning for Proposition 65 compliance in California, answer 'Yes' and indicate which chemicals and toxicities are applicable.</t>
        </is>
      </c>
      <c r="AI5" s="34" t="inlineStr">
        <is>
          <t>Select the chemical that requires the Prop65 warning.</t>
        </is>
      </c>
      <c r="AJ5" s="34" t="inlineStr">
        <is>
          <t>Select the toxicity that can result from the selected chemical.</t>
        </is>
      </c>
      <c r="AK5" s="34" t="inlineStr">
        <is>
          <t>Provide only a single country of manufacture for each product.</t>
        </is>
      </c>
      <c r="AL5" s="34" t="inlineStr">
        <is>
          <t>Your first image will be set as the lead image for this listing, however, is subject to change upon Wayfair review. For each image uploaded, provide the file name with extension (e.g. PART_1.jpeg) or a direct public URL which leads to a single image (tip: to isolate the image, right click + select Open Image in New Tab). Elements like logos, buttons, etc will interfere with our ability to download the image. Do not exceed 20 images per product.</t>
        </is>
      </c>
      <c r="AM5" s="34" t="inlineStr">
        <is>
          <t>Your first image will be set as the lead image for this listing, however, is subject to change upon Wayfair review. For each image uploaded, provide the file name with extension (e.g. PART_1.jpeg) or a direct public URL which leads to a single image (tip: to isolate the image, right click + select Open Image in New Tab). Elements like logos, buttons, etc will interfere with our ability to download the image. Do not exceed 20 images per product.</t>
        </is>
      </c>
      <c r="AN5" s="34" t="inlineStr">
        <is>
          <t>Your first image will be set as the lead image for this listing, however, is subject to change upon Wayfair review. For each image uploaded, provide the file name with extension (e.g. PART_1.jpeg) or a direct public URL which leads to a single image (tip: to isolate the image, right click + select Open Image in New Tab). Elements like logos, buttons, etc will interfere with our ability to download the image. Do not exceed 20 images per product.</t>
        </is>
      </c>
      <c r="AO5" s="34" t="inlineStr">
        <is>
          <t>Your first image will be set as the lead image for this listing, however, is subject to change upon Wayfair review. For each image uploaded, provide the file name with extension (e.g. PART_1.jpeg) or a direct public URL which leads to a single image (tip: to isolate the image, right click + select Open Image in New Tab). Elements like logos, buttons, etc will interfere with our ability to download the image. Do not exceed 20 images per product.</t>
        </is>
      </c>
      <c r="AP5" s="34" t="inlineStr">
        <is>
          <t>Your first image will be set as the lead image for this listing, however, is subject to change upon Wayfair review. For each image uploaded, provide the file name with extension (e.g. PART_1.jpeg) or a direct public URL which leads to a single image (tip: to isolate the image, right click + select Open Image in New Tab). Elements like logos, buttons, etc will interfere with our ability to download the image. Do not exceed 20 images per product.</t>
        </is>
      </c>
      <c r="AQ5" s="34" t="inlineStr">
        <is>
          <t>Provide the video’s file name with extension for separate uploads or a direct public URL. Do not exceed 10 videos per product.</t>
        </is>
      </c>
      <c r="AR5" s="34" t="inlineStr">
        <is>
          <t>Provide the document’s file name with extension for separate uploads or a direct public URL. Do not exceed 10 documents per product.</t>
        </is>
      </c>
      <c r="AS5" s="34" t="inlineStr">
        <is>
          <t>Select one or more values from the provided list that best describe the document’s purpose. This classification helps customers easily find information like “Installation &amp; Assembly” guides, “Warranty Information,” or “Specifications.</t>
        </is>
      </c>
      <c r="AT5" s="34" t="inlineStr">
        <is>
          <t>If the document serves as a legal notice or certification (e.g., “ASTM F2057 - 19,” “ANSI A117.1 Compliant”), select the specific type(s) from the provided list. This is used for compliance and to display certifications to customers.</t>
        </is>
      </c>
      <c r="AU5" s="34" t="inlineStr">
        <is>
          <t>Select the country or region where this document is legally applicable. This is crucial for compliance-related documents that may differ across locations.</t>
        </is>
      </c>
      <c r="AV5" s="34" t="inlineStr">
        <is>
          <t>Select the language in which the document is written.</t>
        </is>
      </c>
      <c r="AW5" s="34" t="inlineStr">
        <is>
          <t>Provide the document’s file name with extension for separate uploads or a direct public URL. Do not exceed 10 documents per product.</t>
        </is>
      </c>
      <c r="AX5" s="34" t="inlineStr">
        <is>
          <t>Select one or more values from the provided list that best describe the document’s purpose. This classification helps customers easily find information like “Installation &amp; Assembly” guides, “Warranty Information,” or “Specifications.</t>
        </is>
      </c>
      <c r="AY5" s="34" t="inlineStr">
        <is>
          <t>If the document serves as a legal notice or certification (e.g., “ASTM F2057 - 19,” “ANSI A117.1 Compliant”), select the specific type(s) from the provided list. This is used for compliance and to display certifications to customers.</t>
        </is>
      </c>
      <c r="AZ5" s="34" t="inlineStr">
        <is>
          <t>Select the country or region where this document is legally applicable. This is crucial for compliance-related documents that may differ across locations.</t>
        </is>
      </c>
      <c r="BA5" s="34" t="inlineStr">
        <is>
          <t>Select the language in which the document is written.</t>
        </is>
      </c>
      <c r="BB5" s="34" t="inlineStr">
        <is>
          <t>Provide the document’s file name with extension for separate uploads or a direct public URL. Do not exceed 10 documents per product.</t>
        </is>
      </c>
      <c r="BC5" s="34" t="inlineStr">
        <is>
          <t>Select one or more values from the provided list that best describe the document’s purpose. This classification helps customers easily find information like “Installation &amp; Assembly” guides, “Warranty Information,” or “Specifications.</t>
        </is>
      </c>
      <c r="BD5" s="34" t="inlineStr">
        <is>
          <t>If the document serves as a legal notice or certification (e.g., “ASTM F2057 - 19,” “ANSI A117.1 Compliant”), select the specific type(s) from the provided list. This is used for compliance and to display certifications to customers.</t>
        </is>
      </c>
      <c r="BE5" s="34" t="inlineStr">
        <is>
          <t>Select the country or region where this document is legally applicable. This is crucial for compliance-related documents that may differ across locations.</t>
        </is>
      </c>
      <c r="BF5" s="34" t="inlineStr">
        <is>
          <t>Select the language in which the document is written.</t>
        </is>
      </c>
      <c r="BG5" s="34" t="inlineStr">
        <is>
          <t>What type of product is this?</t>
        </is>
      </c>
      <c r="BH5" s="34" t="inlineStr">
        <is>
          <t>Does this product have a pier / bookcase included?</t>
        </is>
      </c>
      <c r="BI5" s="34" t="inlineStr">
        <is>
          <t>Does this product have any drawers?</t>
        </is>
      </c>
      <c r="BJ5" s="34" t="inlineStr">
        <is>
          <t>How many drawers are included in this product?</t>
        </is>
      </c>
      <c r="BK5" s="34" t="inlineStr">
        <is>
          <t>Does this product include cabinets?</t>
        </is>
      </c>
      <c r="BL5" s="34" t="inlineStr">
        <is>
          <t>Does this product include shelves?</t>
        </is>
      </c>
      <c r="BM5" s="34" t="inlineStr">
        <is>
          <t>Does this product have an open space with either another shelf above it or the top surface of the product above it? We do not define the top surface of the Accent Chest/Cabinet as an exterior shelf.</t>
        </is>
      </c>
      <c r="BN5" s="34" t="inlineStr">
        <is>
          <t>Does this product have interior shelves included?</t>
        </is>
      </c>
      <c r="BO5" s="34" t="inlineStr">
        <is>
          <t>Does this product have a bridge included?</t>
        </is>
      </c>
      <c r="BP5" s="34" t="inlineStr">
        <is>
          <t>What is the design of the piece of furniture?</t>
        </is>
      </c>
      <c r="BQ5" s="34" t="inlineStr">
        <is>
          <t>What material is the product made of?</t>
        </is>
      </c>
      <c r="BR5" s="34" t="inlineStr">
        <is>
          <t>What specific type of distressing does this product have? Select all that apply.</t>
        </is>
      </c>
      <c r="BS5" s="34" t="inlineStr">
        <is>
          <t>Which of the following types of natural variation and texture does the product have? Multiple can be selected if applicable. If the product does NOT have natural variation, please select No Natural Variation.</t>
        </is>
      </c>
      <c r="BT5" s="34" t="inlineStr">
        <is>
          <t>Does this product have a shiny and sheer gloss finish over the normal painted finish?</t>
        </is>
      </c>
      <c r="BU5" s="34" t="inlineStr">
        <is>
          <t>Is the surface of the product mirrored? Please do not select “yes” if the product only features a mirror. This question refers to the surface material of the product, and if it is reflective.</t>
        </is>
      </c>
      <c r="BV5" s="34" t="inlineStr">
        <is>
          <t>Does this product have a sound bar shelf included?</t>
        </is>
      </c>
      <c r="BW5" s="34" t="inlineStr">
        <is>
          <t>Does this product have adjustable shelves?</t>
        </is>
      </c>
      <c r="BX5" s="34" t="inlineStr">
        <is>
          <t>Does this product have media storage included?</t>
        </is>
      </c>
      <c r="BY5" s="34" t="inlineStr">
        <is>
          <t>Does this product have any built-in cable or wire management, such as a hole specifically for wires (a grommet) or a tray where wires can be stored?</t>
        </is>
      </c>
      <c r="BZ5" s="34" t="inlineStr">
        <is>
          <t>Does this product have wheels or casters?</t>
        </is>
      </c>
      <c r="CA5" s="34" t="inlineStr">
        <is>
          <t>Does this product have a fireplace included?</t>
        </is>
      </c>
      <c r="CB5" s="34" t="inlineStr">
        <is>
          <t>If this product requires electricity can it be plugged into a household outlet via an integral corded plug or an AC adapter? If this product does not require electricity or if this product requires electricity but does not/cannot use household AC voltages (with or without an AC adapter) please select "No".</t>
        </is>
      </c>
      <c r="CC5" s="34" t="inlineStr">
        <is>
          <t>Does this product include a device to prevent the product from tipping over? Tipover restraint devices (TRDs) include brackets, straps, or other specialized hardware</t>
        </is>
      </c>
      <c r="CD5" s="34" t="inlineStr">
        <is>
          <t>Does this product have an integrated tv mount included?</t>
        </is>
      </c>
      <c r="CE5" s="34" t="inlineStr">
        <is>
          <t>Is the height of this product adjustable?</t>
        </is>
      </c>
      <c r="CF5" s="34" t="inlineStr">
        <is>
          <t>What type of environmental setting was this product designed and manufactured to be used in? Note: your answer indicates that Wayfair is able to market this product as being intended for use in the selected setting(s). Please select both, if both options apply.</t>
        </is>
      </c>
      <c r="CG5" s="34" t="inlineStr">
        <is>
          <t>Does this product and/or packaging have additional advertising or labeling details regarding claims about the product’s origin? Please use this field to provide a qualified or unqualified claim regarding the product origin in accordance with US Federal Trade Commission (FTC) and Canada Competition Bureau regulations. Additionally, if applicable, please use this field to communicate any appropriate qualified, comparative, or descriptive claims regarding the origin of the product. Examples include, but are not limited to, communicating relevant percentage of domestic and non-domestic content (ex: 60% U.S. Content), communicating the origin of certain components of the product (ex: "Hand carved in U.S. — Wood from Philippines"), or communicating where the product was assembled (Ex : “Assembled In Mexico”). See https://www.ftc.gov/tips-advice/business-center/guidance/complying-made-usa-standard#qualified  and https://www.competitionbureau.gc.ca/eic/site/cb-bc.nsf/eng/03169.html</t>
        </is>
      </c>
      <c r="CH5" s="34" t="inlineStr">
        <is>
          <t>Which technique was used to join together the main pieces of wood to construct the overall product?</t>
        </is>
      </c>
      <c r="CI5" s="34" t="inlineStr">
        <is>
          <t>Is the wood kiln-dried? If product is not made of wood, please select "does not apply."</t>
        </is>
      </c>
      <c r="CJ5" s="34" t="inlineStr">
        <is>
          <t>What type of wood was used to construct this product? This describes the actual materials used, not the product's appearance.</t>
        </is>
      </c>
      <c r="CK5" s="34" t="inlineStr">
        <is>
          <t>Is the product a battery or does the product include batteries?</t>
        </is>
      </c>
      <c r="CL5" s="34" t="inlineStr">
        <is>
          <t>What is the composition of the batteries included with product?</t>
        </is>
      </c>
      <c r="CM5" s="34" t="inlineStr">
        <is>
          <t>What type is the battery? Button Cell, Cell, Battery?</t>
        </is>
      </c>
      <c r="CN5" s="34" t="inlineStr">
        <is>
          <t>Confirm number of batteries in this product</t>
        </is>
      </c>
      <c r="CO5" s="34" t="inlineStr">
        <is>
          <t>Do the cells/batteries ship stand alone/packed with the equipment/ contained (installed) in the equipment?</t>
        </is>
      </c>
      <c r="CP5" s="34" t="inlineStr">
        <is>
          <t>What is the aggregate lithium content of the cell/battery?  Aggregate lithium content means the sum of the grams of lithium content contained by the cells comprising a battery.
Please note, this is the weight weight of the lithium in the cell or battery, and not the weight of the entire cell or battery.</t>
        </is>
      </c>
      <c r="CQ5" s="34" t="inlineStr">
        <is>
          <t>What is the Watt-hour(Wh) rating of the cell/battery?  The Watt-hour rating of a lithium cell or battery is calculated by multiplying the rated capacity in ampere-hours by the nominal voltage.
If only the milliampere-hours (mAh) are marked on the battery then divide that number by 1000 to get ampere-hours (Ah) (i.e. 4400 mAh / 1000 = 4.4. Ah).</t>
        </is>
      </c>
      <c r="CR5" s="34" t="inlineStr">
        <is>
          <t>What is the net weight of the cells or batteries that ship with the product in grams or kilograms.</t>
        </is>
      </c>
      <c r="CS5" s="34" t="inlineStr">
        <is>
          <t>Can the amount of heat be adjusted?</t>
        </is>
      </c>
      <c r="CT5" s="34" t="inlineStr">
        <is>
          <t>Can the brightness, size, or color of the flame be adjusted?</t>
        </is>
      </c>
      <c r="CU5" s="34" t="inlineStr">
        <is>
          <t>[Pounds] What is the maximum weight capacity of the product? Please enter just the number (i.e., 45.5).</t>
        </is>
      </c>
      <c r="CV5" s="34" t="inlineStr">
        <is>
          <t>What is the appropriate way to clean and/or care for this product? Please select as many answers as applicable.</t>
        </is>
      </c>
      <c r="CW5" s="34" t="inlineStr">
        <is>
          <t>Is this product unfinished (no paint, stain, or varnish)?</t>
        </is>
      </c>
      <c r="CX5" s="34" t="inlineStr">
        <is>
          <t>What material are the shelves made of?</t>
        </is>
      </c>
      <c r="CY5" s="34" t="inlineStr">
        <is>
          <t>What is the color or finish of the product? If your color/finish name is not listed, please type in the value.</t>
        </is>
      </c>
      <c r="CZ5" s="34" t="inlineStr">
        <is>
          <t>Please select which type of glide the drawer features and/or how far it can extend.</t>
        </is>
      </c>
      <c r="DA5" s="34" t="inlineStr">
        <is>
          <t>What type of vent does this product have?</t>
        </is>
      </c>
      <c r="DB5" s="34" t="inlineStr">
        <is>
          <t>What is the source of fuel needed in order for this product to function?</t>
        </is>
      </c>
      <c r="DC5" s="34" t="inlineStr">
        <is>
          <t>Please select the design of the product.</t>
        </is>
      </c>
      <c r="DD5" s="34" t="inlineStr">
        <is>
          <t>Is there a a raised pattern of parallel lines on a surface of this product?</t>
        </is>
      </c>
      <c r="DE5" s="34" t="inlineStr">
        <is>
          <t>Is there a a concave pattern of parallel lines on a surface of this product?</t>
        </is>
      </c>
      <c r="DF5" s="34" t="inlineStr">
        <is>
          <t>What pieces are included with this product?</t>
        </is>
      </c>
      <c r="DG5" s="34" t="inlineStr">
        <is>
          <t>How many cabinets does this product have?</t>
        </is>
      </c>
      <c r="DH5" s="34" t="inlineStr">
        <is>
          <t>Do any drawers feature safety stops (intended to keep the drawers from pulling all the way out)?</t>
        </is>
      </c>
      <c r="DI5" s="34" t="inlineStr">
        <is>
          <t>What type of Fireplace is included?</t>
        </is>
      </c>
      <c r="DJ5" s="34" t="inlineStr">
        <is>
          <t>Does this product have a General Certificate of Conformity (GCC), as required by the U.S. CPSC for certain product classes?</t>
        </is>
      </c>
      <c r="DK5" s="34" t="inlineStr">
        <is>
          <t>FOR COMPLIANCE PURPOSES. Not customer facing information. 
 Does this product include any pieces made of manufactured or composite wood products (CWP)  This includes any of the following
 1) HWPW-CC [Hardwood Plywood with Composite Core] 
 2) HWPW-VC [Hardwood Plywood with Veneer Core] 
 3) PB [Particleboard] 
 4) MDF or thin-MDF [Medium Density Fiberboard]</t>
        </is>
      </c>
      <c r="DL5" s="34" t="inlineStr">
        <is>
          <t>Is this product certified compliant for CARB ATCM Phase II formaldehyde emission standards from Composite Wood Products [California Air Resources Board (CARB)- Airborne Toxic Control Measures (ATCM) Phase II]</t>
        </is>
      </c>
      <c r="DM5" s="34" t="inlineStr">
        <is>
          <t>Is this product certified TSCA Title VI compliant regarding formaldehyde emissions from Composite Wood Products [Environmental Protection Agency (EPA)-Toxic Substance Control Act (TSCA)-Title VI]</t>
        </is>
      </c>
      <c r="DN5" s="34" t="inlineStr">
        <is>
          <t>Is this product CANFER compliant regarding formaldehyde emissions from composite wood products? [Canada Formaldehyde Emissions Regulation] NOTE: Please provide proof of certification to applicable formaldehyde emissions standards and a Declaration of Certification.
More information on the Declaration of Certification and on other requirements for CANFER compliance can be found in Health Canada's Guidance Document (https://bit.ly/3FvYK2B) or by contacting any of our Product Compliance Resources (https://bit.ly/3h8EIlw).</t>
        </is>
      </c>
      <c r="DO5" s="34" t="inlineStr">
        <is>
          <t>Does your product comply with the Uniform Packaging and Labeling Regulations, which requires product packaging to be accurate and provide adequate information as to the identity and quantity of its contents, as well as the name and address of the manufacturer and/or distributor?</t>
        </is>
      </c>
      <c r="DP5" s="34" t="inlineStr">
        <is>
          <t>Is this product legally or operationally restricted from being offered for sale to Canadian customers on Wayfair.ca or delivered to Canadian addresses? Select “Yes” only if the product cannot legally be sold or shipped to Canada. For example, if it requires a license or certification you do not hold, or if you operate through a separate Canadian entity that cannot support the listing.</t>
        </is>
      </c>
      <c r="DQ5" s="34" t="inlineStr">
        <is>
          <t>Please select the reason this product can not ship to Canada?  Please select from the options or write in a reason if not selectable</t>
        </is>
      </c>
      <c r="DR5" s="34" t="inlineStr">
        <is>
          <t>Is this product UL 1678 Listed? This means that the international standards testing company UL (Underwriters' Laboratories) has tested this product and found it to be in compliance with Category 1678 safety standards.</t>
        </is>
      </c>
      <c r="DS5" s="34" t="inlineStr">
        <is>
          <t>Is the product regulated as Hazardous Material / Dangerous Goods?
Hazardous Materials/Dangerous Goods are substances that when transported pose a risk to health, safety, property or the environment.  
These materials may include explosives, compressed gases (aerosols), flammable liquids, oxidizers, toxic/poisonous, radioactive, corrosive, batteries, etc.
An SDS is is a document that lists information relating to occupational safety and health for the use of various substances and products. 
The SDS includes information such as the properties of each chemical; the physical, health, and environmental health hazards; protective measures; and safety precautions for handling, storing, and transporting the chemical or product.</t>
        </is>
      </c>
      <c r="DT5" s="34" t="inlineStr">
        <is>
          <t>Please provide the UN or ID number. The UN or ID number is a 4 digit numeric code that identifies hazardous materials/dangerous goods, and articles in the framework of international and domestic transport. This can be found in section 14 of the Safety Data Sheet (SDS). Example - "UN3480" - Lithium Ion Batteries. If your UN number is not one of the options in the dropdown, please write this in manually.</t>
        </is>
      </c>
      <c r="DU5" s="34" t="inlineStr">
        <is>
          <t>Please provide the Hazard Class(es).  This is the category of hazard assigned to a hazardous material/dangerous goods under the definitional criteria of the transportation regulations. A material may meet the defining criteria for more than one hazard class but is assigned to only one hazard class. Hazard classes vary from 1-9.This can be found in section 14 of the Safety Data Sheet (SDS).</t>
        </is>
      </c>
      <c r="DV5" s="34" t="inlineStr">
        <is>
          <t>Please provide the packing group (if applicable).  Packing Groups I, II and III indicate the degree of danger presented by the material is great, medium or minor, respectively. Some hazardous materials/dangerous goods do not have a packing group assigned. This can be found in section 14 of the Safety Data Sheet (SDS).</t>
        </is>
      </c>
      <c r="DW5" s="34" t="inlineStr">
        <is>
          <t>Please provide the net weight or, for liquids, the net volume of hazardous material per unit of product. Provide the net weight of the hazardous materials/dangerous goods in your product in grams or kilograms.  For example -if your product is a vacuum containing a lithium ion battery, you would enter the net weight of the battery.</t>
        </is>
      </c>
      <c r="DX5" s="34" t="inlineStr">
        <is>
          <t>Is this product compliant with U.S. Energy Efficiency requirements, including those set forth in the Energy Policy and Conservation Act of 1975 (ECPA), the National Appliance Energy Conservation Act (NAECA), the Energy Policy Act of 1992 and 2005, and the Energy Independence and Security Act of 2007, as applicable?</t>
        </is>
      </c>
      <c r="DY5" s="34" t="inlineStr">
        <is>
          <t>Which of the following certification or verification marks does your product have? If the item is not certified/verified with any safety listing, please select Does Not Apply.</t>
        </is>
      </c>
      <c r="DZ5" s="34" t="inlineStr">
        <is>
          <t>In a comma separated list, please outline the registration numbers associated to the safety listings you claimed this product has, in the following structure: Safety Listing - Registration Number. Example: UL Listed - ABC1234567, TÜV Rheinland Certified - DEFGH8910. This number may be referred to as a "Certification Number", "File Number", "Model Number", "Listing Number" or "Certification ID Number" depending on where the certification is from</t>
        </is>
      </c>
      <c r="EA5" s="34" t="inlineStr">
        <is>
          <t>Is this product compliant with 16 CFR 1263, the safety standard for button cell or coin batteries adopted per the requirements under Reese's Law? Testing to ANSI/UL 4200A-2023 demonstrates compliance. Please Note: A "No" answer to this question will result in your product being restricted from sale.</t>
        </is>
      </c>
      <c r="EB5" s="34" t="inlineStr">
        <is>
          <t>Is the packaging for this SKU ISTA Certified (1A, 3A, 6A)?</t>
        </is>
      </c>
      <c r="EC5" s="34" t="inlineStr">
        <is>
          <t>Do you have any certifications or credentials related to environmental sustainability, social responsibility, or ethical sourcing (e.g.,OEKO-TEX®, GREENGUARD, GoodWeave, Fair Trade, FSC, etc.)? To see examples of certificates currently part of our Shop Sustainably program, please visit: https://www.aboutwayfair.com/shop-sustainably. Please upload all related certificates so your products can be merchandised as part of the Shop Sustainably program.</t>
        </is>
      </c>
      <c r="ED5" s="34" t="inlineStr">
        <is>
          <t>For BIFMA Accredited products, suppliers must upload an ANSI/BIFMA durability-related testing document for the product from an ISO 17025 accredited lab. For BIFMA Equivalent products, suppliers must upload an ANSI/BIFMA durability-related testing document for the product, but the lab is not required to be ISO 17025 accredited. For Contract Grade Accredited products, suppliers must upload a testing document that aligns with Wayfair’s contract grade standards, along with a signed consent letter. Reference the Contract Grade help center article or reach out to your relationship manager for more information.</t>
        </is>
      </c>
      <c r="EE5" s="34" t="inlineStr">
        <is>
          <t>[Inches] What is the overall width of the TV Stand (side to side)? Please enter just the number (i.e. 45.5). Please DO NOT duplicate this tag - any additional information can be stored in Shelf Dimensions, Cabinet Dimensions, or as a bullet.</t>
        </is>
      </c>
      <c r="EF5" s="34" t="inlineStr">
        <is>
          <t>[Inches] What is the overall depth of the TV Stand (front to back)? Please enter just the number (i.e. 45.5).</t>
        </is>
      </c>
      <c r="EG5" s="34" t="inlineStr">
        <is>
          <t>[Inches] What is the overall height of the Entertainment Center (top to bottom)? Enter just the value (i.e., 45.5).</t>
        </is>
      </c>
      <c r="EH5" s="34" t="inlineStr">
        <is>
          <t>[Inches] What is the overall width of the Entertainment Center (side to side)? Please enter just the number (i.e. 45.5). Please DO NOT duplicate this tag - any additional information can be stored in Shelf Dimensions, Cabinet Dimensions, or as a bullet.</t>
        </is>
      </c>
      <c r="EI5" s="34" t="inlineStr">
        <is>
          <t>[Inches] What is the overall depth of the Entertainment Center (front to back)? Enter just the value (i.e., 45.5).</t>
        </is>
      </c>
      <c r="EJ5" s="34" t="inlineStr">
        <is>
          <t>[Pounds] What is the total weight of this product once assembled? If this product includes multiples of the same item, add weight of one individual unit (e.g. 1 Dining Chair in a set of 2). Please enter just the number (i.e. 45.5).</t>
        </is>
      </c>
      <c r="EK5" s="34" t="inlineStr">
        <is>
          <t>What is the largest size of TV this stand can hold, in inches? The TV size is the diagonal measurement (the distance between opposite corners) of the screen in inches. Please use the following calculation, based on a standard 16:9 HDTV aspect ratio: for TV Stands, calculate TV Stand Overall Width * 1.15, and for Entertainment Centers calculate TV Opening Width * 1.15. Both calculations should be rounded down to the closest standard TV size.</t>
        </is>
      </c>
      <c r="EL5" s="34" t="inlineStr">
        <is>
          <t>[Inches] What is the overall height of the TV stand (top to bottom)? Enter just the value (i.e., 45.5).</t>
        </is>
      </c>
      <c r="EM5" s="34" t="inlineStr">
        <is>
          <t>Does the product require any form of assembly prior to use as intended?</t>
        </is>
      </c>
      <c r="EN5" s="34" t="inlineStr">
        <is>
          <t>What is the level of assembly required?</t>
        </is>
      </c>
      <c r="EO5" s="34" t="inlineStr">
        <is>
          <t>What additional tools will the customer need to set-up this product that are NOT included with purchase?</t>
        </is>
      </c>
      <c r="EP5" s="34" t="inlineStr">
        <is>
          <t>Does the manufacturer warranty cover the use of this product in a commercial environment?</t>
        </is>
      </c>
      <c r="EQ5" s="34" t="inlineStr">
        <is>
          <t>How long does the manufacturer warranty apply for the product used in a commercial (non-residential) environment? If the correct value is not found, please select the closest available answer that is shorter than the warranty length. If warranty length varies by part, please select the answer that matches the part of the product with the shortest warranty. Please use the “Warranty Details” tag for any additional details.</t>
        </is>
      </c>
      <c r="ER5" s="34" t="inlineStr">
        <is>
          <t>Please indicate if there is a warranty on this product if it were to be used in a residential setting.</t>
        </is>
      </c>
      <c r="ES5" s="34" t="inlineStr">
        <is>
          <t>Please indicate if the warranty is Full or Limited.</t>
        </is>
      </c>
      <c r="ET5" s="34" t="inlineStr">
        <is>
          <t>Please indicate the length of the warranty offered from our list if this product were to be used in a residential setting. If the correct value is not found, please indicate both the number and unit (Days, Months, Years) that is appropriate.</t>
        </is>
      </c>
    </row>
    <row r="6" ht="50" customHeight="1">
      <c r="A6" s="34" t="inlineStr">
        <is>
          <t>Read-Only</t>
        </is>
      </c>
      <c r="B6" s="34" t="inlineStr">
        <is>
          <t>Text</t>
        </is>
      </c>
      <c r="C6" s="34" t="inlineStr">
        <is>
          <t>Text</t>
        </is>
      </c>
      <c r="D6" s="35" t="inlineStr">
        <is>
          <t>Select</t>
        </is>
      </c>
      <c r="E6" s="34" t="inlineStr">
        <is>
          <t>Text</t>
        </is>
      </c>
      <c r="F6" s="34" t="inlineStr">
        <is>
          <t>Text</t>
        </is>
      </c>
      <c r="G6" s="34" t="inlineStr">
        <is>
          <t>Text</t>
        </is>
      </c>
      <c r="H6" s="34" t="inlineStr">
        <is>
          <t>Text</t>
        </is>
      </c>
      <c r="I6" s="34" t="inlineStr">
        <is>
          <t>Text</t>
        </is>
      </c>
      <c r="J6" s="34" t="inlineStr">
        <is>
          <t>Number</t>
        </is>
      </c>
      <c r="K6" s="34" t="inlineStr">
        <is>
          <t>Number</t>
        </is>
      </c>
      <c r="L6" s="34" t="inlineStr">
        <is>
          <t>Number</t>
        </is>
      </c>
      <c r="M6" s="34" t="inlineStr">
        <is>
          <t>Text</t>
        </is>
      </c>
      <c r="N6" s="34" t="inlineStr">
        <is>
          <t>Text</t>
        </is>
      </c>
      <c r="O6" s="34" t="inlineStr">
        <is>
          <t>Text</t>
        </is>
      </c>
      <c r="P6" s="34" t="inlineStr">
        <is>
          <t>Text</t>
        </is>
      </c>
      <c r="Q6" s="34" t="inlineStr">
        <is>
          <t>Text</t>
        </is>
      </c>
      <c r="R6" s="34" t="inlineStr">
        <is>
          <t>Text</t>
        </is>
      </c>
      <c r="S6" s="34" t="inlineStr">
        <is>
          <t>Whole Number</t>
        </is>
      </c>
      <c r="T6" s="34" t="inlineStr">
        <is>
          <t>Whole Number</t>
        </is>
      </c>
      <c r="U6" s="34" t="inlineStr">
        <is>
          <t>Whole Number</t>
        </is>
      </c>
      <c r="V6" s="34" t="inlineStr">
        <is>
          <t>Number</t>
        </is>
      </c>
      <c r="W6" s="35" t="inlineStr">
        <is>
          <t>Select</t>
        </is>
      </c>
      <c r="X6" s="35" t="inlineStr">
        <is>
          <t>Select</t>
        </is>
      </c>
      <c r="Y6" s="35" t="inlineStr">
        <is>
          <t>Select</t>
        </is>
      </c>
      <c r="Z6" s="35" t="inlineStr">
        <is>
          <t>Select</t>
        </is>
      </c>
      <c r="AA6" s="34" t="inlineStr">
        <is>
          <t>Text</t>
        </is>
      </c>
      <c r="AB6" s="34" t="inlineStr">
        <is>
          <t>Yes or No</t>
        </is>
      </c>
      <c r="AC6" s="34" t="inlineStr">
        <is>
          <t>Yes or No</t>
        </is>
      </c>
      <c r="AD6" s="34" t="inlineStr">
        <is>
          <t>Number</t>
        </is>
      </c>
      <c r="AE6" s="34" t="inlineStr">
        <is>
          <t>Number</t>
        </is>
      </c>
      <c r="AF6" s="34" t="inlineStr">
        <is>
          <t>Number</t>
        </is>
      </c>
      <c r="AG6" s="34" t="inlineStr">
        <is>
          <t>Number</t>
        </is>
      </c>
      <c r="AH6" s="34" t="inlineStr">
        <is>
          <t>Yes or No</t>
        </is>
      </c>
      <c r="AI6" s="35" t="inlineStr">
        <is>
          <t>Select</t>
        </is>
      </c>
      <c r="AJ6" s="35" t="inlineStr">
        <is>
          <t>Please choose one or more from the following, using a semicolon (;) to separate each value: Cancer; Developmental</t>
        </is>
      </c>
      <c r="AK6" s="35" t="inlineStr">
        <is>
          <t>Select</t>
        </is>
      </c>
      <c r="AL6" s="34" t="inlineStr">
        <is>
          <t>Text</t>
        </is>
      </c>
      <c r="AM6" s="34" t="inlineStr">
        <is>
          <t>Text</t>
        </is>
      </c>
      <c r="AN6" s="34" t="inlineStr">
        <is>
          <t>Text</t>
        </is>
      </c>
      <c r="AO6" s="34" t="inlineStr">
        <is>
          <t>Text</t>
        </is>
      </c>
      <c r="AP6" s="34" t="inlineStr">
        <is>
          <t>Text</t>
        </is>
      </c>
      <c r="AQ6" s="34" t="inlineStr">
        <is>
          <t>Text</t>
        </is>
      </c>
      <c r="AR6" s="34" t="inlineStr">
        <is>
          <t>Text</t>
        </is>
      </c>
      <c r="AS6" s="35" t="inlineStr">
        <is>
          <t>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t>
        </is>
      </c>
      <c r="AT6" s="35" t="inlineStr">
        <is>
          <t>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t>
        </is>
      </c>
      <c r="AU6" s="35" t="inlineStr">
        <is>
          <t>Select</t>
        </is>
      </c>
      <c r="AV6" s="35" t="inlineStr">
        <is>
          <t>Select</t>
        </is>
      </c>
      <c r="AW6" s="34" t="inlineStr">
        <is>
          <t>Text</t>
        </is>
      </c>
      <c r="AX6" s="35" t="inlineStr">
        <is>
          <t>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t>
        </is>
      </c>
      <c r="AY6" s="35" t="inlineStr">
        <is>
          <t>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t>
        </is>
      </c>
      <c r="AZ6" s="35" t="inlineStr">
        <is>
          <t>Select</t>
        </is>
      </c>
      <c r="BA6" s="35" t="inlineStr">
        <is>
          <t>Select</t>
        </is>
      </c>
      <c r="BB6" s="34" t="inlineStr">
        <is>
          <t>Text</t>
        </is>
      </c>
      <c r="BC6" s="35" t="inlineStr">
        <is>
          <t>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t>
        </is>
      </c>
      <c r="BD6" s="35" t="inlineStr">
        <is>
          <t>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t>
        </is>
      </c>
      <c r="BE6" s="35" t="inlineStr">
        <is>
          <t>Select</t>
        </is>
      </c>
      <c r="BF6" s="35" t="inlineStr">
        <is>
          <t>Select</t>
        </is>
      </c>
      <c r="BG6" s="35" t="inlineStr">
        <is>
          <t>Select</t>
        </is>
      </c>
      <c r="BH6" s="34" t="inlineStr">
        <is>
          <t>Yes or No</t>
        </is>
      </c>
      <c r="BI6" s="34" t="inlineStr">
        <is>
          <t>Yes or No</t>
        </is>
      </c>
      <c r="BJ6" s="34" t="inlineStr">
        <is>
          <t>Whole Number</t>
        </is>
      </c>
      <c r="BK6" s="34" t="inlineStr">
        <is>
          <t>Yes or No</t>
        </is>
      </c>
      <c r="BL6" s="34" t="inlineStr">
        <is>
          <t>Yes or No</t>
        </is>
      </c>
      <c r="BM6" s="34" t="inlineStr">
        <is>
          <t>Yes or No</t>
        </is>
      </c>
      <c r="BN6" s="34" t="inlineStr">
        <is>
          <t>Yes or No</t>
        </is>
      </c>
      <c r="BO6" s="34" t="inlineStr">
        <is>
          <t>Yes or No</t>
        </is>
      </c>
      <c r="BP6" s="35" t="inlineStr">
        <is>
          <t>Please choose one or more from the following, using a semicolon (;) to separate each value: Cabinet/Enclosed storage; TV Stand Fireplace; Open shelving; Corner unit; Hutch; Piers; Floating mount; Standard; Demilune; Nesting; Apothecary; Multi-tiered; Floor; Corner; Basket Storage; Tabletop; Hanging; Bombe; Etagere; Wall Mounted; Double Walled; Console; Pedestal; Unavailable; Does Not Apply</t>
        </is>
      </c>
      <c r="BQ6" s="35" t="inlineStr">
        <is>
          <t>Please choose one or more from the following, using a semicolon (;) to separate each value: Glass; Stainless Steel; Cane; Raffia; Mango Wood; Aluminum; Manufactured Wood; Leather; Bamboo; Ceramic; Faux Leather; Iron; Marble / Granite; Metal; Plastic / Acrylic; Teak; Solid + Manufactured Wood; Steel; Solid Wood; Wicker; Reclaimed Wood</t>
        </is>
      </c>
      <c r="BR6" s="35" t="inlineStr">
        <is>
          <t>Please choose one or more from the following, using a semicolon (;) to separate each value: Distressed Leather; Paint Distressing; Distressed Grain Accents; Coat/Paint Distressing; Wormholes; No Natural Variation; No Distressing; Distressed Metal; Worn/Fade; Wood Scoring &amp; Rub Through; Unavailable</t>
        </is>
      </c>
      <c r="BS6" s="35" t="inlineStr">
        <is>
          <t>Please choose one or more from the following, using a semicolon (;) to separate each value: No Natural Variation; Natural Wood Grain Color Variation; Weathered Steel; Wood Knots; Natural Stone Color Variation; Unavailable</t>
        </is>
      </c>
      <c r="BT6" s="34" t="inlineStr">
        <is>
          <t>Yes or No</t>
        </is>
      </c>
      <c r="BU6" s="34" t="inlineStr">
        <is>
          <t>Yes or No</t>
        </is>
      </c>
      <c r="BV6" s="34" t="inlineStr">
        <is>
          <t>Yes or No</t>
        </is>
      </c>
      <c r="BW6" s="34" t="inlineStr">
        <is>
          <t>Yes or No</t>
        </is>
      </c>
      <c r="BX6" s="34" t="inlineStr">
        <is>
          <t>Yes or No</t>
        </is>
      </c>
      <c r="BY6" s="34" t="inlineStr">
        <is>
          <t>Yes or No</t>
        </is>
      </c>
      <c r="BZ6" s="34" t="inlineStr">
        <is>
          <t>Yes or No</t>
        </is>
      </c>
      <c r="CA6" s="34" t="inlineStr">
        <is>
          <t>Yes or No</t>
        </is>
      </c>
      <c r="CB6" s="34" t="inlineStr">
        <is>
          <t>Yes or No</t>
        </is>
      </c>
      <c r="CC6" s="35" t="inlineStr">
        <is>
          <t>Select</t>
        </is>
      </c>
      <c r="CD6" s="34" t="inlineStr">
        <is>
          <t>Yes or No</t>
        </is>
      </c>
      <c r="CE6" s="34" t="inlineStr">
        <is>
          <t>Yes or No</t>
        </is>
      </c>
      <c r="CF6" s="35" t="inlineStr">
        <is>
          <t>Please choose one or more from the following, using a semicolon (;) to separate each value: Non Residential Use; Residential Use</t>
        </is>
      </c>
      <c r="CG6" s="35" t="inlineStr">
        <is>
          <t>Please choose one or more from the following, using a semicolon (;) to separate each value: Made in USA; Made in USA of Imported Materials; Product of Canada; Made In Canada; Does Not Apply</t>
        </is>
      </c>
      <c r="CH6" s="35" t="inlineStr">
        <is>
          <t>Select</t>
        </is>
      </c>
      <c r="CI6" s="34" t="inlineStr">
        <is>
          <t>Yes or No</t>
        </is>
      </c>
      <c r="CJ6" s="35" t="inlineStr">
        <is>
          <t>Please choose one or more from the following, using a semicolon (;) to separate each value: Acacia; Alder; Ash; Bamboo; Beech; Birch; Camphor; Cedar; Cherry; Elm; Eucalyptus; Fir; Hickory; Mahogany; Mango; Maple; Oak; Pine; Poplar; Rosewood; Rubberwood; Sheesham; Spruce; Teak; Walnut; Wenge; Pecan; Shorea; Paulownia; Chestnut; Hemlock; Aspen; Mindi; Ipe; Olive; Ajo; Agarwood; Afzelia; Afrormosia; Bubinga; Brazilwood; Cumaru; Cedar, Mulanje; Cedar, Spanish; Aloewood; Lignum vitae; Mahogany, African; Mahogany, Mexican; Padauk, African; Macacauba; Ebony, Madagascar; Lignum vitae, Argentine; Gavilan; Mahogany, Honduran; Mahogany, Cuban; Stinkwood, red; Yew, Chinese; Pau rosa, Brazilian; Sandalwood, East African; Ramin; Zitan; Yew, Himalayan; Yew, Japanese; Rosewood, Siamese; Yew, Taiwan; Burlwood; Platane Wood; Sungkai; Does Not Apply</t>
        </is>
      </c>
      <c r="CK6" s="34" t="inlineStr">
        <is>
          <t>Yes or No</t>
        </is>
      </c>
      <c r="CL6" s="35" t="inlineStr">
        <is>
          <t>Select</t>
        </is>
      </c>
      <c r="CM6" s="35" t="inlineStr">
        <is>
          <t>Select</t>
        </is>
      </c>
      <c r="CN6" s="35" t="inlineStr">
        <is>
          <t>Select</t>
        </is>
      </c>
      <c r="CO6" s="35" t="inlineStr">
        <is>
          <t>Select</t>
        </is>
      </c>
      <c r="CP6" s="35" t="inlineStr">
        <is>
          <t>Select</t>
        </is>
      </c>
      <c r="CQ6" s="35" t="inlineStr">
        <is>
          <t>Select</t>
        </is>
      </c>
      <c r="CR6" s="35" t="inlineStr">
        <is>
          <t>Select</t>
        </is>
      </c>
      <c r="CS6" s="34" t="inlineStr">
        <is>
          <t>Yes or No</t>
        </is>
      </c>
      <c r="CT6" s="34" t="inlineStr">
        <is>
          <t>Yes or No</t>
        </is>
      </c>
      <c r="CU6" s="34" t="inlineStr">
        <is>
          <t>Number</t>
        </is>
      </c>
      <c r="CV6" s="35" t="inlineStr">
        <is>
          <t>Please choose one or more from the following, using a semicolon (;) to separate each value: Hand wash recommended; Dishwasher safe; Spot clean only; Hand wash only; Delicate cycle; Commercial laundry safe; Do not use a fabric softener; Cold wash; Sweep / Dust Mop; Cut loose threads using a scissor; Clean with soap and water; Clean spills immediately; Dishwasher safe component; Lay flat to dry; Dryer safe; Warm wash; Non-Abrasive, Neutral Ph Cleaner; Commercial dishwasher safe; Vacuum with no beater bar/rotating brush; Air / Line Dry; Professional / Dry Clean Recommended; Wash With Garden Hose Or Pressure Washer; Machine washable components; Professional / Dry Clean Only; Vacuum with upholstery attachment; Vacuum with beater bar/rotating brush; Clean with bleach and water; Use product specific cleaner; Oil / seal / treat regularly; Shake to remove dust; Tumble dry; Iron safe; Wipe clean with a dry cloth; Cover when not in use; Avoid use of abrasive cleaners; Tile specific cleaner; Do not wash; Dust mop; Hose down; Towel dry immediately; Household floor cleaner; Spot clean; Wipe with wet cloth; Spot clean with water; When cushions are wet, open cushion zippers and prop up to dry in order to maintain quality; Oil 1-2 times per year; No washing / drying care; Do not bleach; Treat with wood protector; Do not dry clean; Clean with diluted vinegar and water; Store indoors or cover when not in use; Use carpet cleaner; Air dry cushions covers; Do not use bleach or bleach solutions; Rinse with water only; Dishwasher safe removable parts; Clean and re-seal with natural stone sealant; To prevent oil stains wipe with a damp cloth before using; After cleaning, use sealant; Apply oil to maintain color and prolong durability; Vacuum; Avoid direct sunlight; Dry after use; Use furniture pads; Apply epoxy clear coat once per year; Clean with cloth, mild soap, and warm water; Spot clean with mild detergent; Spot clean as needed; Automatic; Hot water extraction; Spot clean with dry cloth; Clean the product at least one time per month. We suggest the use of Rejuven</t>
        </is>
      </c>
      <c r="CW6" s="34" t="inlineStr">
        <is>
          <t>Yes or No</t>
        </is>
      </c>
      <c r="CX6" s="35" t="inlineStr">
        <is>
          <t>Please choose one or more from the following, using a semicolon (;) to separate each value: Polyethylene; Steel; Wood Veneers; Polyvinyl Chloride (PVC); Polycarbonate; Stainless Steel; Marble; Solid + Manufactured Wood; Wood; Clear Glass; Stone; Glass; Melamine; Aluminum; Acrylic; Resin; Tinted Glass; Laminate; Metal; Wire; Mirrored; Plastic; Manufactured Wood; Glass / Polycarbonate; Wicker; Iron; Solid Wood; Granite; Unavailable; Does Not Apply</t>
        </is>
      </c>
      <c r="CY6" s="35" t="inlineStr">
        <is>
          <t>Please choose one or more from the following, using a semicolon (;) to separate each value: Clear; Cream; Purple; Gold; Silver; Polished Chrome; Polished Nickel; Stainless Steel; Bronze; Chrome; Oil Rubbed Bronze; Matte Black; Satin Nickel; Brushed Nickel; Antique Brass; Antique Bronze; Copper; Antique Copper; Brushed Brass; Polished Brass; Brass; Satin Brass; Brushed Gold; Nickel; Ivory; Green; Orange; Beige; Teal; Red; Satin; Yellow; Pink; White; Brown; Blue; Satin Black; Rose Gold; Navy; Black; Tan; Gray; Brown Wood; Dark Brown Wood; Medium Yellow Wood; Espresso Wood; Medium Wood; Red Wood; Beige Wood; Natural Wood; Gray Wood; Light Yellow Wood; White Wood; Oak Wood</t>
        </is>
      </c>
      <c r="CZ6" s="35" t="inlineStr">
        <is>
          <t>Please choose one or more from the following, using a semicolon (;) to separate each value: 0.6 Extension; Ball Bearing; Soft Close; Roller Glides; 0.75 Extension; Full Extension; Metal Slide; 0.5 Extension; Wood Slide; Center Slides; Kenlin; Side-Mounted Glides; Undermount Glides; Euro Glides; Unavailable; Does Not Apply</t>
        </is>
      </c>
      <c r="DA6" s="35" t="inlineStr">
        <is>
          <t>Select</t>
        </is>
      </c>
      <c r="DB6" s="35" t="inlineStr">
        <is>
          <t>Please choose one or more from the following, using a semicolon (;) to separate each value: Electric; Dual Fuel; Induction; Wood Pellets; Natural Gas; Liquid Propane; Wood Burning; Gel Fuel; Bio-Ethanol; Propane; Butane; Charcoal; Ethanol; Alcohol; Does Not Apply</t>
        </is>
      </c>
      <c r="DC6" s="35" t="inlineStr">
        <is>
          <t>Please choose one or more from the following, using a semicolon (;) to separate each value: Flush; Glass; Louvered; Paneled; Mirrored; Barn Doors; Frosted; Insulated; Contoured; Tinted; See Through; Double Pane; Does Not Apply</t>
        </is>
      </c>
      <c r="DD6" s="34" t="inlineStr">
        <is>
          <t>Yes or No</t>
        </is>
      </c>
      <c r="DE6" s="34" t="inlineStr">
        <is>
          <t>Yes or No</t>
        </is>
      </c>
      <c r="DF6" s="35" t="inlineStr">
        <is>
          <t>Please choose one or more from the following, using a semicolon (;) to separate each value: Drawers; Fireplace; Hutch; Shelves; Bridge; Exterior Shelves; Fireplace Remote; Integrated TV Mount; Interior Shelves; Media Storage; Pier / Bookcase; Sound Bar Shelf; TV Anti-Tip Kit; Wheels / Casters; Cabinets; Unavailable; Does Not Apply</t>
        </is>
      </c>
      <c r="DG6" s="34" t="inlineStr">
        <is>
          <t>Whole Number</t>
        </is>
      </c>
      <c r="DH6" s="34" t="inlineStr">
        <is>
          <t>Yes or No</t>
        </is>
      </c>
      <c r="DI6" s="35" t="inlineStr">
        <is>
          <t>Please choose one or more from the following, using a semicolon (;) to separate each value: Gel; Gas; Wood; Electric; Unavailable; Does Not Apply</t>
        </is>
      </c>
      <c r="DJ6" s="35" t="inlineStr">
        <is>
          <t>Select</t>
        </is>
      </c>
      <c r="DK6" s="34" t="inlineStr">
        <is>
          <t>Yes or No</t>
        </is>
      </c>
      <c r="DL6" s="35" t="inlineStr">
        <is>
          <t>Select</t>
        </is>
      </c>
      <c r="DM6" s="35" t="inlineStr">
        <is>
          <t>Select</t>
        </is>
      </c>
      <c r="DN6" s="35" t="inlineStr">
        <is>
          <t>Select</t>
        </is>
      </c>
      <c r="DO6" s="35" t="inlineStr">
        <is>
          <t>Select</t>
        </is>
      </c>
      <c r="DP6" s="34" t="inlineStr">
        <is>
          <t>Yes or No</t>
        </is>
      </c>
      <c r="DQ6" s="35" t="inlineStr">
        <is>
          <t>Please choose one or more from the following, using a semicolon (;) to separate each value: Dual Language; Distribution Conflict; Logistics; Does Not Apply</t>
        </is>
      </c>
      <c r="DR6" s="35" t="inlineStr">
        <is>
          <t>Select</t>
        </is>
      </c>
      <c r="DS6" s="34" t="inlineStr">
        <is>
          <t>Yes or No</t>
        </is>
      </c>
      <c r="DT6" s="35" t="inlineStr">
        <is>
          <t>Please choose one or more from the following, using a semicolon (;) to separate each value: UN3091; UN3481; UN2800; UN1950; UN3496; ID8000; UN1013; UN3082; UN3077; UN3480; UN2857; UN3358; UN3090; UN1266; UN1993; UN1944; UN1070; UN1044; UN3163; UN1268; UN1760; UN1011; UN2794; UN1759; UN3171; UN1987; UN1263; UN1170; UN3265; UN3260; UN3215; UN1006; UN3175; Does Not Apply</t>
        </is>
      </c>
      <c r="DU6" s="35" t="inlineStr">
        <is>
          <t>Select</t>
        </is>
      </c>
      <c r="DV6" s="35" t="inlineStr">
        <is>
          <t>Select</t>
        </is>
      </c>
      <c r="DW6" s="35" t="inlineStr">
        <is>
          <t>Select</t>
        </is>
      </c>
      <c r="DX6" s="35" t="inlineStr">
        <is>
          <t>Select</t>
        </is>
      </c>
      <c r="DY6" s="35" t="inlineStr">
        <is>
          <t>Please choose one or more from the following, using a semicolon (;) to separate each value: TÜV Rheinland Certified; MET Listed; AFNOR UK Ltd; BSI Assurance UK Ltd; cUL Listed; ETL Listed; DBI Certification Ltd; UL Listed; cETL Listed; CSA Certified; SGS North America Listed; Does Not Apply</t>
        </is>
      </c>
      <c r="DZ6" s="34" t="inlineStr">
        <is>
          <t>Text</t>
        </is>
      </c>
      <c r="EA6" s="35" t="inlineStr">
        <is>
          <t>Select</t>
        </is>
      </c>
      <c r="EB6" s="35" t="inlineStr">
        <is>
          <t>Select</t>
        </is>
      </c>
      <c r="EC6" s="34" t="inlineStr">
        <is>
          <t>Yes or No</t>
        </is>
      </c>
      <c r="ED6" s="35" t="inlineStr">
        <is>
          <t>Select</t>
        </is>
      </c>
      <c r="EE6" s="34" t="inlineStr">
        <is>
          <t>Number</t>
        </is>
      </c>
      <c r="EF6" s="34" t="inlineStr">
        <is>
          <t>Number</t>
        </is>
      </c>
      <c r="EG6" s="34" t="inlineStr">
        <is>
          <t>Number</t>
        </is>
      </c>
      <c r="EH6" s="34" t="inlineStr">
        <is>
          <t>Number</t>
        </is>
      </c>
      <c r="EI6" s="34" t="inlineStr">
        <is>
          <t>Number</t>
        </is>
      </c>
      <c r="EJ6" s="34" t="inlineStr">
        <is>
          <t>Number</t>
        </is>
      </c>
      <c r="EK6" s="35" t="inlineStr">
        <is>
          <t>Select</t>
        </is>
      </c>
      <c r="EL6" s="34" t="inlineStr">
        <is>
          <t>Number</t>
        </is>
      </c>
      <c r="EM6" s="34" t="inlineStr">
        <is>
          <t>Yes or No</t>
        </is>
      </c>
      <c r="EN6" s="35" t="inlineStr">
        <is>
          <t>Select</t>
        </is>
      </c>
      <c r="EO6" s="35" t="inlineStr">
        <is>
          <t>Please choose one or more from the following, using a semicolon (;) to separate each value: All Tools Included; Tool Free Assembly; Screwdriver; Allen Wrench; Adjustable Wrench; Socket Wrench; Power Drill; Hammer; Pliers; Ratchet; Utility Saw; Saw; Measuring Tape; Mallet; Level; Box Cutter; Caulk / Adhesive; Anchors / Stakes; Clamps; Drill Bit; Gloves; Hex Key; Glass Cutter; Chop Saw; Circular Saw; Phillips Head Screwdriver; Crescent Wrench; Flat Screwdriver; Adhesive Roller / Tray; Shovel; Drill; Smoother / Squeegee; Ladder; Wire Stripper; Razor Knife; Pencil; Electric Drill; Screw Gun; Scissors; Ruler; Safety Glasses; Utility Knife; Rope; Ear Protection; Stud Finder; Wrench; Tape Measure; Screws; Wire Cap; Hammer / Mallet; Chalk Line; Landscaping Fabric; No Tools Needed; Tile Cutter; Straight Edge; Silicone; Wet Saw; Torx Bit; Unavailable; Does Not Apply</t>
        </is>
      </c>
      <c r="EP6" s="34" t="inlineStr">
        <is>
          <t>Yes or No</t>
        </is>
      </c>
      <c r="EQ6" s="35" t="inlineStr">
        <is>
          <t>Select</t>
        </is>
      </c>
      <c r="ER6" s="34" t="inlineStr">
        <is>
          <t>Yes or No</t>
        </is>
      </c>
      <c r="ES6" s="35" t="inlineStr">
        <is>
          <t>Select</t>
        </is>
      </c>
      <c r="ET6" s="35" t="inlineStr">
        <is>
          <t>Please choose one or more from the following, using a semicolon (;) to separate each value: 30 Days; 60 Days; 90 Days; 6 Months; 1 Year; 2 Years; 3 Years; 5 Years; 10 Years; 20 Years; 25 Years; Lifetime; Warranty length varies by part; 15 Years; 18 Months; 12 Years; 6 Years; 4 Years; 8 Years; 7 Years; Does Not Apply</t>
        </is>
      </c>
    </row>
    <row r="7">
      <c r="B7" s="36" t="inlineStr">
        <is>
          <t>Default Row:</t>
        </is>
      </c>
      <c r="C7" s="36" t="inlineStr">
        <is>
          <t>N/A</t>
        </is>
      </c>
      <c r="D7" s="37" t="n"/>
      <c r="E7" s="36" t="inlineStr">
        <is>
          <t>N/A</t>
        </is>
      </c>
      <c r="F7" s="36" t="inlineStr">
        <is>
          <t>N/A</t>
        </is>
      </c>
      <c r="G7" s="36" t="inlineStr">
        <is>
          <t>N/A</t>
        </is>
      </c>
      <c r="H7" s="37" t="n"/>
      <c r="I7" s="36" t="inlineStr">
        <is>
          <t>N/A</t>
        </is>
      </c>
      <c r="J7" s="36" t="inlineStr">
        <is>
          <t>N/A</t>
        </is>
      </c>
      <c r="K7" s="37" t="n"/>
      <c r="L7" s="37" t="n"/>
      <c r="M7" s="37" t="n"/>
      <c r="N7" s="37" t="n"/>
      <c r="O7" s="37" t="n"/>
      <c r="P7" s="37" t="n"/>
      <c r="Q7" s="37" t="n"/>
      <c r="R7" s="37" t="n"/>
      <c r="S7" s="37" t="n"/>
      <c r="T7" s="37" t="n"/>
      <c r="U7" s="37" t="n"/>
      <c r="V7" s="37" t="n"/>
      <c r="W7" s="37" t="n"/>
      <c r="X7" s="37" t="n"/>
      <c r="Y7" s="37" t="n"/>
      <c r="Z7" s="37" t="n"/>
      <c r="AA7" s="37" t="n"/>
      <c r="AB7" s="37" t="n"/>
      <c r="AC7" s="37" t="n"/>
      <c r="AD7" s="37" t="n"/>
      <c r="AE7" s="37" t="n"/>
      <c r="AF7" s="37" t="n"/>
      <c r="AG7" s="37" t="n"/>
      <c r="AH7" s="37" t="n"/>
      <c r="AI7" s="37" t="n"/>
      <c r="AJ7" s="37" t="n"/>
      <c r="AK7" s="37" t="n"/>
      <c r="AL7" s="36" t="inlineStr">
        <is>
          <t>N/A</t>
        </is>
      </c>
      <c r="AM7" s="36" t="inlineStr">
        <is>
          <t>N/A</t>
        </is>
      </c>
      <c r="AN7" s="36" t="inlineStr">
        <is>
          <t>N/A</t>
        </is>
      </c>
      <c r="AO7" s="36" t="inlineStr">
        <is>
          <t>N/A</t>
        </is>
      </c>
      <c r="AP7" s="36" t="inlineStr">
        <is>
          <t>N/A</t>
        </is>
      </c>
      <c r="AQ7" s="36" t="inlineStr">
        <is>
          <t>N/A</t>
        </is>
      </c>
      <c r="AR7" s="37" t="n"/>
      <c r="AS7" s="37" t="n"/>
      <c r="AT7" s="37" t="n"/>
      <c r="AU7" s="37" t="n"/>
      <c r="AV7" s="37" t="n"/>
      <c r="AW7" s="37" t="n"/>
      <c r="AX7" s="37" t="n"/>
      <c r="AY7" s="37" t="n"/>
      <c r="AZ7" s="37" t="n"/>
      <c r="BA7" s="37" t="n"/>
      <c r="BB7" s="37" t="n"/>
      <c r="BC7" s="37" t="n"/>
      <c r="BD7" s="37" t="n"/>
      <c r="BE7" s="37" t="n"/>
      <c r="BF7" s="37" t="n"/>
      <c r="BG7" s="37" t="n"/>
      <c r="BH7" s="37" t="n"/>
      <c r="BI7" s="37" t="n"/>
      <c r="BJ7" s="37" t="n"/>
      <c r="BK7" s="37" t="n"/>
      <c r="BL7" s="37" t="n"/>
      <c r="BM7" s="37" t="n"/>
      <c r="BN7" s="37" t="n"/>
      <c r="BO7" s="37" t="n"/>
      <c r="BP7" s="37" t="n"/>
      <c r="BQ7" s="37" t="n"/>
      <c r="BR7" s="37" t="n"/>
      <c r="BS7" s="37" t="n"/>
      <c r="BT7" s="37" t="n"/>
      <c r="BU7" s="37" t="n"/>
      <c r="BV7" s="37" t="n"/>
      <c r="BW7" s="37" t="n"/>
      <c r="BX7" s="37" t="n"/>
      <c r="BY7" s="37" t="n"/>
      <c r="BZ7" s="37" t="n"/>
      <c r="CA7" s="37" t="n"/>
      <c r="CB7" s="37" t="n"/>
      <c r="CC7" s="37" t="n"/>
      <c r="CD7" s="37" t="n"/>
      <c r="CE7" s="37" t="n"/>
      <c r="CF7" s="37" t="n"/>
      <c r="CG7" s="37" t="n"/>
      <c r="CH7" s="37" t="n"/>
      <c r="CI7" s="37" t="n"/>
      <c r="CJ7" s="37" t="n"/>
      <c r="CK7" s="37" t="n"/>
      <c r="CL7" s="37" t="n"/>
      <c r="CM7" s="37" t="n"/>
      <c r="CN7" s="37" t="n"/>
      <c r="CO7" s="37" t="n"/>
      <c r="CP7" s="37" t="n"/>
      <c r="CQ7" s="37" t="n"/>
      <c r="CR7" s="37" t="n"/>
      <c r="CS7" s="37" t="n"/>
      <c r="CT7" s="37" t="n"/>
      <c r="CU7" s="37" t="n"/>
      <c r="CV7" s="37" t="n"/>
      <c r="CW7" s="37" t="n"/>
      <c r="CX7" s="37" t="n"/>
      <c r="CY7" s="37" t="n"/>
      <c r="CZ7" s="37" t="n"/>
      <c r="DA7" s="37" t="n"/>
      <c r="DB7" s="37" t="n"/>
      <c r="DC7" s="37" t="n"/>
      <c r="DD7" s="37" t="n"/>
      <c r="DE7" s="37" t="n"/>
      <c r="DF7" s="37" t="n"/>
      <c r="DG7" s="37" t="n"/>
      <c r="DH7" s="37" t="n"/>
      <c r="DI7" s="37" t="n"/>
      <c r="DJ7" s="37" t="n"/>
      <c r="DK7" s="37" t="n"/>
      <c r="DL7" s="37" t="n"/>
      <c r="DM7" s="37" t="n"/>
      <c r="DN7" s="37" t="n"/>
      <c r="DO7" s="37" t="n"/>
      <c r="DP7" s="37" t="n"/>
      <c r="DQ7" s="37" t="n"/>
      <c r="DR7" s="37" t="n"/>
      <c r="DS7" s="37" t="n"/>
      <c r="DT7" s="37" t="n"/>
      <c r="DU7" s="37" t="n"/>
      <c r="DV7" s="37" t="n"/>
      <c r="DW7" s="37" t="n"/>
      <c r="DX7" s="37" t="n"/>
      <c r="DY7" s="37" t="n"/>
      <c r="DZ7" s="37" t="n"/>
      <c r="EA7" s="37" t="n"/>
      <c r="EB7" s="37" t="n"/>
      <c r="EC7" s="37" t="n"/>
      <c r="ED7" s="37" t="n"/>
      <c r="EE7" s="37" t="n"/>
      <c r="EF7" s="37" t="n"/>
      <c r="EG7" s="37" t="n"/>
      <c r="EH7" s="37" t="n"/>
      <c r="EI7" s="37" t="n"/>
      <c r="EJ7" s="37" t="n"/>
      <c r="EK7" s="37" t="n"/>
      <c r="EL7" s="37" t="n"/>
      <c r="EM7" s="37" t="n"/>
      <c r="EN7" s="37" t="n"/>
      <c r="EO7" s="37" t="n"/>
      <c r="EP7" s="37" t="n"/>
      <c r="EQ7" s="37" t="n"/>
      <c r="ER7" s="37" t="n"/>
      <c r="ES7" s="37" t="n"/>
      <c r="ET7" s="37" t="n"/>
    </row>
    <row r="8">
      <c r="A8" s="38">
        <f>IF('6 - TV Stands &amp; Enterta'!B8 = "", "", IF('6 - TV Stands &amp; Enterta-WUO_ERR'!A8 = "", "Validated", HYPERLINK("#" &amp; ADDRESS(8, '6 - TV Stands &amp; Enterta-WUO_TRK'!A8),_xlfn.TEXTAFTER('6 - TV Stands &amp; Enterta-WUO_ERR'!A8, ":"))))</f>
        <v/>
      </c>
    </row>
    <row r="9">
      <c r="A9" s="38">
        <f>IF('6 - TV Stands &amp; Enterta'!B9 = "", "", IF('6 - TV Stands &amp; Enterta-WUO_ERR'!A9 = "", "Validated", HYPERLINK("#" &amp; ADDRESS(9, '6 - TV Stands &amp; Enterta-WUO_TRK'!A9),_xlfn.TEXTAFTER('6 - TV Stands &amp; Enterta-WUO_ERR'!A9, ":"))))</f>
        <v/>
      </c>
    </row>
    <row r="10">
      <c r="A10" s="38">
        <f>IF('6 - TV Stands &amp; Enterta'!B10 = "", "", IF('6 - TV Stands &amp; Enterta-WUO_ERR'!A10 = "", "Validated", HYPERLINK("#" &amp; ADDRESS(10, '6 - TV Stands &amp; Enterta-WUO_TRK'!A10),_xlfn.TEXTAFTER('6 - TV Stands &amp; Enterta-WUO_ERR'!A10, ":"))))</f>
        <v/>
      </c>
    </row>
    <row r="11">
      <c r="A11" s="38">
        <f>IF('6 - TV Stands &amp; Enterta'!B11 = "", "", IF('6 - TV Stands &amp; Enterta-WUO_ERR'!A11 = "", "Validated", HYPERLINK("#" &amp; ADDRESS(11, '6 - TV Stands &amp; Enterta-WUO_TRK'!A11),_xlfn.TEXTAFTER('6 - TV Stands &amp; Enterta-WUO_ERR'!A11, ":"))))</f>
        <v/>
      </c>
    </row>
    <row r="12">
      <c r="A12" s="38">
        <f>IF('6 - TV Stands &amp; Enterta'!B12 = "", "", IF('6 - TV Stands &amp; Enterta-WUO_ERR'!A12 = "", "Validated", HYPERLINK("#" &amp; ADDRESS(12, '6 - TV Stands &amp; Enterta-WUO_TRK'!A12),_xlfn.TEXTAFTER('6 - TV Stands &amp; Enterta-WUO_ERR'!A12, ":"))))</f>
        <v/>
      </c>
    </row>
    <row r="13">
      <c r="A13" s="38">
        <f>IF('6 - TV Stands &amp; Enterta'!B13 = "", "", IF('6 - TV Stands &amp; Enterta-WUO_ERR'!A13 = "", "Validated", HYPERLINK("#" &amp; ADDRESS(13, '6 - TV Stands &amp; Enterta-WUO_TRK'!A13),_xlfn.TEXTAFTER('6 - TV Stands &amp; Enterta-WUO_ERR'!A13, ":"))))</f>
        <v/>
      </c>
    </row>
    <row r="14">
      <c r="A14" s="38">
        <f>IF('6 - TV Stands &amp; Enterta'!B14 = "", "", IF('6 - TV Stands &amp; Enterta-WUO_ERR'!A14 = "", "Validated", HYPERLINK("#" &amp; ADDRESS(14, '6 - TV Stands &amp; Enterta-WUO_TRK'!A14),_xlfn.TEXTAFTER('6 - TV Stands &amp; Enterta-WUO_ERR'!A14, ":"))))</f>
        <v/>
      </c>
    </row>
    <row r="15">
      <c r="A15" s="38">
        <f>IF('6 - TV Stands &amp; Enterta'!B15 = "", "", IF('6 - TV Stands &amp; Enterta-WUO_ERR'!A15 = "", "Validated", HYPERLINK("#" &amp; ADDRESS(15, '6 - TV Stands &amp; Enterta-WUO_TRK'!A15),_xlfn.TEXTAFTER('6 - TV Stands &amp; Enterta-WUO_ERR'!A15, ":"))))</f>
        <v/>
      </c>
    </row>
    <row r="16">
      <c r="A16" s="38">
        <f>IF('6 - TV Stands &amp; Enterta'!B16 = "", "", IF('6 - TV Stands &amp; Enterta-WUO_ERR'!A16 = "", "Validated", HYPERLINK("#" &amp; ADDRESS(16, '6 - TV Stands &amp; Enterta-WUO_TRK'!A16),_xlfn.TEXTAFTER('6 - TV Stands &amp; Enterta-WUO_ERR'!A16, ":"))))</f>
        <v/>
      </c>
    </row>
    <row r="17">
      <c r="A17" s="38">
        <f>IF('6 - TV Stands &amp; Enterta'!B17 = "", "", IF('6 - TV Stands &amp; Enterta-WUO_ERR'!A17 = "", "Validated", HYPERLINK("#" &amp; ADDRESS(17, '6 - TV Stands &amp; Enterta-WUO_TRK'!A17),_xlfn.TEXTAFTER('6 - TV Stands &amp; Enterta-WUO_ERR'!A17, ":"))))</f>
        <v/>
      </c>
    </row>
    <row r="18">
      <c r="A18" s="38">
        <f>IF('6 - TV Stands &amp; Enterta'!B18 = "", "", IF('6 - TV Stands &amp; Enterta-WUO_ERR'!A18 = "", "Validated", HYPERLINK("#" &amp; ADDRESS(18, '6 - TV Stands &amp; Enterta-WUO_TRK'!A18),_xlfn.TEXTAFTER('6 - TV Stands &amp; Enterta-WUO_ERR'!A18, ":"))))</f>
        <v/>
      </c>
    </row>
    <row r="19">
      <c r="A19" s="38">
        <f>IF('6 - TV Stands &amp; Enterta'!B19 = "", "", IF('6 - TV Stands &amp; Enterta-WUO_ERR'!A19 = "", "Validated", HYPERLINK("#" &amp; ADDRESS(19, '6 - TV Stands &amp; Enterta-WUO_TRK'!A19),_xlfn.TEXTAFTER('6 - TV Stands &amp; Enterta-WUO_ERR'!A19, ":"))))</f>
        <v/>
      </c>
    </row>
    <row r="20">
      <c r="A20" s="38">
        <f>IF('6 - TV Stands &amp; Enterta'!B20 = "", "", IF('6 - TV Stands &amp; Enterta-WUO_ERR'!A20 = "", "Validated", HYPERLINK("#" &amp; ADDRESS(20, '6 - TV Stands &amp; Enterta-WUO_TRK'!A20),_xlfn.TEXTAFTER('6 - TV Stands &amp; Enterta-WUO_ERR'!A20, ":"))))</f>
        <v/>
      </c>
    </row>
    <row r="21">
      <c r="A21" s="38">
        <f>IF('6 - TV Stands &amp; Enterta'!B21 = "", "", IF('6 - TV Stands &amp; Enterta-WUO_ERR'!A21 = "", "Validated", HYPERLINK("#" &amp; ADDRESS(21, '6 - TV Stands &amp; Enterta-WUO_TRK'!A21),_xlfn.TEXTAFTER('6 - TV Stands &amp; Enterta-WUO_ERR'!A21, ":"))))</f>
        <v/>
      </c>
    </row>
    <row r="22">
      <c r="A22" s="38">
        <f>IF('6 - TV Stands &amp; Enterta'!B22 = "", "", IF('6 - TV Stands &amp; Enterta-WUO_ERR'!A22 = "", "Validated", HYPERLINK("#" &amp; ADDRESS(22, '6 - TV Stands &amp; Enterta-WUO_TRK'!A22),_xlfn.TEXTAFTER('6 - TV Stands &amp; Enterta-WUO_ERR'!A22, ":"))))</f>
        <v/>
      </c>
    </row>
    <row r="23">
      <c r="A23" s="38">
        <f>IF('6 - TV Stands &amp; Enterta'!B23 = "", "", IF('6 - TV Stands &amp; Enterta-WUO_ERR'!A23 = "", "Validated", HYPERLINK("#" &amp; ADDRESS(23, '6 - TV Stands &amp; Enterta-WUO_TRK'!A23),_xlfn.TEXTAFTER('6 - TV Stands &amp; Enterta-WUO_ERR'!A23, ":"))))</f>
        <v/>
      </c>
    </row>
    <row r="24">
      <c r="A24" s="38">
        <f>IF('6 - TV Stands &amp; Enterta'!B24 = "", "", IF('6 - TV Stands &amp; Enterta-WUO_ERR'!A24 = "", "Validated", HYPERLINK("#" &amp; ADDRESS(24, '6 - TV Stands &amp; Enterta-WUO_TRK'!A24),_xlfn.TEXTAFTER('6 - TV Stands &amp; Enterta-WUO_ERR'!A24, ":"))))</f>
        <v/>
      </c>
    </row>
    <row r="25">
      <c r="A25" s="38">
        <f>IF('6 - TV Stands &amp; Enterta'!B25 = "", "", IF('6 - TV Stands &amp; Enterta-WUO_ERR'!A25 = "", "Validated", HYPERLINK("#" &amp; ADDRESS(25, '6 - TV Stands &amp; Enterta-WUO_TRK'!A25),_xlfn.TEXTAFTER('6 - TV Stands &amp; Enterta-WUO_ERR'!A25, ":"))))</f>
        <v/>
      </c>
    </row>
    <row r="26">
      <c r="A26" s="38">
        <f>IF('6 - TV Stands &amp; Enterta'!B26 = "", "", IF('6 - TV Stands &amp; Enterta-WUO_ERR'!A26 = "", "Validated", HYPERLINK("#" &amp; ADDRESS(26, '6 - TV Stands &amp; Enterta-WUO_TRK'!A26),_xlfn.TEXTAFTER('6 - TV Stands &amp; Enterta-WUO_ERR'!A26, ":"))))</f>
        <v/>
      </c>
    </row>
    <row r="27">
      <c r="A27" s="38">
        <f>IF('6 - TV Stands &amp; Enterta'!B27 = "", "", IF('6 - TV Stands &amp; Enterta-WUO_ERR'!A27 = "", "Validated", HYPERLINK("#" &amp; ADDRESS(27, '6 - TV Stands &amp; Enterta-WUO_TRK'!A27),_xlfn.TEXTAFTER('6 - TV Stands &amp; Enterta-WUO_ERR'!A27, ":"))))</f>
        <v/>
      </c>
    </row>
    <row r="28">
      <c r="A28" s="38">
        <f>IF('6 - TV Stands &amp; Enterta'!B28 = "", "", IF('6 - TV Stands &amp; Enterta-WUO_ERR'!A28 = "", "Validated", HYPERLINK("#" &amp; ADDRESS(28, '6 - TV Stands &amp; Enterta-WUO_TRK'!A28),_xlfn.TEXTAFTER('6 - TV Stands &amp; Enterta-WUO_ERR'!A28, ":"))))</f>
        <v/>
      </c>
    </row>
    <row r="29">
      <c r="A29" s="38">
        <f>IF('6 - TV Stands &amp; Enterta'!B29 = "", "", IF('6 - TV Stands &amp; Enterta-WUO_ERR'!A29 = "", "Validated", HYPERLINK("#" &amp; ADDRESS(29, '6 - TV Stands &amp; Enterta-WUO_TRK'!A29),_xlfn.TEXTAFTER('6 - TV Stands &amp; Enterta-WUO_ERR'!A29, ":"))))</f>
        <v/>
      </c>
    </row>
    <row r="30">
      <c r="A30" s="38">
        <f>IF('6 - TV Stands &amp; Enterta'!B30 = "", "", IF('6 - TV Stands &amp; Enterta-WUO_ERR'!A30 = "", "Validated", HYPERLINK("#" &amp; ADDRESS(30, '6 - TV Stands &amp; Enterta-WUO_TRK'!A30),_xlfn.TEXTAFTER('6 - TV Stands &amp; Enterta-WUO_ERR'!A30, ":"))))</f>
        <v/>
      </c>
    </row>
    <row r="31">
      <c r="A31" s="38">
        <f>IF('6 - TV Stands &amp; Enterta'!B31 = "", "", IF('6 - TV Stands &amp; Enterta-WUO_ERR'!A31 = "", "Validated", HYPERLINK("#" &amp; ADDRESS(31, '6 - TV Stands &amp; Enterta-WUO_TRK'!A31),_xlfn.TEXTAFTER('6 - TV Stands &amp; Enterta-WUO_ERR'!A31, ":"))))</f>
        <v/>
      </c>
    </row>
    <row r="32">
      <c r="A32" s="38">
        <f>IF('6 - TV Stands &amp; Enterta'!B32 = "", "", IF('6 - TV Stands &amp; Enterta-WUO_ERR'!A32 = "", "Validated", HYPERLINK("#" &amp; ADDRESS(32, '6 - TV Stands &amp; Enterta-WUO_TRK'!A32),_xlfn.TEXTAFTER('6 - TV Stands &amp; Enterta-WUO_ERR'!A32, ":"))))</f>
        <v/>
      </c>
    </row>
    <row r="33">
      <c r="A33" s="38">
        <f>IF('6 - TV Stands &amp; Enterta'!B33 = "", "", IF('6 - TV Stands &amp; Enterta-WUO_ERR'!A33 = "", "Validated", HYPERLINK("#" &amp; ADDRESS(33, '6 - TV Stands &amp; Enterta-WUO_TRK'!A33),_xlfn.TEXTAFTER('6 - TV Stands &amp; Enterta-WUO_ERR'!A33, ":"))))</f>
        <v/>
      </c>
    </row>
    <row r="34">
      <c r="A34" s="38">
        <f>IF('6 - TV Stands &amp; Enterta'!B34 = "", "", IF('6 - TV Stands &amp; Enterta-WUO_ERR'!A34 = "", "Validated", HYPERLINK("#" &amp; ADDRESS(34, '6 - TV Stands &amp; Enterta-WUO_TRK'!A34),_xlfn.TEXTAFTER('6 - TV Stands &amp; Enterta-WUO_ERR'!A34, ":"))))</f>
        <v/>
      </c>
    </row>
    <row r="35">
      <c r="A35" s="38">
        <f>IF('6 - TV Stands &amp; Enterta'!B35 = "", "", IF('6 - TV Stands &amp; Enterta-WUO_ERR'!A35 = "", "Validated", HYPERLINK("#" &amp; ADDRESS(35, '6 - TV Stands &amp; Enterta-WUO_TRK'!A35),_xlfn.TEXTAFTER('6 - TV Stands &amp; Enterta-WUO_ERR'!A35, ":"))))</f>
        <v/>
      </c>
    </row>
    <row r="36">
      <c r="A36" s="38">
        <f>IF('6 - TV Stands &amp; Enterta'!B36 = "", "", IF('6 - TV Stands &amp; Enterta-WUO_ERR'!A36 = "", "Validated", HYPERLINK("#" &amp; ADDRESS(36, '6 - TV Stands &amp; Enterta-WUO_TRK'!A36),_xlfn.TEXTAFTER('6 - TV Stands &amp; Enterta-WUO_ERR'!A36, ":"))))</f>
        <v/>
      </c>
    </row>
    <row r="37">
      <c r="A37" s="38">
        <f>IF('6 - TV Stands &amp; Enterta'!B37 = "", "", IF('6 - TV Stands &amp; Enterta-WUO_ERR'!A37 = "", "Validated", HYPERLINK("#" &amp; ADDRESS(37, '6 - TV Stands &amp; Enterta-WUO_TRK'!A37),_xlfn.TEXTAFTER('6 - TV Stands &amp; Enterta-WUO_ERR'!A37, ":"))))</f>
        <v/>
      </c>
    </row>
    <row r="38">
      <c r="A38" s="38">
        <f>IF('6 - TV Stands &amp; Enterta'!B38 = "", "", IF('6 - TV Stands &amp; Enterta-WUO_ERR'!A38 = "", "Validated", HYPERLINK("#" &amp; ADDRESS(38, '6 - TV Stands &amp; Enterta-WUO_TRK'!A38),_xlfn.TEXTAFTER('6 - TV Stands &amp; Enterta-WUO_ERR'!A38, ":"))))</f>
        <v/>
      </c>
    </row>
    <row r="39">
      <c r="A39" s="38">
        <f>IF('6 - TV Stands &amp; Enterta'!B39 = "", "", IF('6 - TV Stands &amp; Enterta-WUO_ERR'!A39 = "", "Validated", HYPERLINK("#" &amp; ADDRESS(39, '6 - TV Stands &amp; Enterta-WUO_TRK'!A39),_xlfn.TEXTAFTER('6 - TV Stands &amp; Enterta-WUO_ERR'!A39, ":"))))</f>
        <v/>
      </c>
    </row>
    <row r="40">
      <c r="A40" s="38">
        <f>IF('6 - TV Stands &amp; Enterta'!B40 = "", "", IF('6 - TV Stands &amp; Enterta-WUO_ERR'!A40 = "", "Validated", HYPERLINK("#" &amp; ADDRESS(40, '6 - TV Stands &amp; Enterta-WUO_TRK'!A40),_xlfn.TEXTAFTER('6 - TV Stands &amp; Enterta-WUO_ERR'!A40, ":"))))</f>
        <v/>
      </c>
    </row>
    <row r="41">
      <c r="A41" s="38">
        <f>IF('6 - TV Stands &amp; Enterta'!B41 = "", "", IF('6 - TV Stands &amp; Enterta-WUO_ERR'!A41 = "", "Validated", HYPERLINK("#" &amp; ADDRESS(41, '6 - TV Stands &amp; Enterta-WUO_TRK'!A41),_xlfn.TEXTAFTER('6 - TV Stands &amp; Enterta-WUO_ERR'!A41, ":"))))</f>
        <v/>
      </c>
    </row>
    <row r="42">
      <c r="A42" s="38">
        <f>IF('6 - TV Stands &amp; Enterta'!B42 = "", "", IF('6 - TV Stands &amp; Enterta-WUO_ERR'!A42 = "", "Validated", HYPERLINK("#" &amp; ADDRESS(42, '6 - TV Stands &amp; Enterta-WUO_TRK'!A42),_xlfn.TEXTAFTER('6 - TV Stands &amp; Enterta-WUO_ERR'!A42, ":"))))</f>
        <v/>
      </c>
    </row>
    <row r="43">
      <c r="A43" s="38">
        <f>IF('6 - TV Stands &amp; Enterta'!B43 = "", "", IF('6 - TV Stands &amp; Enterta-WUO_ERR'!A43 = "", "Validated", HYPERLINK("#" &amp; ADDRESS(43, '6 - TV Stands &amp; Enterta-WUO_TRK'!A43),_xlfn.TEXTAFTER('6 - TV Stands &amp; Enterta-WUO_ERR'!A43, ":"))))</f>
        <v/>
      </c>
    </row>
    <row r="44">
      <c r="A44" s="38">
        <f>IF('6 - TV Stands &amp; Enterta'!B44 = "", "", IF('6 - TV Stands &amp; Enterta-WUO_ERR'!A44 = "", "Validated", HYPERLINK("#" &amp; ADDRESS(44, '6 - TV Stands &amp; Enterta-WUO_TRK'!A44),_xlfn.TEXTAFTER('6 - TV Stands &amp; Enterta-WUO_ERR'!A44, ":"))))</f>
        <v/>
      </c>
    </row>
    <row r="45">
      <c r="A45" s="38">
        <f>IF('6 - TV Stands &amp; Enterta'!B45 = "", "", IF('6 - TV Stands &amp; Enterta-WUO_ERR'!A45 = "", "Validated", HYPERLINK("#" &amp; ADDRESS(45, '6 - TV Stands &amp; Enterta-WUO_TRK'!A45),_xlfn.TEXTAFTER('6 - TV Stands &amp; Enterta-WUO_ERR'!A45, ":"))))</f>
        <v/>
      </c>
    </row>
    <row r="46">
      <c r="A46" s="38">
        <f>IF('6 - TV Stands &amp; Enterta'!B46 = "", "", IF('6 - TV Stands &amp; Enterta-WUO_ERR'!A46 = "", "Validated", HYPERLINK("#" &amp; ADDRESS(46, '6 - TV Stands &amp; Enterta-WUO_TRK'!A46),_xlfn.TEXTAFTER('6 - TV Stands &amp; Enterta-WUO_ERR'!A46, ":"))))</f>
        <v/>
      </c>
    </row>
    <row r="47">
      <c r="A47" s="38">
        <f>IF('6 - TV Stands &amp; Enterta'!B47 = "", "", IF('6 - TV Stands &amp; Enterta-WUO_ERR'!A47 = "", "Validated", HYPERLINK("#" &amp; ADDRESS(47, '6 - TV Stands &amp; Enterta-WUO_TRK'!A47),_xlfn.TEXTAFTER('6 - TV Stands &amp; Enterta-WUO_ERR'!A47, ":"))))</f>
        <v/>
      </c>
    </row>
    <row r="48">
      <c r="A48" s="38">
        <f>IF('6 - TV Stands &amp; Enterta'!B48 = "", "", IF('6 - TV Stands &amp; Enterta-WUO_ERR'!A48 = "", "Validated", HYPERLINK("#" &amp; ADDRESS(48, '6 - TV Stands &amp; Enterta-WUO_TRK'!A48),_xlfn.TEXTAFTER('6 - TV Stands &amp; Enterta-WUO_ERR'!A48, ":"))))</f>
        <v/>
      </c>
    </row>
    <row r="49">
      <c r="A49" s="38">
        <f>IF('6 - TV Stands &amp; Enterta'!B49 = "", "", IF('6 - TV Stands &amp; Enterta-WUO_ERR'!A49 = "", "Validated", HYPERLINK("#" &amp; ADDRESS(49, '6 - TV Stands &amp; Enterta-WUO_TRK'!A49),_xlfn.TEXTAFTER('6 - TV Stands &amp; Enterta-WUO_ERR'!A49, ":"))))</f>
        <v/>
      </c>
    </row>
    <row r="50">
      <c r="A50" s="38">
        <f>IF('6 - TV Stands &amp; Enterta'!B50 = "", "", IF('6 - TV Stands &amp; Enterta-WUO_ERR'!A50 = "", "Validated", HYPERLINK("#" &amp; ADDRESS(50, '6 - TV Stands &amp; Enterta-WUO_TRK'!A50),_xlfn.TEXTAFTER('6 - TV Stands &amp; Enterta-WUO_ERR'!A50, ":"))))</f>
        <v/>
      </c>
    </row>
    <row r="51">
      <c r="A51" s="38">
        <f>IF('6 - TV Stands &amp; Enterta'!B51 = "", "", IF('6 - TV Stands &amp; Enterta-WUO_ERR'!A51 = "", "Validated", HYPERLINK("#" &amp; ADDRESS(51, '6 - TV Stands &amp; Enterta-WUO_TRK'!A51),_xlfn.TEXTAFTER('6 - TV Stands &amp; Enterta-WUO_ERR'!A51, ":"))))</f>
        <v/>
      </c>
    </row>
    <row r="52">
      <c r="A52" s="38">
        <f>IF('6 - TV Stands &amp; Enterta'!B52 = "", "", IF('6 - TV Stands &amp; Enterta-WUO_ERR'!A52 = "", "Validated", HYPERLINK("#" &amp; ADDRESS(52, '6 - TV Stands &amp; Enterta-WUO_TRK'!A52),_xlfn.TEXTAFTER('6 - TV Stands &amp; Enterta-WUO_ERR'!A52, ":"))))</f>
        <v/>
      </c>
    </row>
    <row r="53">
      <c r="A53" s="38">
        <f>IF('6 - TV Stands &amp; Enterta'!B53 = "", "", IF('6 - TV Stands &amp; Enterta-WUO_ERR'!A53 = "", "Validated", HYPERLINK("#" &amp; ADDRESS(53, '6 - TV Stands &amp; Enterta-WUO_TRK'!A53),_xlfn.TEXTAFTER('6 - TV Stands &amp; Enterta-WUO_ERR'!A53, ":"))))</f>
        <v/>
      </c>
    </row>
    <row r="54">
      <c r="A54" s="38">
        <f>IF('6 - TV Stands &amp; Enterta'!B54 = "", "", IF('6 - TV Stands &amp; Enterta-WUO_ERR'!A54 = "", "Validated", HYPERLINK("#" &amp; ADDRESS(54, '6 - TV Stands &amp; Enterta-WUO_TRK'!A54),_xlfn.TEXTAFTER('6 - TV Stands &amp; Enterta-WUO_ERR'!A54, ":"))))</f>
        <v/>
      </c>
    </row>
    <row r="55">
      <c r="A55" s="38">
        <f>IF('6 - TV Stands &amp; Enterta'!B55 = "", "", IF('6 - TV Stands &amp; Enterta-WUO_ERR'!A55 = "", "Validated", HYPERLINK("#" &amp; ADDRESS(55, '6 - TV Stands &amp; Enterta-WUO_TRK'!A55),_xlfn.TEXTAFTER('6 - TV Stands &amp; Enterta-WUO_ERR'!A55, ":"))))</f>
        <v/>
      </c>
    </row>
    <row r="56">
      <c r="A56" s="38">
        <f>IF('6 - TV Stands &amp; Enterta'!B56 = "", "", IF('6 - TV Stands &amp; Enterta-WUO_ERR'!A56 = "", "Validated", HYPERLINK("#" &amp; ADDRESS(56, '6 - TV Stands &amp; Enterta-WUO_TRK'!A56),_xlfn.TEXTAFTER('6 - TV Stands &amp; Enterta-WUO_ERR'!A56, ":"))))</f>
        <v/>
      </c>
    </row>
    <row r="57">
      <c r="A57" s="38">
        <f>IF('6 - TV Stands &amp; Enterta'!B57 = "", "", IF('6 - TV Stands &amp; Enterta-WUO_ERR'!A57 = "", "Validated", HYPERLINK("#" &amp; ADDRESS(57, '6 - TV Stands &amp; Enterta-WUO_TRK'!A57),_xlfn.TEXTAFTER('6 - TV Stands &amp; Enterta-WUO_ERR'!A57, ":"))))</f>
        <v/>
      </c>
    </row>
    <row r="58">
      <c r="A58" s="38">
        <f>IF('6 - TV Stands &amp; Enterta'!B58 = "", "", IF('6 - TV Stands &amp; Enterta-WUO_ERR'!A58 = "", "Validated", HYPERLINK("#" &amp; ADDRESS(58, '6 - TV Stands &amp; Enterta-WUO_TRK'!A58),_xlfn.TEXTAFTER('6 - TV Stands &amp; Enterta-WUO_ERR'!A58, ":"))))</f>
        <v/>
      </c>
    </row>
    <row r="59">
      <c r="A59" s="38">
        <f>IF('6 - TV Stands &amp; Enterta'!B59 = "", "", IF('6 - TV Stands &amp; Enterta-WUO_ERR'!A59 = "", "Validated", HYPERLINK("#" &amp; ADDRESS(59, '6 - TV Stands &amp; Enterta-WUO_TRK'!A59),_xlfn.TEXTAFTER('6 - TV Stands &amp; Enterta-WUO_ERR'!A59, ":"))))</f>
        <v/>
      </c>
    </row>
    <row r="60">
      <c r="A60" s="38">
        <f>IF('6 - TV Stands &amp; Enterta'!B60 = "", "", IF('6 - TV Stands &amp; Enterta-WUO_ERR'!A60 = "", "Validated", HYPERLINK("#" &amp; ADDRESS(60, '6 - TV Stands &amp; Enterta-WUO_TRK'!A60),_xlfn.TEXTAFTER('6 - TV Stands &amp; Enterta-WUO_ERR'!A60, ":"))))</f>
        <v/>
      </c>
    </row>
    <row r="61">
      <c r="A61" s="38">
        <f>IF('6 - TV Stands &amp; Enterta'!B61 = "", "", IF('6 - TV Stands &amp; Enterta-WUO_ERR'!A61 = "", "Validated", HYPERLINK("#" &amp; ADDRESS(61, '6 - TV Stands &amp; Enterta-WUO_TRK'!A61),_xlfn.TEXTAFTER('6 - TV Stands &amp; Enterta-WUO_ERR'!A61, ":"))))</f>
        <v/>
      </c>
    </row>
    <row r="62">
      <c r="A62" s="38">
        <f>IF('6 - TV Stands &amp; Enterta'!B62 = "", "", IF('6 - TV Stands &amp; Enterta-WUO_ERR'!A62 = "", "Validated", HYPERLINK("#" &amp; ADDRESS(62, '6 - TV Stands &amp; Enterta-WUO_TRK'!A62),_xlfn.TEXTAFTER('6 - TV Stands &amp; Enterta-WUO_ERR'!A62, ":"))))</f>
        <v/>
      </c>
    </row>
    <row r="63">
      <c r="A63" s="38">
        <f>IF('6 - TV Stands &amp; Enterta'!B63 = "", "", IF('6 - TV Stands &amp; Enterta-WUO_ERR'!A63 = "", "Validated", HYPERLINK("#" &amp; ADDRESS(63, '6 - TV Stands &amp; Enterta-WUO_TRK'!A63),_xlfn.TEXTAFTER('6 - TV Stands &amp; Enterta-WUO_ERR'!A63, ":"))))</f>
        <v/>
      </c>
    </row>
    <row r="64">
      <c r="A64" s="38">
        <f>IF('6 - TV Stands &amp; Enterta'!B64 = "", "", IF('6 - TV Stands &amp; Enterta-WUO_ERR'!A64 = "", "Validated", HYPERLINK("#" &amp; ADDRESS(64, '6 - TV Stands &amp; Enterta-WUO_TRK'!A64),_xlfn.TEXTAFTER('6 - TV Stands &amp; Enterta-WUO_ERR'!A64, ":"))))</f>
        <v/>
      </c>
    </row>
    <row r="65">
      <c r="A65" s="38">
        <f>IF('6 - TV Stands &amp; Enterta'!B65 = "", "", IF('6 - TV Stands &amp; Enterta-WUO_ERR'!A65 = "", "Validated", HYPERLINK("#" &amp; ADDRESS(65, '6 - TV Stands &amp; Enterta-WUO_TRK'!A65),_xlfn.TEXTAFTER('6 - TV Stands &amp; Enterta-WUO_ERR'!A65, ":"))))</f>
        <v/>
      </c>
    </row>
    <row r="66">
      <c r="A66" s="38">
        <f>IF('6 - TV Stands &amp; Enterta'!B66 = "", "", IF('6 - TV Stands &amp; Enterta-WUO_ERR'!A66 = "", "Validated", HYPERLINK("#" &amp; ADDRESS(66, '6 - TV Stands &amp; Enterta-WUO_TRK'!A66),_xlfn.TEXTAFTER('6 - TV Stands &amp; Enterta-WUO_ERR'!A66, ":"))))</f>
        <v/>
      </c>
    </row>
    <row r="67">
      <c r="A67" s="38">
        <f>IF('6 - TV Stands &amp; Enterta'!B67 = "", "", IF('6 - TV Stands &amp; Enterta-WUO_ERR'!A67 = "", "Validated", HYPERLINK("#" &amp; ADDRESS(67, '6 - TV Stands &amp; Enterta-WUO_TRK'!A67),_xlfn.TEXTAFTER('6 - TV Stands &amp; Enterta-WUO_ERR'!A67, ":"))))</f>
        <v/>
      </c>
    </row>
    <row r="68">
      <c r="A68" s="38">
        <f>IF('6 - TV Stands &amp; Enterta'!B68 = "", "", IF('6 - TV Stands &amp; Enterta-WUO_ERR'!A68 = "", "Validated", HYPERLINK("#" &amp; ADDRESS(68, '6 - TV Stands &amp; Enterta-WUO_TRK'!A68),_xlfn.TEXTAFTER('6 - TV Stands &amp; Enterta-WUO_ERR'!A68, ":"))))</f>
        <v/>
      </c>
    </row>
    <row r="69">
      <c r="A69" s="38">
        <f>IF('6 - TV Stands &amp; Enterta'!B69 = "", "", IF('6 - TV Stands &amp; Enterta-WUO_ERR'!A69 = "", "Validated", HYPERLINK("#" &amp; ADDRESS(69, '6 - TV Stands &amp; Enterta-WUO_TRK'!A69),_xlfn.TEXTAFTER('6 - TV Stands &amp; Enterta-WUO_ERR'!A69, ":"))))</f>
        <v/>
      </c>
    </row>
    <row r="70">
      <c r="A70" s="38">
        <f>IF('6 - TV Stands &amp; Enterta'!B70 = "", "", IF('6 - TV Stands &amp; Enterta-WUO_ERR'!A70 = "", "Validated", HYPERLINK("#" &amp; ADDRESS(70, '6 - TV Stands &amp; Enterta-WUO_TRK'!A70),_xlfn.TEXTAFTER('6 - TV Stands &amp; Enterta-WUO_ERR'!A70, ":"))))</f>
        <v/>
      </c>
    </row>
    <row r="71">
      <c r="A71" s="38">
        <f>IF('6 - TV Stands &amp; Enterta'!B71 = "", "", IF('6 - TV Stands &amp; Enterta-WUO_ERR'!A71 = "", "Validated", HYPERLINK("#" &amp; ADDRESS(71, '6 - TV Stands &amp; Enterta-WUO_TRK'!A71),_xlfn.TEXTAFTER('6 - TV Stands &amp; Enterta-WUO_ERR'!A71, ":"))))</f>
        <v/>
      </c>
    </row>
    <row r="72">
      <c r="A72" s="38">
        <f>IF('6 - TV Stands &amp; Enterta'!B72 = "", "", IF('6 - TV Stands &amp; Enterta-WUO_ERR'!A72 = "", "Validated", HYPERLINK("#" &amp; ADDRESS(72, '6 - TV Stands &amp; Enterta-WUO_TRK'!A72),_xlfn.TEXTAFTER('6 - TV Stands &amp; Enterta-WUO_ERR'!A72, ":"))))</f>
        <v/>
      </c>
    </row>
    <row r="73">
      <c r="A73" s="38">
        <f>IF('6 - TV Stands &amp; Enterta'!B73 = "", "", IF('6 - TV Stands &amp; Enterta-WUO_ERR'!A73 = "", "Validated", HYPERLINK("#" &amp; ADDRESS(73, '6 - TV Stands &amp; Enterta-WUO_TRK'!A73),_xlfn.TEXTAFTER('6 - TV Stands &amp; Enterta-WUO_ERR'!A73, ":"))))</f>
        <v/>
      </c>
    </row>
    <row r="74">
      <c r="A74" s="38">
        <f>IF('6 - TV Stands &amp; Enterta'!B74 = "", "", IF('6 - TV Stands &amp; Enterta-WUO_ERR'!A74 = "", "Validated", HYPERLINK("#" &amp; ADDRESS(74, '6 - TV Stands &amp; Enterta-WUO_TRK'!A74),_xlfn.TEXTAFTER('6 - TV Stands &amp; Enterta-WUO_ERR'!A74, ":"))))</f>
        <v/>
      </c>
    </row>
    <row r="75">
      <c r="A75" s="38">
        <f>IF('6 - TV Stands &amp; Enterta'!B75 = "", "", IF('6 - TV Stands &amp; Enterta-WUO_ERR'!A75 = "", "Validated", HYPERLINK("#" &amp; ADDRESS(75, '6 - TV Stands &amp; Enterta-WUO_TRK'!A75),_xlfn.TEXTAFTER('6 - TV Stands &amp; Enterta-WUO_ERR'!A75, ":"))))</f>
        <v/>
      </c>
    </row>
    <row r="76">
      <c r="A76" s="38">
        <f>IF('6 - TV Stands &amp; Enterta'!B76 = "", "", IF('6 - TV Stands &amp; Enterta-WUO_ERR'!A76 = "", "Validated", HYPERLINK("#" &amp; ADDRESS(76, '6 - TV Stands &amp; Enterta-WUO_TRK'!A76),_xlfn.TEXTAFTER('6 - TV Stands &amp; Enterta-WUO_ERR'!A76, ":"))))</f>
        <v/>
      </c>
    </row>
    <row r="77">
      <c r="A77" s="38">
        <f>IF('6 - TV Stands &amp; Enterta'!B77 = "", "", IF('6 - TV Stands &amp; Enterta-WUO_ERR'!A77 = "", "Validated", HYPERLINK("#" &amp; ADDRESS(77, '6 - TV Stands &amp; Enterta-WUO_TRK'!A77),_xlfn.TEXTAFTER('6 - TV Stands &amp; Enterta-WUO_ERR'!A77, ":"))))</f>
        <v/>
      </c>
    </row>
    <row r="78">
      <c r="A78" s="38">
        <f>IF('6 - TV Stands &amp; Enterta'!B78 = "", "", IF('6 - TV Stands &amp; Enterta-WUO_ERR'!A78 = "", "Validated", HYPERLINK("#" &amp; ADDRESS(78, '6 - TV Stands &amp; Enterta-WUO_TRK'!A78),_xlfn.TEXTAFTER('6 - TV Stands &amp; Enterta-WUO_ERR'!A78, ":"))))</f>
        <v/>
      </c>
    </row>
    <row r="79">
      <c r="A79" s="38">
        <f>IF('6 - TV Stands &amp; Enterta'!B79 = "", "", IF('6 - TV Stands &amp; Enterta-WUO_ERR'!A79 = "", "Validated", HYPERLINK("#" &amp; ADDRESS(79, '6 - TV Stands &amp; Enterta-WUO_TRK'!A79),_xlfn.TEXTAFTER('6 - TV Stands &amp; Enterta-WUO_ERR'!A79, ":"))))</f>
        <v/>
      </c>
    </row>
    <row r="80">
      <c r="A80" s="38">
        <f>IF('6 - TV Stands &amp; Enterta'!B80 = "", "", IF('6 - TV Stands &amp; Enterta-WUO_ERR'!A80 = "", "Validated", HYPERLINK("#" &amp; ADDRESS(80, '6 - TV Stands &amp; Enterta-WUO_TRK'!A80),_xlfn.TEXTAFTER('6 - TV Stands &amp; Enterta-WUO_ERR'!A80, ":"))))</f>
        <v/>
      </c>
    </row>
    <row r="81">
      <c r="A81" s="38">
        <f>IF('6 - TV Stands &amp; Enterta'!B81 = "", "", IF('6 - TV Stands &amp; Enterta-WUO_ERR'!A81 = "", "Validated", HYPERLINK("#" &amp; ADDRESS(81, '6 - TV Stands &amp; Enterta-WUO_TRK'!A81),_xlfn.TEXTAFTER('6 - TV Stands &amp; Enterta-WUO_ERR'!A81, ":"))))</f>
        <v/>
      </c>
    </row>
    <row r="82">
      <c r="A82" s="38">
        <f>IF('6 - TV Stands &amp; Enterta'!B82 = "", "", IF('6 - TV Stands &amp; Enterta-WUO_ERR'!A82 = "", "Validated", HYPERLINK("#" &amp; ADDRESS(82, '6 - TV Stands &amp; Enterta-WUO_TRK'!A82),_xlfn.TEXTAFTER('6 - TV Stands &amp; Enterta-WUO_ERR'!A82, ":"))))</f>
        <v/>
      </c>
    </row>
    <row r="83">
      <c r="A83" s="38">
        <f>IF('6 - TV Stands &amp; Enterta'!B83 = "", "", IF('6 - TV Stands &amp; Enterta-WUO_ERR'!A83 = "", "Validated", HYPERLINK("#" &amp; ADDRESS(83, '6 - TV Stands &amp; Enterta-WUO_TRK'!A83),_xlfn.TEXTAFTER('6 - TV Stands &amp; Enterta-WUO_ERR'!A83, ":"))))</f>
        <v/>
      </c>
    </row>
    <row r="84">
      <c r="A84" s="38">
        <f>IF('6 - TV Stands &amp; Enterta'!B84 = "", "", IF('6 - TV Stands &amp; Enterta-WUO_ERR'!A84 = "", "Validated", HYPERLINK("#" &amp; ADDRESS(84, '6 - TV Stands &amp; Enterta-WUO_TRK'!A84),_xlfn.TEXTAFTER('6 - TV Stands &amp; Enterta-WUO_ERR'!A84, ":"))))</f>
        <v/>
      </c>
    </row>
    <row r="85">
      <c r="A85" s="38">
        <f>IF('6 - TV Stands &amp; Enterta'!B85 = "", "", IF('6 - TV Stands &amp; Enterta-WUO_ERR'!A85 = "", "Validated", HYPERLINK("#" &amp; ADDRESS(85, '6 - TV Stands &amp; Enterta-WUO_TRK'!A85),_xlfn.TEXTAFTER('6 - TV Stands &amp; Enterta-WUO_ERR'!A85, ":"))))</f>
        <v/>
      </c>
    </row>
    <row r="86">
      <c r="A86" s="38">
        <f>IF('6 - TV Stands &amp; Enterta'!B86 = "", "", IF('6 - TV Stands &amp; Enterta-WUO_ERR'!A86 = "", "Validated", HYPERLINK("#" &amp; ADDRESS(86, '6 - TV Stands &amp; Enterta-WUO_TRK'!A86),_xlfn.TEXTAFTER('6 - TV Stands &amp; Enterta-WUO_ERR'!A86, ":"))))</f>
        <v/>
      </c>
    </row>
    <row r="87">
      <c r="A87" s="38">
        <f>IF('6 - TV Stands &amp; Enterta'!B87 = "", "", IF('6 - TV Stands &amp; Enterta-WUO_ERR'!A87 = "", "Validated", HYPERLINK("#" &amp; ADDRESS(87, '6 - TV Stands &amp; Enterta-WUO_TRK'!A87),_xlfn.TEXTAFTER('6 - TV Stands &amp; Enterta-WUO_ERR'!A87, ":"))))</f>
        <v/>
      </c>
    </row>
    <row r="88">
      <c r="A88" s="38">
        <f>IF('6 - TV Stands &amp; Enterta'!B88 = "", "", IF('6 - TV Stands &amp; Enterta-WUO_ERR'!A88 = "", "Validated", HYPERLINK("#" &amp; ADDRESS(88, '6 - TV Stands &amp; Enterta-WUO_TRK'!A88),_xlfn.TEXTAFTER('6 - TV Stands &amp; Enterta-WUO_ERR'!A88, ":"))))</f>
        <v/>
      </c>
    </row>
    <row r="89">
      <c r="A89" s="38">
        <f>IF('6 - TV Stands &amp; Enterta'!B89 = "", "", IF('6 - TV Stands &amp; Enterta-WUO_ERR'!A89 = "", "Validated", HYPERLINK("#" &amp; ADDRESS(89, '6 - TV Stands &amp; Enterta-WUO_TRK'!A89),_xlfn.TEXTAFTER('6 - TV Stands &amp; Enterta-WUO_ERR'!A89, ":"))))</f>
        <v/>
      </c>
    </row>
    <row r="90">
      <c r="A90" s="38">
        <f>IF('6 - TV Stands &amp; Enterta'!B90 = "", "", IF('6 - TV Stands &amp; Enterta-WUO_ERR'!A90 = "", "Validated", HYPERLINK("#" &amp; ADDRESS(90, '6 - TV Stands &amp; Enterta-WUO_TRK'!A90),_xlfn.TEXTAFTER('6 - TV Stands &amp; Enterta-WUO_ERR'!A90, ":"))))</f>
        <v/>
      </c>
    </row>
    <row r="91">
      <c r="A91" s="38">
        <f>IF('6 - TV Stands &amp; Enterta'!B91 = "", "", IF('6 - TV Stands &amp; Enterta-WUO_ERR'!A91 = "", "Validated", HYPERLINK("#" &amp; ADDRESS(91, '6 - TV Stands &amp; Enterta-WUO_TRK'!A91),_xlfn.TEXTAFTER('6 - TV Stands &amp; Enterta-WUO_ERR'!A91, ":"))))</f>
        <v/>
      </c>
    </row>
    <row r="92">
      <c r="A92" s="38">
        <f>IF('6 - TV Stands &amp; Enterta'!B92 = "", "", IF('6 - TV Stands &amp; Enterta-WUO_ERR'!A92 = "", "Validated", HYPERLINK("#" &amp; ADDRESS(92, '6 - TV Stands &amp; Enterta-WUO_TRK'!A92),_xlfn.TEXTAFTER('6 - TV Stands &amp; Enterta-WUO_ERR'!A92, ":"))))</f>
        <v/>
      </c>
    </row>
    <row r="93">
      <c r="A93" s="38">
        <f>IF('6 - TV Stands &amp; Enterta'!B93 = "", "", IF('6 - TV Stands &amp; Enterta-WUO_ERR'!A93 = "", "Validated", HYPERLINK("#" &amp; ADDRESS(93, '6 - TV Stands &amp; Enterta-WUO_TRK'!A93),_xlfn.TEXTAFTER('6 - TV Stands &amp; Enterta-WUO_ERR'!A93, ":"))))</f>
        <v/>
      </c>
    </row>
    <row r="94">
      <c r="A94" s="38">
        <f>IF('6 - TV Stands &amp; Enterta'!B94 = "", "", IF('6 - TV Stands &amp; Enterta-WUO_ERR'!A94 = "", "Validated", HYPERLINK("#" &amp; ADDRESS(94, '6 - TV Stands &amp; Enterta-WUO_TRK'!A94),_xlfn.TEXTAFTER('6 - TV Stands &amp; Enterta-WUO_ERR'!A94, ":"))))</f>
        <v/>
      </c>
    </row>
    <row r="95">
      <c r="A95" s="38">
        <f>IF('6 - TV Stands &amp; Enterta'!B95 = "", "", IF('6 - TV Stands &amp; Enterta-WUO_ERR'!A95 = "", "Validated", HYPERLINK("#" &amp; ADDRESS(95, '6 - TV Stands &amp; Enterta-WUO_TRK'!A95),_xlfn.TEXTAFTER('6 - TV Stands &amp; Enterta-WUO_ERR'!A95, ":"))))</f>
        <v/>
      </c>
    </row>
    <row r="96">
      <c r="A96" s="38">
        <f>IF('6 - TV Stands &amp; Enterta'!B96 = "", "", IF('6 - TV Stands &amp; Enterta-WUO_ERR'!A96 = "", "Validated", HYPERLINK("#" &amp; ADDRESS(96, '6 - TV Stands &amp; Enterta-WUO_TRK'!A96),_xlfn.TEXTAFTER('6 - TV Stands &amp; Enterta-WUO_ERR'!A96, ":"))))</f>
        <v/>
      </c>
    </row>
    <row r="97">
      <c r="A97" s="38">
        <f>IF('6 - TV Stands &amp; Enterta'!B97 = "", "", IF('6 - TV Stands &amp; Enterta-WUO_ERR'!A97 = "", "Validated", HYPERLINK("#" &amp; ADDRESS(97, '6 - TV Stands &amp; Enterta-WUO_TRK'!A97),_xlfn.TEXTAFTER('6 - TV Stands &amp; Enterta-WUO_ERR'!A97, ":"))))</f>
        <v/>
      </c>
    </row>
    <row r="98">
      <c r="A98" s="38">
        <f>IF('6 - TV Stands &amp; Enterta'!B98 = "", "", IF('6 - TV Stands &amp; Enterta-WUO_ERR'!A98 = "", "Validated", HYPERLINK("#" &amp; ADDRESS(98, '6 - TV Stands &amp; Enterta-WUO_TRK'!A98),_xlfn.TEXTAFTER('6 - TV Stands &amp; Enterta-WUO_ERR'!A98, ":"))))</f>
        <v/>
      </c>
    </row>
    <row r="99">
      <c r="A99" s="38">
        <f>IF('6 - TV Stands &amp; Enterta'!B99 = "", "", IF('6 - TV Stands &amp; Enterta-WUO_ERR'!A99 = "", "Validated", HYPERLINK("#" &amp; ADDRESS(99, '6 - TV Stands &amp; Enterta-WUO_TRK'!A99),_xlfn.TEXTAFTER('6 - TV Stands &amp; Enterta-WUO_ERR'!A99, ":"))))</f>
        <v/>
      </c>
    </row>
    <row r="100">
      <c r="A100" s="38">
        <f>IF('6 - TV Stands &amp; Enterta'!B100 = "", "", IF('6 - TV Stands &amp; Enterta-WUO_ERR'!A100 = "", "Validated", HYPERLINK("#" &amp; ADDRESS(100, '6 - TV Stands &amp; Enterta-WUO_TRK'!A100),_xlfn.TEXTAFTER('6 - TV Stands &amp; Enterta-WUO_ERR'!A100, ":"))))</f>
        <v/>
      </c>
    </row>
    <row r="101">
      <c r="A101" s="38">
        <f>IF('6 - TV Stands &amp; Enterta'!B101 = "", "", IF('6 - TV Stands &amp; Enterta-WUO_ERR'!A101 = "", "Validated", HYPERLINK("#" &amp; ADDRESS(101, '6 - TV Stands &amp; Enterta-WUO_TRK'!A101),_xlfn.TEXTAFTER('6 - TV Stands &amp; Enterta-WUO_ERR'!A101, ":"))))</f>
        <v/>
      </c>
    </row>
    <row r="102">
      <c r="A102" s="38">
        <f>IF('6 - TV Stands &amp; Enterta'!B102 = "", "", IF('6 - TV Stands &amp; Enterta-WUO_ERR'!A102 = "", "Validated", HYPERLINK("#" &amp; ADDRESS(102, '6 - TV Stands &amp; Enterta-WUO_TRK'!A102),_xlfn.TEXTAFTER('6 - TV Stands &amp; Enterta-WUO_ERR'!A102, ":"))))</f>
        <v/>
      </c>
    </row>
    <row r="103">
      <c r="A103" s="38">
        <f>IF('6 - TV Stands &amp; Enterta'!B103 = "", "", IF('6 - TV Stands &amp; Enterta-WUO_ERR'!A103 = "", "Validated", HYPERLINK("#" &amp; ADDRESS(103, '6 - TV Stands &amp; Enterta-WUO_TRK'!A103),_xlfn.TEXTAFTER('6 - TV Stands &amp; Enterta-WUO_ERR'!A103, ":"))))</f>
        <v/>
      </c>
    </row>
    <row r="104">
      <c r="A104" s="38">
        <f>IF('6 - TV Stands &amp; Enterta'!B104 = "", "", IF('6 - TV Stands &amp; Enterta-WUO_ERR'!A104 = "", "Validated", HYPERLINK("#" &amp; ADDRESS(104, '6 - TV Stands &amp; Enterta-WUO_TRK'!A104),_xlfn.TEXTAFTER('6 - TV Stands &amp; Enterta-WUO_ERR'!A104, ":"))))</f>
        <v/>
      </c>
    </row>
    <row r="105">
      <c r="A105" s="38">
        <f>IF('6 - TV Stands &amp; Enterta'!B105 = "", "", IF('6 - TV Stands &amp; Enterta-WUO_ERR'!A105 = "", "Validated", HYPERLINK("#" &amp; ADDRESS(105, '6 - TV Stands &amp; Enterta-WUO_TRK'!A105),_xlfn.TEXTAFTER('6 - TV Stands &amp; Enterta-WUO_ERR'!A105, ":"))))</f>
        <v/>
      </c>
    </row>
    <row r="106">
      <c r="A106" s="38">
        <f>IF('6 - TV Stands &amp; Enterta'!B106 = "", "", IF('6 - TV Stands &amp; Enterta-WUO_ERR'!A106 = "", "Validated", HYPERLINK("#" &amp; ADDRESS(106, '6 - TV Stands &amp; Enterta-WUO_TRK'!A106),_xlfn.TEXTAFTER('6 - TV Stands &amp; Enterta-WUO_ERR'!A106, ":"))))</f>
        <v/>
      </c>
    </row>
    <row r="107">
      <c r="A107" s="38">
        <f>IF('6 - TV Stands &amp; Enterta'!B107 = "", "", IF('6 - TV Stands &amp; Enterta-WUO_ERR'!A107 = "", "Validated", HYPERLINK("#" &amp; ADDRESS(107, '6 - TV Stands &amp; Enterta-WUO_TRK'!A107),_xlfn.TEXTAFTER('6 - TV Stands &amp; Enterta-WUO_ERR'!A107, ":"))))</f>
        <v/>
      </c>
    </row>
    <row r="108">
      <c r="A108" s="38">
        <f>IF('6 - TV Stands &amp; Enterta'!B108 = "", "", IF('6 - TV Stands &amp; Enterta-WUO_ERR'!A108 = "", "Validated", HYPERLINK("#" &amp; ADDRESS(108, '6 - TV Stands &amp; Enterta-WUO_TRK'!A108),_xlfn.TEXTAFTER('6 - TV Stands &amp; Enterta-WUO_ERR'!A108, ":"))))</f>
        <v/>
      </c>
    </row>
    <row r="109">
      <c r="A109" s="38">
        <f>IF('6 - TV Stands &amp; Enterta'!B109 = "", "", IF('6 - TV Stands &amp; Enterta-WUO_ERR'!A109 = "", "Validated", HYPERLINK("#" &amp; ADDRESS(109, '6 - TV Stands &amp; Enterta-WUO_TRK'!A109),_xlfn.TEXTAFTER('6 - TV Stands &amp; Enterta-WUO_ERR'!A109, ":"))))</f>
        <v/>
      </c>
    </row>
    <row r="110">
      <c r="A110" s="38">
        <f>IF('6 - TV Stands &amp; Enterta'!B110 = "", "", IF('6 - TV Stands &amp; Enterta-WUO_ERR'!A110 = "", "Validated", HYPERLINK("#" &amp; ADDRESS(110, '6 - TV Stands &amp; Enterta-WUO_TRK'!A110),_xlfn.TEXTAFTER('6 - TV Stands &amp; Enterta-WUO_ERR'!A110, ":"))))</f>
        <v/>
      </c>
    </row>
    <row r="111">
      <c r="A111" s="38">
        <f>IF('6 - TV Stands &amp; Enterta'!B111 = "", "", IF('6 - TV Stands &amp; Enterta-WUO_ERR'!A111 = "", "Validated", HYPERLINK("#" &amp; ADDRESS(111, '6 - TV Stands &amp; Enterta-WUO_TRK'!A111),_xlfn.TEXTAFTER('6 - TV Stands &amp; Enterta-WUO_ERR'!A111, ":"))))</f>
        <v/>
      </c>
    </row>
    <row r="112">
      <c r="A112" s="38">
        <f>IF('6 - TV Stands &amp; Enterta'!B112 = "", "", IF('6 - TV Stands &amp; Enterta-WUO_ERR'!A112 = "", "Validated", HYPERLINK("#" &amp; ADDRESS(112, '6 - TV Stands &amp; Enterta-WUO_TRK'!A112),_xlfn.TEXTAFTER('6 - TV Stands &amp; Enterta-WUO_ERR'!A112, ":"))))</f>
        <v/>
      </c>
    </row>
    <row r="113">
      <c r="A113" s="38">
        <f>IF('6 - TV Stands &amp; Enterta'!B113 = "", "", IF('6 - TV Stands &amp; Enterta-WUO_ERR'!A113 = "", "Validated", HYPERLINK("#" &amp; ADDRESS(113, '6 - TV Stands &amp; Enterta-WUO_TRK'!A113),_xlfn.TEXTAFTER('6 - TV Stands &amp; Enterta-WUO_ERR'!A113, ":"))))</f>
        <v/>
      </c>
    </row>
    <row r="114">
      <c r="A114" s="38">
        <f>IF('6 - TV Stands &amp; Enterta'!B114 = "", "", IF('6 - TV Stands &amp; Enterta-WUO_ERR'!A114 = "", "Validated", HYPERLINK("#" &amp; ADDRESS(114, '6 - TV Stands &amp; Enterta-WUO_TRK'!A114),_xlfn.TEXTAFTER('6 - TV Stands &amp; Enterta-WUO_ERR'!A114, ":"))))</f>
        <v/>
      </c>
    </row>
    <row r="115">
      <c r="A115" s="38">
        <f>IF('6 - TV Stands &amp; Enterta'!B115 = "", "", IF('6 - TV Stands &amp; Enterta-WUO_ERR'!A115 = "", "Validated", HYPERLINK("#" &amp; ADDRESS(115, '6 - TV Stands &amp; Enterta-WUO_TRK'!A115),_xlfn.TEXTAFTER('6 - TV Stands &amp; Enterta-WUO_ERR'!A115, ":"))))</f>
        <v/>
      </c>
    </row>
    <row r="116">
      <c r="A116" s="38">
        <f>IF('6 - TV Stands &amp; Enterta'!B116 = "", "", IF('6 - TV Stands &amp; Enterta-WUO_ERR'!A116 = "", "Validated", HYPERLINK("#" &amp; ADDRESS(116, '6 - TV Stands &amp; Enterta-WUO_TRK'!A116),_xlfn.TEXTAFTER('6 - TV Stands &amp; Enterta-WUO_ERR'!A116, ":"))))</f>
        <v/>
      </c>
    </row>
    <row r="117">
      <c r="A117" s="38">
        <f>IF('6 - TV Stands &amp; Enterta'!B117 = "", "", IF('6 - TV Stands &amp; Enterta-WUO_ERR'!A117 = "", "Validated", HYPERLINK("#" &amp; ADDRESS(117, '6 - TV Stands &amp; Enterta-WUO_TRK'!A117),_xlfn.TEXTAFTER('6 - TV Stands &amp; Enterta-WUO_ERR'!A117, ":"))))</f>
        <v/>
      </c>
    </row>
    <row r="118">
      <c r="A118" s="38">
        <f>IF('6 - TV Stands &amp; Enterta'!B118 = "", "", IF('6 - TV Stands &amp; Enterta-WUO_ERR'!A118 = "", "Validated", HYPERLINK("#" &amp; ADDRESS(118, '6 - TV Stands &amp; Enterta-WUO_TRK'!A118),_xlfn.TEXTAFTER('6 - TV Stands &amp; Enterta-WUO_ERR'!A118, ":"))))</f>
        <v/>
      </c>
    </row>
    <row r="119">
      <c r="A119" s="38">
        <f>IF('6 - TV Stands &amp; Enterta'!B119 = "", "", IF('6 - TV Stands &amp; Enterta-WUO_ERR'!A119 = "", "Validated", HYPERLINK("#" &amp; ADDRESS(119, '6 - TV Stands &amp; Enterta-WUO_TRK'!A119),_xlfn.TEXTAFTER('6 - TV Stands &amp; Enterta-WUO_ERR'!A119, ":"))))</f>
        <v/>
      </c>
    </row>
    <row r="120">
      <c r="A120" s="38">
        <f>IF('6 - TV Stands &amp; Enterta'!B120 = "", "", IF('6 - TV Stands &amp; Enterta-WUO_ERR'!A120 = "", "Validated", HYPERLINK("#" &amp; ADDRESS(120, '6 - TV Stands &amp; Enterta-WUO_TRK'!A120),_xlfn.TEXTAFTER('6 - TV Stands &amp; Enterta-WUO_ERR'!A120, ":"))))</f>
        <v/>
      </c>
    </row>
    <row r="121">
      <c r="A121" s="38">
        <f>IF('6 - TV Stands &amp; Enterta'!B121 = "", "", IF('6 - TV Stands &amp; Enterta-WUO_ERR'!A121 = "", "Validated", HYPERLINK("#" &amp; ADDRESS(121, '6 - TV Stands &amp; Enterta-WUO_TRK'!A121),_xlfn.TEXTAFTER('6 - TV Stands &amp; Enterta-WUO_ERR'!A121, ":"))))</f>
        <v/>
      </c>
    </row>
    <row r="122">
      <c r="A122" s="38">
        <f>IF('6 - TV Stands &amp; Enterta'!B122 = "", "", IF('6 - TV Stands &amp; Enterta-WUO_ERR'!A122 = "", "Validated", HYPERLINK("#" &amp; ADDRESS(122, '6 - TV Stands &amp; Enterta-WUO_TRK'!A122),_xlfn.TEXTAFTER('6 - TV Stands &amp; Enterta-WUO_ERR'!A122, ":"))))</f>
        <v/>
      </c>
    </row>
    <row r="123">
      <c r="A123" s="38">
        <f>IF('6 - TV Stands &amp; Enterta'!B123 = "", "", IF('6 - TV Stands &amp; Enterta-WUO_ERR'!A123 = "", "Validated", HYPERLINK("#" &amp; ADDRESS(123, '6 - TV Stands &amp; Enterta-WUO_TRK'!A123),_xlfn.TEXTAFTER('6 - TV Stands &amp; Enterta-WUO_ERR'!A123, ":"))))</f>
        <v/>
      </c>
    </row>
    <row r="124">
      <c r="A124" s="38">
        <f>IF('6 - TV Stands &amp; Enterta'!B124 = "", "", IF('6 - TV Stands &amp; Enterta-WUO_ERR'!A124 = "", "Validated", HYPERLINK("#" &amp; ADDRESS(124, '6 - TV Stands &amp; Enterta-WUO_TRK'!A124),_xlfn.TEXTAFTER('6 - TV Stands &amp; Enterta-WUO_ERR'!A124, ":"))))</f>
        <v/>
      </c>
    </row>
    <row r="125">
      <c r="A125" s="38">
        <f>IF('6 - TV Stands &amp; Enterta'!B125 = "", "", IF('6 - TV Stands &amp; Enterta-WUO_ERR'!A125 = "", "Validated", HYPERLINK("#" &amp; ADDRESS(125, '6 - TV Stands &amp; Enterta-WUO_TRK'!A125),_xlfn.TEXTAFTER('6 - TV Stands &amp; Enterta-WUO_ERR'!A125, ":"))))</f>
        <v/>
      </c>
    </row>
    <row r="126">
      <c r="A126" s="38">
        <f>IF('6 - TV Stands &amp; Enterta'!B126 = "", "", IF('6 - TV Stands &amp; Enterta-WUO_ERR'!A126 = "", "Validated", HYPERLINK("#" &amp; ADDRESS(126, '6 - TV Stands &amp; Enterta-WUO_TRK'!A126),_xlfn.TEXTAFTER('6 - TV Stands &amp; Enterta-WUO_ERR'!A126, ":"))))</f>
        <v/>
      </c>
    </row>
    <row r="127">
      <c r="A127" s="38">
        <f>IF('6 - TV Stands &amp; Enterta'!B127 = "", "", IF('6 - TV Stands &amp; Enterta-WUO_ERR'!A127 = "", "Validated", HYPERLINK("#" &amp; ADDRESS(127, '6 - TV Stands &amp; Enterta-WUO_TRK'!A127),_xlfn.TEXTAFTER('6 - TV Stands &amp; Enterta-WUO_ERR'!A127, ":"))))</f>
        <v/>
      </c>
    </row>
    <row r="128">
      <c r="A128" s="38">
        <f>IF('6 - TV Stands &amp; Enterta'!B128 = "", "", IF('6 - TV Stands &amp; Enterta-WUO_ERR'!A128 = "", "Validated", HYPERLINK("#" &amp; ADDRESS(128, '6 - TV Stands &amp; Enterta-WUO_TRK'!A128),_xlfn.TEXTAFTER('6 - TV Stands &amp; Enterta-WUO_ERR'!A128, ":"))))</f>
        <v/>
      </c>
    </row>
    <row r="129">
      <c r="A129" s="38">
        <f>IF('6 - TV Stands &amp; Enterta'!B129 = "", "", IF('6 - TV Stands &amp; Enterta-WUO_ERR'!A129 = "", "Validated", HYPERLINK("#" &amp; ADDRESS(129, '6 - TV Stands &amp; Enterta-WUO_TRK'!A129),_xlfn.TEXTAFTER('6 - TV Stands &amp; Enterta-WUO_ERR'!A129, ":"))))</f>
        <v/>
      </c>
    </row>
    <row r="130">
      <c r="A130" s="38">
        <f>IF('6 - TV Stands &amp; Enterta'!B130 = "", "", IF('6 - TV Stands &amp; Enterta-WUO_ERR'!A130 = "", "Validated", HYPERLINK("#" &amp; ADDRESS(130, '6 - TV Stands &amp; Enterta-WUO_TRK'!A130),_xlfn.TEXTAFTER('6 - TV Stands &amp; Enterta-WUO_ERR'!A130, ":"))))</f>
        <v/>
      </c>
    </row>
    <row r="131">
      <c r="A131" s="38">
        <f>IF('6 - TV Stands &amp; Enterta'!B131 = "", "", IF('6 - TV Stands &amp; Enterta-WUO_ERR'!A131 = "", "Validated", HYPERLINK("#" &amp; ADDRESS(131, '6 - TV Stands &amp; Enterta-WUO_TRK'!A131),_xlfn.TEXTAFTER('6 - TV Stands &amp; Enterta-WUO_ERR'!A131, ":"))))</f>
        <v/>
      </c>
    </row>
    <row r="132">
      <c r="A132" s="38">
        <f>IF('6 - TV Stands &amp; Enterta'!B132 = "", "", IF('6 - TV Stands &amp; Enterta-WUO_ERR'!A132 = "", "Validated", HYPERLINK("#" &amp; ADDRESS(132, '6 - TV Stands &amp; Enterta-WUO_TRK'!A132),_xlfn.TEXTAFTER('6 - TV Stands &amp; Enterta-WUO_ERR'!A132, ":"))))</f>
        <v/>
      </c>
    </row>
    <row r="133">
      <c r="A133" s="38">
        <f>IF('6 - TV Stands &amp; Enterta'!B133 = "", "", IF('6 - TV Stands &amp; Enterta-WUO_ERR'!A133 = "", "Validated", HYPERLINK("#" &amp; ADDRESS(133, '6 - TV Stands &amp; Enterta-WUO_TRK'!A133),_xlfn.TEXTAFTER('6 - TV Stands &amp; Enterta-WUO_ERR'!A133, ":"))))</f>
        <v/>
      </c>
    </row>
    <row r="134">
      <c r="A134" s="38">
        <f>IF('6 - TV Stands &amp; Enterta'!B134 = "", "", IF('6 - TV Stands &amp; Enterta-WUO_ERR'!A134 = "", "Validated", HYPERLINK("#" &amp; ADDRESS(134, '6 - TV Stands &amp; Enterta-WUO_TRK'!A134),_xlfn.TEXTAFTER('6 - TV Stands &amp; Enterta-WUO_ERR'!A134, ":"))))</f>
        <v/>
      </c>
    </row>
    <row r="135">
      <c r="A135" s="38">
        <f>IF('6 - TV Stands &amp; Enterta'!B135 = "", "", IF('6 - TV Stands &amp; Enterta-WUO_ERR'!A135 = "", "Validated", HYPERLINK("#" &amp; ADDRESS(135, '6 - TV Stands &amp; Enterta-WUO_TRK'!A135),_xlfn.TEXTAFTER('6 - TV Stands &amp; Enterta-WUO_ERR'!A135, ":"))))</f>
        <v/>
      </c>
    </row>
    <row r="136">
      <c r="A136" s="38">
        <f>IF('6 - TV Stands &amp; Enterta'!B136 = "", "", IF('6 - TV Stands &amp; Enterta-WUO_ERR'!A136 = "", "Validated", HYPERLINK("#" &amp; ADDRESS(136, '6 - TV Stands &amp; Enterta-WUO_TRK'!A136),_xlfn.TEXTAFTER('6 - TV Stands &amp; Enterta-WUO_ERR'!A136, ":"))))</f>
        <v/>
      </c>
    </row>
    <row r="137">
      <c r="A137" s="38">
        <f>IF('6 - TV Stands &amp; Enterta'!B137 = "", "", IF('6 - TV Stands &amp; Enterta-WUO_ERR'!A137 = "", "Validated", HYPERLINK("#" &amp; ADDRESS(137, '6 - TV Stands &amp; Enterta-WUO_TRK'!A137),_xlfn.TEXTAFTER('6 - TV Stands &amp; Enterta-WUO_ERR'!A137, ":"))))</f>
        <v/>
      </c>
    </row>
    <row r="138">
      <c r="A138" s="38">
        <f>IF('6 - TV Stands &amp; Enterta'!B138 = "", "", IF('6 - TV Stands &amp; Enterta-WUO_ERR'!A138 = "", "Validated", HYPERLINK("#" &amp; ADDRESS(138, '6 - TV Stands &amp; Enterta-WUO_TRK'!A138),_xlfn.TEXTAFTER('6 - TV Stands &amp; Enterta-WUO_ERR'!A138, ":"))))</f>
        <v/>
      </c>
    </row>
    <row r="139">
      <c r="A139" s="38">
        <f>IF('6 - TV Stands &amp; Enterta'!B139 = "", "", IF('6 - TV Stands &amp; Enterta-WUO_ERR'!A139 = "", "Validated", HYPERLINK("#" &amp; ADDRESS(139, '6 - TV Stands &amp; Enterta-WUO_TRK'!A139),_xlfn.TEXTAFTER('6 - TV Stands &amp; Enterta-WUO_ERR'!A139, ":"))))</f>
        <v/>
      </c>
    </row>
    <row r="140">
      <c r="A140" s="38">
        <f>IF('6 - TV Stands &amp; Enterta'!B140 = "", "", IF('6 - TV Stands &amp; Enterta-WUO_ERR'!A140 = "", "Validated", HYPERLINK("#" &amp; ADDRESS(140, '6 - TV Stands &amp; Enterta-WUO_TRK'!A140),_xlfn.TEXTAFTER('6 - TV Stands &amp; Enterta-WUO_ERR'!A140, ":"))))</f>
        <v/>
      </c>
    </row>
    <row r="141">
      <c r="A141" s="38">
        <f>IF('6 - TV Stands &amp; Enterta'!B141 = "", "", IF('6 - TV Stands &amp; Enterta-WUO_ERR'!A141 = "", "Validated", HYPERLINK("#" &amp; ADDRESS(141, '6 - TV Stands &amp; Enterta-WUO_TRK'!A141),_xlfn.TEXTAFTER('6 - TV Stands &amp; Enterta-WUO_ERR'!A141, ":"))))</f>
        <v/>
      </c>
    </row>
    <row r="142">
      <c r="A142" s="38">
        <f>IF('6 - TV Stands &amp; Enterta'!B142 = "", "", IF('6 - TV Stands &amp; Enterta-WUO_ERR'!A142 = "", "Validated", HYPERLINK("#" &amp; ADDRESS(142, '6 - TV Stands &amp; Enterta-WUO_TRK'!A142),_xlfn.TEXTAFTER('6 - TV Stands &amp; Enterta-WUO_ERR'!A142, ":"))))</f>
        <v/>
      </c>
    </row>
    <row r="143">
      <c r="A143" s="38">
        <f>IF('6 - TV Stands &amp; Enterta'!B143 = "", "", IF('6 - TV Stands &amp; Enterta-WUO_ERR'!A143 = "", "Validated", HYPERLINK("#" &amp; ADDRESS(143, '6 - TV Stands &amp; Enterta-WUO_TRK'!A143),_xlfn.TEXTAFTER('6 - TV Stands &amp; Enterta-WUO_ERR'!A143, ":"))))</f>
        <v/>
      </c>
    </row>
    <row r="144">
      <c r="A144" s="38">
        <f>IF('6 - TV Stands &amp; Enterta'!B144 = "", "", IF('6 - TV Stands &amp; Enterta-WUO_ERR'!A144 = "", "Validated", HYPERLINK("#" &amp; ADDRESS(144, '6 - TV Stands &amp; Enterta-WUO_TRK'!A144),_xlfn.TEXTAFTER('6 - TV Stands &amp; Enterta-WUO_ERR'!A144, ":"))))</f>
        <v/>
      </c>
    </row>
    <row r="145">
      <c r="A145" s="38">
        <f>IF('6 - TV Stands &amp; Enterta'!B145 = "", "", IF('6 - TV Stands &amp; Enterta-WUO_ERR'!A145 = "", "Validated", HYPERLINK("#" &amp; ADDRESS(145, '6 - TV Stands &amp; Enterta-WUO_TRK'!A145),_xlfn.TEXTAFTER('6 - TV Stands &amp; Enterta-WUO_ERR'!A145, ":"))))</f>
        <v/>
      </c>
    </row>
    <row r="146">
      <c r="A146" s="38">
        <f>IF('6 - TV Stands &amp; Enterta'!B146 = "", "", IF('6 - TV Stands &amp; Enterta-WUO_ERR'!A146 = "", "Validated", HYPERLINK("#" &amp; ADDRESS(146, '6 - TV Stands &amp; Enterta-WUO_TRK'!A146),_xlfn.TEXTAFTER('6 - TV Stands &amp; Enterta-WUO_ERR'!A146, ":"))))</f>
        <v/>
      </c>
    </row>
    <row r="147">
      <c r="A147" s="38">
        <f>IF('6 - TV Stands &amp; Enterta'!B147 = "", "", IF('6 - TV Stands &amp; Enterta-WUO_ERR'!A147 = "", "Validated", HYPERLINK("#" &amp; ADDRESS(147, '6 - TV Stands &amp; Enterta-WUO_TRK'!A147),_xlfn.TEXTAFTER('6 - TV Stands &amp; Enterta-WUO_ERR'!A147, ":"))))</f>
        <v/>
      </c>
    </row>
    <row r="148">
      <c r="A148" s="38">
        <f>IF('6 - TV Stands &amp; Enterta'!B148 = "", "", IF('6 - TV Stands &amp; Enterta-WUO_ERR'!A148 = "", "Validated", HYPERLINK("#" &amp; ADDRESS(148, '6 - TV Stands &amp; Enterta-WUO_TRK'!A148),_xlfn.TEXTAFTER('6 - TV Stands &amp; Enterta-WUO_ERR'!A148, ":"))))</f>
        <v/>
      </c>
    </row>
    <row r="149">
      <c r="A149" s="38">
        <f>IF('6 - TV Stands &amp; Enterta'!B149 = "", "", IF('6 - TV Stands &amp; Enterta-WUO_ERR'!A149 = "", "Validated", HYPERLINK("#" &amp; ADDRESS(149, '6 - TV Stands &amp; Enterta-WUO_TRK'!A149),_xlfn.TEXTAFTER('6 - TV Stands &amp; Enterta-WUO_ERR'!A149, ":"))))</f>
        <v/>
      </c>
    </row>
    <row r="150">
      <c r="A150" s="38">
        <f>IF('6 - TV Stands &amp; Enterta'!B150 = "", "", IF('6 - TV Stands &amp; Enterta-WUO_ERR'!A150 = "", "Validated", HYPERLINK("#" &amp; ADDRESS(150, '6 - TV Stands &amp; Enterta-WUO_TRK'!A150),_xlfn.TEXTAFTER('6 - TV Stands &amp; Enterta-WUO_ERR'!A150, ":"))))</f>
        <v/>
      </c>
    </row>
    <row r="151">
      <c r="A151" s="38">
        <f>IF('6 - TV Stands &amp; Enterta'!B151 = "", "", IF('6 - TV Stands &amp; Enterta-WUO_ERR'!A151 = "", "Validated", HYPERLINK("#" &amp; ADDRESS(151, '6 - TV Stands &amp; Enterta-WUO_TRK'!A151),_xlfn.TEXTAFTER('6 - TV Stands &amp; Enterta-WUO_ERR'!A151, ":"))))</f>
        <v/>
      </c>
    </row>
    <row r="152">
      <c r="A152" s="38">
        <f>IF('6 - TV Stands &amp; Enterta'!B152 = "", "", IF('6 - TV Stands &amp; Enterta-WUO_ERR'!A152 = "", "Validated", HYPERLINK("#" &amp; ADDRESS(152, '6 - TV Stands &amp; Enterta-WUO_TRK'!A152),_xlfn.TEXTAFTER('6 - TV Stands &amp; Enterta-WUO_ERR'!A152, ":"))))</f>
        <v/>
      </c>
    </row>
    <row r="153">
      <c r="A153" s="38">
        <f>IF('6 - TV Stands &amp; Enterta'!B153 = "", "", IF('6 - TV Stands &amp; Enterta-WUO_ERR'!A153 = "", "Validated", HYPERLINK("#" &amp; ADDRESS(153, '6 - TV Stands &amp; Enterta-WUO_TRK'!A153),_xlfn.TEXTAFTER('6 - TV Stands &amp; Enterta-WUO_ERR'!A153, ":"))))</f>
        <v/>
      </c>
    </row>
    <row r="154">
      <c r="A154" s="38">
        <f>IF('6 - TV Stands &amp; Enterta'!B154 = "", "", IF('6 - TV Stands &amp; Enterta-WUO_ERR'!A154 = "", "Validated", HYPERLINK("#" &amp; ADDRESS(154, '6 - TV Stands &amp; Enterta-WUO_TRK'!A154),_xlfn.TEXTAFTER('6 - TV Stands &amp; Enterta-WUO_ERR'!A154, ":"))))</f>
        <v/>
      </c>
    </row>
    <row r="155">
      <c r="A155" s="38">
        <f>IF('6 - TV Stands &amp; Enterta'!B155 = "", "", IF('6 - TV Stands &amp; Enterta-WUO_ERR'!A155 = "", "Validated", HYPERLINK("#" &amp; ADDRESS(155, '6 - TV Stands &amp; Enterta-WUO_TRK'!A155),_xlfn.TEXTAFTER('6 - TV Stands &amp; Enterta-WUO_ERR'!A155, ":"))))</f>
        <v/>
      </c>
    </row>
    <row r="156">
      <c r="A156" s="38">
        <f>IF('6 - TV Stands &amp; Enterta'!B156 = "", "", IF('6 - TV Stands &amp; Enterta-WUO_ERR'!A156 = "", "Validated", HYPERLINK("#" &amp; ADDRESS(156, '6 - TV Stands &amp; Enterta-WUO_TRK'!A156),_xlfn.TEXTAFTER('6 - TV Stands &amp; Enterta-WUO_ERR'!A156, ":"))))</f>
        <v/>
      </c>
    </row>
    <row r="157">
      <c r="A157" s="38">
        <f>IF('6 - TV Stands &amp; Enterta'!B157 = "", "", IF('6 - TV Stands &amp; Enterta-WUO_ERR'!A157 = "", "Validated", HYPERLINK("#" &amp; ADDRESS(157, '6 - TV Stands &amp; Enterta-WUO_TRK'!A157),_xlfn.TEXTAFTER('6 - TV Stands &amp; Enterta-WUO_ERR'!A157, ":"))))</f>
        <v/>
      </c>
    </row>
    <row r="158">
      <c r="A158" s="38">
        <f>IF('6 - TV Stands &amp; Enterta'!B158 = "", "", IF('6 - TV Stands &amp; Enterta-WUO_ERR'!A158 = "", "Validated", HYPERLINK("#" &amp; ADDRESS(158, '6 - TV Stands &amp; Enterta-WUO_TRK'!A158),_xlfn.TEXTAFTER('6 - TV Stands &amp; Enterta-WUO_ERR'!A158, ":"))))</f>
        <v/>
      </c>
    </row>
    <row r="159">
      <c r="A159" s="38">
        <f>IF('6 - TV Stands &amp; Enterta'!B159 = "", "", IF('6 - TV Stands &amp; Enterta-WUO_ERR'!A159 = "", "Validated", HYPERLINK("#" &amp; ADDRESS(159, '6 - TV Stands &amp; Enterta-WUO_TRK'!A159),_xlfn.TEXTAFTER('6 - TV Stands &amp; Enterta-WUO_ERR'!A159, ":"))))</f>
        <v/>
      </c>
    </row>
    <row r="160">
      <c r="A160" s="38">
        <f>IF('6 - TV Stands &amp; Enterta'!B160 = "", "", IF('6 - TV Stands &amp; Enterta-WUO_ERR'!A160 = "", "Validated", HYPERLINK("#" &amp; ADDRESS(160, '6 - TV Stands &amp; Enterta-WUO_TRK'!A160),_xlfn.TEXTAFTER('6 - TV Stands &amp; Enterta-WUO_ERR'!A160, ":"))))</f>
        <v/>
      </c>
    </row>
    <row r="161">
      <c r="A161" s="38">
        <f>IF('6 - TV Stands &amp; Enterta'!B161 = "", "", IF('6 - TV Stands &amp; Enterta-WUO_ERR'!A161 = "", "Validated", HYPERLINK("#" &amp; ADDRESS(161, '6 - TV Stands &amp; Enterta-WUO_TRK'!A161),_xlfn.TEXTAFTER('6 - TV Stands &amp; Enterta-WUO_ERR'!A161, ":"))))</f>
        <v/>
      </c>
    </row>
    <row r="162">
      <c r="A162" s="38">
        <f>IF('6 - TV Stands &amp; Enterta'!B162 = "", "", IF('6 - TV Stands &amp; Enterta-WUO_ERR'!A162 = "", "Validated", HYPERLINK("#" &amp; ADDRESS(162, '6 - TV Stands &amp; Enterta-WUO_TRK'!A162),_xlfn.TEXTAFTER('6 - TV Stands &amp; Enterta-WUO_ERR'!A162, ":"))))</f>
        <v/>
      </c>
    </row>
    <row r="163">
      <c r="A163" s="38">
        <f>IF('6 - TV Stands &amp; Enterta'!B163 = "", "", IF('6 - TV Stands &amp; Enterta-WUO_ERR'!A163 = "", "Validated", HYPERLINK("#" &amp; ADDRESS(163, '6 - TV Stands &amp; Enterta-WUO_TRK'!A163),_xlfn.TEXTAFTER('6 - TV Stands &amp; Enterta-WUO_ERR'!A163, ":"))))</f>
        <v/>
      </c>
    </row>
    <row r="164">
      <c r="A164" s="38">
        <f>IF('6 - TV Stands &amp; Enterta'!B164 = "", "", IF('6 - TV Stands &amp; Enterta-WUO_ERR'!A164 = "", "Validated", HYPERLINK("#" &amp; ADDRESS(164, '6 - TV Stands &amp; Enterta-WUO_TRK'!A164),_xlfn.TEXTAFTER('6 - TV Stands &amp; Enterta-WUO_ERR'!A164, ":"))))</f>
        <v/>
      </c>
    </row>
    <row r="165">
      <c r="A165" s="38">
        <f>IF('6 - TV Stands &amp; Enterta'!B165 = "", "", IF('6 - TV Stands &amp; Enterta-WUO_ERR'!A165 = "", "Validated", HYPERLINK("#" &amp; ADDRESS(165, '6 - TV Stands &amp; Enterta-WUO_TRK'!A165),_xlfn.TEXTAFTER('6 - TV Stands &amp; Enterta-WUO_ERR'!A165, ":"))))</f>
        <v/>
      </c>
    </row>
    <row r="166">
      <c r="A166" s="38">
        <f>IF('6 - TV Stands &amp; Enterta'!B166 = "", "", IF('6 - TV Stands &amp; Enterta-WUO_ERR'!A166 = "", "Validated", HYPERLINK("#" &amp; ADDRESS(166, '6 - TV Stands &amp; Enterta-WUO_TRK'!A166),_xlfn.TEXTAFTER('6 - TV Stands &amp; Enterta-WUO_ERR'!A166, ":"))))</f>
        <v/>
      </c>
    </row>
    <row r="167">
      <c r="A167" s="38">
        <f>IF('6 - TV Stands &amp; Enterta'!B167 = "", "", IF('6 - TV Stands &amp; Enterta-WUO_ERR'!A167 = "", "Validated", HYPERLINK("#" &amp; ADDRESS(167, '6 - TV Stands &amp; Enterta-WUO_TRK'!A167),_xlfn.TEXTAFTER('6 - TV Stands &amp; Enterta-WUO_ERR'!A167, ":"))))</f>
        <v/>
      </c>
    </row>
    <row r="168">
      <c r="A168" s="38">
        <f>IF('6 - TV Stands &amp; Enterta'!B168 = "", "", IF('6 - TV Stands &amp; Enterta-WUO_ERR'!A168 = "", "Validated", HYPERLINK("#" &amp; ADDRESS(168, '6 - TV Stands &amp; Enterta-WUO_TRK'!A168),_xlfn.TEXTAFTER('6 - TV Stands &amp; Enterta-WUO_ERR'!A168, ":"))))</f>
        <v/>
      </c>
    </row>
    <row r="169">
      <c r="A169" s="38">
        <f>IF('6 - TV Stands &amp; Enterta'!B169 = "", "", IF('6 - TV Stands &amp; Enterta-WUO_ERR'!A169 = "", "Validated", HYPERLINK("#" &amp; ADDRESS(169, '6 - TV Stands &amp; Enterta-WUO_TRK'!A169),_xlfn.TEXTAFTER('6 - TV Stands &amp; Enterta-WUO_ERR'!A169, ":"))))</f>
        <v/>
      </c>
    </row>
    <row r="170">
      <c r="A170" s="38">
        <f>IF('6 - TV Stands &amp; Enterta'!B170 = "", "", IF('6 - TV Stands &amp; Enterta-WUO_ERR'!A170 = "", "Validated", HYPERLINK("#" &amp; ADDRESS(170, '6 - TV Stands &amp; Enterta-WUO_TRK'!A170),_xlfn.TEXTAFTER('6 - TV Stands &amp; Enterta-WUO_ERR'!A170, ":"))))</f>
        <v/>
      </c>
    </row>
    <row r="171">
      <c r="A171" s="38">
        <f>IF('6 - TV Stands &amp; Enterta'!B171 = "", "", IF('6 - TV Stands &amp; Enterta-WUO_ERR'!A171 = "", "Validated", HYPERLINK("#" &amp; ADDRESS(171, '6 - TV Stands &amp; Enterta-WUO_TRK'!A171),_xlfn.TEXTAFTER('6 - TV Stands &amp; Enterta-WUO_ERR'!A171, ":"))))</f>
        <v/>
      </c>
    </row>
    <row r="172">
      <c r="A172" s="38">
        <f>IF('6 - TV Stands &amp; Enterta'!B172 = "", "", IF('6 - TV Stands &amp; Enterta-WUO_ERR'!A172 = "", "Validated", HYPERLINK("#" &amp; ADDRESS(172, '6 - TV Stands &amp; Enterta-WUO_TRK'!A172),_xlfn.TEXTAFTER('6 - TV Stands &amp; Enterta-WUO_ERR'!A172, ":"))))</f>
        <v/>
      </c>
    </row>
    <row r="173">
      <c r="A173" s="38">
        <f>IF('6 - TV Stands &amp; Enterta'!B173 = "", "", IF('6 - TV Stands &amp; Enterta-WUO_ERR'!A173 = "", "Validated", HYPERLINK("#" &amp; ADDRESS(173, '6 - TV Stands &amp; Enterta-WUO_TRK'!A173),_xlfn.TEXTAFTER('6 - TV Stands &amp; Enterta-WUO_ERR'!A173, ":"))))</f>
        <v/>
      </c>
    </row>
    <row r="174">
      <c r="A174" s="38">
        <f>IF('6 - TV Stands &amp; Enterta'!B174 = "", "", IF('6 - TV Stands &amp; Enterta-WUO_ERR'!A174 = "", "Validated", HYPERLINK("#" &amp; ADDRESS(174, '6 - TV Stands &amp; Enterta-WUO_TRK'!A174),_xlfn.TEXTAFTER('6 - TV Stands &amp; Enterta-WUO_ERR'!A174, ":"))))</f>
        <v/>
      </c>
    </row>
    <row r="175">
      <c r="A175" s="38">
        <f>IF('6 - TV Stands &amp; Enterta'!B175 = "", "", IF('6 - TV Stands &amp; Enterta-WUO_ERR'!A175 = "", "Validated", HYPERLINK("#" &amp; ADDRESS(175, '6 - TV Stands &amp; Enterta-WUO_TRK'!A175),_xlfn.TEXTAFTER('6 - TV Stands &amp; Enterta-WUO_ERR'!A175, ":"))))</f>
        <v/>
      </c>
    </row>
    <row r="176">
      <c r="A176" s="38">
        <f>IF('6 - TV Stands &amp; Enterta'!B176 = "", "", IF('6 - TV Stands &amp; Enterta-WUO_ERR'!A176 = "", "Validated", HYPERLINK("#" &amp; ADDRESS(176, '6 - TV Stands &amp; Enterta-WUO_TRK'!A176),_xlfn.TEXTAFTER('6 - TV Stands &amp; Enterta-WUO_ERR'!A176, ":"))))</f>
        <v/>
      </c>
    </row>
    <row r="177">
      <c r="A177" s="38">
        <f>IF('6 - TV Stands &amp; Enterta'!B177 = "", "", IF('6 - TV Stands &amp; Enterta-WUO_ERR'!A177 = "", "Validated", HYPERLINK("#" &amp; ADDRESS(177, '6 - TV Stands &amp; Enterta-WUO_TRK'!A177),_xlfn.TEXTAFTER('6 - TV Stands &amp; Enterta-WUO_ERR'!A177, ":"))))</f>
        <v/>
      </c>
    </row>
    <row r="178">
      <c r="A178" s="38">
        <f>IF('6 - TV Stands &amp; Enterta'!B178 = "", "", IF('6 - TV Stands &amp; Enterta-WUO_ERR'!A178 = "", "Validated", HYPERLINK("#" &amp; ADDRESS(178, '6 - TV Stands &amp; Enterta-WUO_TRK'!A178),_xlfn.TEXTAFTER('6 - TV Stands &amp; Enterta-WUO_ERR'!A178, ":"))))</f>
        <v/>
      </c>
    </row>
    <row r="179">
      <c r="A179" s="38">
        <f>IF('6 - TV Stands &amp; Enterta'!B179 = "", "", IF('6 - TV Stands &amp; Enterta-WUO_ERR'!A179 = "", "Validated", HYPERLINK("#" &amp; ADDRESS(179, '6 - TV Stands &amp; Enterta-WUO_TRK'!A179),_xlfn.TEXTAFTER('6 - TV Stands &amp; Enterta-WUO_ERR'!A179, ":"))))</f>
        <v/>
      </c>
    </row>
    <row r="180">
      <c r="A180" s="38">
        <f>IF('6 - TV Stands &amp; Enterta'!B180 = "", "", IF('6 - TV Stands &amp; Enterta-WUO_ERR'!A180 = "", "Validated", HYPERLINK("#" &amp; ADDRESS(180, '6 - TV Stands &amp; Enterta-WUO_TRK'!A180),_xlfn.TEXTAFTER('6 - TV Stands &amp; Enterta-WUO_ERR'!A180, ":"))))</f>
        <v/>
      </c>
    </row>
    <row r="181">
      <c r="A181" s="38">
        <f>IF('6 - TV Stands &amp; Enterta'!B181 = "", "", IF('6 - TV Stands &amp; Enterta-WUO_ERR'!A181 = "", "Validated", HYPERLINK("#" &amp; ADDRESS(181, '6 - TV Stands &amp; Enterta-WUO_TRK'!A181),_xlfn.TEXTAFTER('6 - TV Stands &amp; Enterta-WUO_ERR'!A181, ":"))))</f>
        <v/>
      </c>
    </row>
    <row r="182">
      <c r="A182" s="38">
        <f>IF('6 - TV Stands &amp; Enterta'!B182 = "", "", IF('6 - TV Stands &amp; Enterta-WUO_ERR'!A182 = "", "Validated", HYPERLINK("#" &amp; ADDRESS(182, '6 - TV Stands &amp; Enterta-WUO_TRK'!A182),_xlfn.TEXTAFTER('6 - TV Stands &amp; Enterta-WUO_ERR'!A182, ":"))))</f>
        <v/>
      </c>
    </row>
    <row r="183">
      <c r="A183" s="38">
        <f>IF('6 - TV Stands &amp; Enterta'!B183 = "", "", IF('6 - TV Stands &amp; Enterta-WUO_ERR'!A183 = "", "Validated", HYPERLINK("#" &amp; ADDRESS(183, '6 - TV Stands &amp; Enterta-WUO_TRK'!A183),_xlfn.TEXTAFTER('6 - TV Stands &amp; Enterta-WUO_ERR'!A183, ":"))))</f>
        <v/>
      </c>
    </row>
    <row r="184">
      <c r="A184" s="38">
        <f>IF('6 - TV Stands &amp; Enterta'!B184 = "", "", IF('6 - TV Stands &amp; Enterta-WUO_ERR'!A184 = "", "Validated", HYPERLINK("#" &amp; ADDRESS(184, '6 - TV Stands &amp; Enterta-WUO_TRK'!A184),_xlfn.TEXTAFTER('6 - TV Stands &amp; Enterta-WUO_ERR'!A184, ":"))))</f>
        <v/>
      </c>
    </row>
    <row r="185">
      <c r="A185" s="38">
        <f>IF('6 - TV Stands &amp; Enterta'!B185 = "", "", IF('6 - TV Stands &amp; Enterta-WUO_ERR'!A185 = "", "Validated", HYPERLINK("#" &amp; ADDRESS(185, '6 - TV Stands &amp; Enterta-WUO_TRK'!A185),_xlfn.TEXTAFTER('6 - TV Stands &amp; Enterta-WUO_ERR'!A185, ":"))))</f>
        <v/>
      </c>
    </row>
    <row r="186">
      <c r="A186" s="38">
        <f>IF('6 - TV Stands &amp; Enterta'!B186 = "", "", IF('6 - TV Stands &amp; Enterta-WUO_ERR'!A186 = "", "Validated", HYPERLINK("#" &amp; ADDRESS(186, '6 - TV Stands &amp; Enterta-WUO_TRK'!A186),_xlfn.TEXTAFTER('6 - TV Stands &amp; Enterta-WUO_ERR'!A186, ":"))))</f>
        <v/>
      </c>
    </row>
    <row r="187">
      <c r="A187" s="38">
        <f>IF('6 - TV Stands &amp; Enterta'!B187 = "", "", IF('6 - TV Stands &amp; Enterta-WUO_ERR'!A187 = "", "Validated", HYPERLINK("#" &amp; ADDRESS(187, '6 - TV Stands &amp; Enterta-WUO_TRK'!A187),_xlfn.TEXTAFTER('6 - TV Stands &amp; Enterta-WUO_ERR'!A187, ":"))))</f>
        <v/>
      </c>
    </row>
    <row r="188">
      <c r="A188" s="38">
        <f>IF('6 - TV Stands &amp; Enterta'!B188 = "", "", IF('6 - TV Stands &amp; Enterta-WUO_ERR'!A188 = "", "Validated", HYPERLINK("#" &amp; ADDRESS(188, '6 - TV Stands &amp; Enterta-WUO_TRK'!A188),_xlfn.TEXTAFTER('6 - TV Stands &amp; Enterta-WUO_ERR'!A188, ":"))))</f>
        <v/>
      </c>
    </row>
    <row r="189">
      <c r="A189" s="38">
        <f>IF('6 - TV Stands &amp; Enterta'!B189 = "", "", IF('6 - TV Stands &amp; Enterta-WUO_ERR'!A189 = "", "Validated", HYPERLINK("#" &amp; ADDRESS(189, '6 - TV Stands &amp; Enterta-WUO_TRK'!A189),_xlfn.TEXTAFTER('6 - TV Stands &amp; Enterta-WUO_ERR'!A189, ":"))))</f>
        <v/>
      </c>
    </row>
    <row r="190">
      <c r="A190" s="38">
        <f>IF('6 - TV Stands &amp; Enterta'!B190 = "", "", IF('6 - TV Stands &amp; Enterta-WUO_ERR'!A190 = "", "Validated", HYPERLINK("#" &amp; ADDRESS(190, '6 - TV Stands &amp; Enterta-WUO_TRK'!A190),_xlfn.TEXTAFTER('6 - TV Stands &amp; Enterta-WUO_ERR'!A190, ":"))))</f>
        <v/>
      </c>
    </row>
    <row r="191">
      <c r="A191" s="38">
        <f>IF('6 - TV Stands &amp; Enterta'!B191 = "", "", IF('6 - TV Stands &amp; Enterta-WUO_ERR'!A191 = "", "Validated", HYPERLINK("#" &amp; ADDRESS(191, '6 - TV Stands &amp; Enterta-WUO_TRK'!A191),_xlfn.TEXTAFTER('6 - TV Stands &amp; Enterta-WUO_ERR'!A191, ":"))))</f>
        <v/>
      </c>
    </row>
    <row r="192">
      <c r="A192" s="38">
        <f>IF('6 - TV Stands &amp; Enterta'!B192 = "", "", IF('6 - TV Stands &amp; Enterta-WUO_ERR'!A192 = "", "Validated", HYPERLINK("#" &amp; ADDRESS(192, '6 - TV Stands &amp; Enterta-WUO_TRK'!A192),_xlfn.TEXTAFTER('6 - TV Stands &amp; Enterta-WUO_ERR'!A192, ":"))))</f>
        <v/>
      </c>
    </row>
    <row r="193">
      <c r="A193" s="38">
        <f>IF('6 - TV Stands &amp; Enterta'!B193 = "", "", IF('6 - TV Stands &amp; Enterta-WUO_ERR'!A193 = "", "Validated", HYPERLINK("#" &amp; ADDRESS(193, '6 - TV Stands &amp; Enterta-WUO_TRK'!A193),_xlfn.TEXTAFTER('6 - TV Stands &amp; Enterta-WUO_ERR'!A193, ":"))))</f>
        <v/>
      </c>
    </row>
    <row r="194">
      <c r="A194" s="38">
        <f>IF('6 - TV Stands &amp; Enterta'!B194 = "", "", IF('6 - TV Stands &amp; Enterta-WUO_ERR'!A194 = "", "Validated", HYPERLINK("#" &amp; ADDRESS(194, '6 - TV Stands &amp; Enterta-WUO_TRK'!A194),_xlfn.TEXTAFTER('6 - TV Stands &amp; Enterta-WUO_ERR'!A194, ":"))))</f>
        <v/>
      </c>
    </row>
    <row r="195">
      <c r="A195" s="38">
        <f>IF('6 - TV Stands &amp; Enterta'!B195 = "", "", IF('6 - TV Stands &amp; Enterta-WUO_ERR'!A195 = "", "Validated", HYPERLINK("#" &amp; ADDRESS(195, '6 - TV Stands &amp; Enterta-WUO_TRK'!A195),_xlfn.TEXTAFTER('6 - TV Stands &amp; Enterta-WUO_ERR'!A195, ":"))))</f>
        <v/>
      </c>
    </row>
    <row r="196">
      <c r="A196" s="38">
        <f>IF('6 - TV Stands &amp; Enterta'!B196 = "", "", IF('6 - TV Stands &amp; Enterta-WUO_ERR'!A196 = "", "Validated", HYPERLINK("#" &amp; ADDRESS(196, '6 - TV Stands &amp; Enterta-WUO_TRK'!A196),_xlfn.TEXTAFTER('6 - TV Stands &amp; Enterta-WUO_ERR'!A196, ":"))))</f>
        <v/>
      </c>
    </row>
    <row r="197">
      <c r="A197" s="38">
        <f>IF('6 - TV Stands &amp; Enterta'!B197 = "", "", IF('6 - TV Stands &amp; Enterta-WUO_ERR'!A197 = "", "Validated", HYPERLINK("#" &amp; ADDRESS(197, '6 - TV Stands &amp; Enterta-WUO_TRK'!A197),_xlfn.TEXTAFTER('6 - TV Stands &amp; Enterta-WUO_ERR'!A197, ":"))))</f>
        <v/>
      </c>
    </row>
    <row r="198">
      <c r="A198" s="38">
        <f>IF('6 - TV Stands &amp; Enterta'!B198 = "", "", IF('6 - TV Stands &amp; Enterta-WUO_ERR'!A198 = "", "Validated", HYPERLINK("#" &amp; ADDRESS(198, '6 - TV Stands &amp; Enterta-WUO_TRK'!A198),_xlfn.TEXTAFTER('6 - TV Stands &amp; Enterta-WUO_ERR'!A198, ":"))))</f>
        <v/>
      </c>
    </row>
    <row r="199">
      <c r="A199" s="38">
        <f>IF('6 - TV Stands &amp; Enterta'!B199 = "", "", IF('6 - TV Stands &amp; Enterta-WUO_ERR'!A199 = "", "Validated", HYPERLINK("#" &amp; ADDRESS(199, '6 - TV Stands &amp; Enterta-WUO_TRK'!A199),_xlfn.TEXTAFTER('6 - TV Stands &amp; Enterta-WUO_ERR'!A199, ":"))))</f>
        <v/>
      </c>
    </row>
    <row r="200">
      <c r="A200" s="38">
        <f>IF('6 - TV Stands &amp; Enterta'!B200 = "", "", IF('6 - TV Stands &amp; Enterta-WUO_ERR'!A200 = "", "Validated", HYPERLINK("#" &amp; ADDRESS(200, '6 - TV Stands &amp; Enterta-WUO_TRK'!A200),_xlfn.TEXTAFTER('6 - TV Stands &amp; Enterta-WUO_ERR'!A200, ":"))))</f>
        <v/>
      </c>
    </row>
    <row r="201">
      <c r="A201" s="38">
        <f>IF('6 - TV Stands &amp; Enterta'!B201 = "", "", IF('6 - TV Stands &amp; Enterta-WUO_ERR'!A201 = "", "Validated", HYPERLINK("#" &amp; ADDRESS(201, '6 - TV Stands &amp; Enterta-WUO_TRK'!A201),_xlfn.TEXTAFTER('6 - TV Stands &amp; Enterta-WUO_ERR'!A201, ":"))))</f>
        <v/>
      </c>
    </row>
    <row r="202">
      <c r="A202" s="38">
        <f>IF('6 - TV Stands &amp; Enterta'!B202 = "", "", IF('6 - TV Stands &amp; Enterta-WUO_ERR'!A202 = "", "Validated", HYPERLINK("#" &amp; ADDRESS(202, '6 - TV Stands &amp; Enterta-WUO_TRK'!A202),_xlfn.TEXTAFTER('6 - TV Stands &amp; Enterta-WUO_ERR'!A202, ":"))))</f>
        <v/>
      </c>
    </row>
    <row r="203">
      <c r="A203" s="38">
        <f>IF('6 - TV Stands &amp; Enterta'!B203 = "", "", IF('6 - TV Stands &amp; Enterta-WUO_ERR'!A203 = "", "Validated", HYPERLINK("#" &amp; ADDRESS(203, '6 - TV Stands &amp; Enterta-WUO_TRK'!A203),_xlfn.TEXTAFTER('6 - TV Stands &amp; Enterta-WUO_ERR'!A203, ":"))))</f>
        <v/>
      </c>
    </row>
    <row r="204">
      <c r="A204" s="38">
        <f>IF('6 - TV Stands &amp; Enterta'!B204 = "", "", IF('6 - TV Stands &amp; Enterta-WUO_ERR'!A204 = "", "Validated", HYPERLINK("#" &amp; ADDRESS(204, '6 - TV Stands &amp; Enterta-WUO_TRK'!A204),_xlfn.TEXTAFTER('6 - TV Stands &amp; Enterta-WUO_ERR'!A204, ":"))))</f>
        <v/>
      </c>
    </row>
    <row r="205">
      <c r="A205" s="38">
        <f>IF('6 - TV Stands &amp; Enterta'!B205 = "", "", IF('6 - TV Stands &amp; Enterta-WUO_ERR'!A205 = "", "Validated", HYPERLINK("#" &amp; ADDRESS(205, '6 - TV Stands &amp; Enterta-WUO_TRK'!A205),_xlfn.TEXTAFTER('6 - TV Stands &amp; Enterta-WUO_ERR'!A205, ":"))))</f>
        <v/>
      </c>
    </row>
    <row r="206">
      <c r="A206" s="38">
        <f>IF('6 - TV Stands &amp; Enterta'!B206 = "", "", IF('6 - TV Stands &amp; Enterta-WUO_ERR'!A206 = "", "Validated", HYPERLINK("#" &amp; ADDRESS(206, '6 - TV Stands &amp; Enterta-WUO_TRK'!A206),_xlfn.TEXTAFTER('6 - TV Stands &amp; Enterta-WUO_ERR'!A206, ":"))))</f>
        <v/>
      </c>
    </row>
    <row r="207">
      <c r="A207" s="38">
        <f>IF('6 - TV Stands &amp; Enterta'!B207 = "", "", IF('6 - TV Stands &amp; Enterta-WUO_ERR'!A207 = "", "Validated", HYPERLINK("#" &amp; ADDRESS(207, '6 - TV Stands &amp; Enterta-WUO_TRK'!A207),_xlfn.TEXTAFTER('6 - TV Stands &amp; Enterta-WUO_ERR'!A207, ":"))))</f>
        <v/>
      </c>
    </row>
    <row r="208">
      <c r="A208" s="38">
        <f>IF('6 - TV Stands &amp; Enterta'!B208 = "", "", IF('6 - TV Stands &amp; Enterta-WUO_ERR'!A208 = "", "Validated", HYPERLINK("#" &amp; ADDRESS(208, '6 - TV Stands &amp; Enterta-WUO_TRK'!A208),_xlfn.TEXTAFTER('6 - TV Stands &amp; Enterta-WUO_ERR'!A208, ":"))))</f>
        <v/>
      </c>
    </row>
    <row r="209">
      <c r="A209" s="38">
        <f>IF('6 - TV Stands &amp; Enterta'!B209 = "", "", IF('6 - TV Stands &amp; Enterta-WUO_ERR'!A209 = "", "Validated", HYPERLINK("#" &amp; ADDRESS(209, '6 - TV Stands &amp; Enterta-WUO_TRK'!A209),_xlfn.TEXTAFTER('6 - TV Stands &amp; Enterta-WUO_ERR'!A209, ":"))))</f>
        <v/>
      </c>
    </row>
    <row r="210">
      <c r="A210" s="38">
        <f>IF('6 - TV Stands &amp; Enterta'!B210 = "", "", IF('6 - TV Stands &amp; Enterta-WUO_ERR'!A210 = "", "Validated", HYPERLINK("#" &amp; ADDRESS(210, '6 - TV Stands &amp; Enterta-WUO_TRK'!A210),_xlfn.TEXTAFTER('6 - TV Stands &amp; Enterta-WUO_ERR'!A210, ":"))))</f>
        <v/>
      </c>
    </row>
    <row r="211">
      <c r="A211" s="38">
        <f>IF('6 - TV Stands &amp; Enterta'!B211 = "", "", IF('6 - TV Stands &amp; Enterta-WUO_ERR'!A211 = "", "Validated", HYPERLINK("#" &amp; ADDRESS(211, '6 - TV Stands &amp; Enterta-WUO_TRK'!A211),_xlfn.TEXTAFTER('6 - TV Stands &amp; Enterta-WUO_ERR'!A211, ":"))))</f>
        <v/>
      </c>
    </row>
    <row r="212">
      <c r="A212" s="38">
        <f>IF('6 - TV Stands &amp; Enterta'!B212 = "", "", IF('6 - TV Stands &amp; Enterta-WUO_ERR'!A212 = "", "Validated", HYPERLINK("#" &amp; ADDRESS(212, '6 - TV Stands &amp; Enterta-WUO_TRK'!A212),_xlfn.TEXTAFTER('6 - TV Stands &amp; Enterta-WUO_ERR'!A212, ":"))))</f>
        <v/>
      </c>
    </row>
    <row r="213">
      <c r="A213" s="38">
        <f>IF('6 - TV Stands &amp; Enterta'!B213 = "", "", IF('6 - TV Stands &amp; Enterta-WUO_ERR'!A213 = "", "Validated", HYPERLINK("#" &amp; ADDRESS(213, '6 - TV Stands &amp; Enterta-WUO_TRK'!A213),_xlfn.TEXTAFTER('6 - TV Stands &amp; Enterta-WUO_ERR'!A213, ":"))))</f>
        <v/>
      </c>
    </row>
    <row r="214">
      <c r="A214" s="38">
        <f>IF('6 - TV Stands &amp; Enterta'!B214 = "", "", IF('6 - TV Stands &amp; Enterta-WUO_ERR'!A214 = "", "Validated", HYPERLINK("#" &amp; ADDRESS(214, '6 - TV Stands &amp; Enterta-WUO_TRK'!A214),_xlfn.TEXTAFTER('6 - TV Stands &amp; Enterta-WUO_ERR'!A214, ":"))))</f>
        <v/>
      </c>
    </row>
    <row r="215">
      <c r="A215" s="38">
        <f>IF('6 - TV Stands &amp; Enterta'!B215 = "", "", IF('6 - TV Stands &amp; Enterta-WUO_ERR'!A215 = "", "Validated", HYPERLINK("#" &amp; ADDRESS(215, '6 - TV Stands &amp; Enterta-WUO_TRK'!A215),_xlfn.TEXTAFTER('6 - TV Stands &amp; Enterta-WUO_ERR'!A215, ":"))))</f>
        <v/>
      </c>
    </row>
    <row r="216">
      <c r="A216" s="38">
        <f>IF('6 - TV Stands &amp; Enterta'!B216 = "", "", IF('6 - TV Stands &amp; Enterta-WUO_ERR'!A216 = "", "Validated", HYPERLINK("#" &amp; ADDRESS(216, '6 - TV Stands &amp; Enterta-WUO_TRK'!A216),_xlfn.TEXTAFTER('6 - TV Stands &amp; Enterta-WUO_ERR'!A216, ":"))))</f>
        <v/>
      </c>
    </row>
    <row r="217">
      <c r="A217" s="38">
        <f>IF('6 - TV Stands &amp; Enterta'!B217 = "", "", IF('6 - TV Stands &amp; Enterta-WUO_ERR'!A217 = "", "Validated", HYPERLINK("#" &amp; ADDRESS(217, '6 - TV Stands &amp; Enterta-WUO_TRK'!A217),_xlfn.TEXTAFTER('6 - TV Stands &amp; Enterta-WUO_ERR'!A217, ":"))))</f>
        <v/>
      </c>
    </row>
    <row r="218">
      <c r="A218" s="38">
        <f>IF('6 - TV Stands &amp; Enterta'!B218 = "", "", IF('6 - TV Stands &amp; Enterta-WUO_ERR'!A218 = "", "Validated", HYPERLINK("#" &amp; ADDRESS(218, '6 - TV Stands &amp; Enterta-WUO_TRK'!A218),_xlfn.TEXTAFTER('6 - TV Stands &amp; Enterta-WUO_ERR'!A218, ":"))))</f>
        <v/>
      </c>
    </row>
    <row r="219">
      <c r="A219" s="38">
        <f>IF('6 - TV Stands &amp; Enterta'!B219 = "", "", IF('6 - TV Stands &amp; Enterta-WUO_ERR'!A219 = "", "Validated", HYPERLINK("#" &amp; ADDRESS(219, '6 - TV Stands &amp; Enterta-WUO_TRK'!A219),_xlfn.TEXTAFTER('6 - TV Stands &amp; Enterta-WUO_ERR'!A219, ":"))))</f>
        <v/>
      </c>
    </row>
    <row r="220">
      <c r="A220" s="38">
        <f>IF('6 - TV Stands &amp; Enterta'!B220 = "", "", IF('6 - TV Stands &amp; Enterta-WUO_ERR'!A220 = "", "Validated", HYPERLINK("#" &amp; ADDRESS(220, '6 - TV Stands &amp; Enterta-WUO_TRK'!A220),_xlfn.TEXTAFTER('6 - TV Stands &amp; Enterta-WUO_ERR'!A220, ":"))))</f>
        <v/>
      </c>
    </row>
    <row r="221">
      <c r="A221" s="38">
        <f>IF('6 - TV Stands &amp; Enterta'!B221 = "", "", IF('6 - TV Stands &amp; Enterta-WUO_ERR'!A221 = "", "Validated", HYPERLINK("#" &amp; ADDRESS(221, '6 - TV Stands &amp; Enterta-WUO_TRK'!A221),_xlfn.TEXTAFTER('6 - TV Stands &amp; Enterta-WUO_ERR'!A221, ":"))))</f>
        <v/>
      </c>
    </row>
    <row r="222">
      <c r="A222" s="38">
        <f>IF('6 - TV Stands &amp; Enterta'!B222 = "", "", IF('6 - TV Stands &amp; Enterta-WUO_ERR'!A222 = "", "Validated", HYPERLINK("#" &amp; ADDRESS(222, '6 - TV Stands &amp; Enterta-WUO_TRK'!A222),_xlfn.TEXTAFTER('6 - TV Stands &amp; Enterta-WUO_ERR'!A222, ":"))))</f>
        <v/>
      </c>
    </row>
    <row r="223">
      <c r="A223" s="38">
        <f>IF('6 - TV Stands &amp; Enterta'!B223 = "", "", IF('6 - TV Stands &amp; Enterta-WUO_ERR'!A223 = "", "Validated", HYPERLINK("#" &amp; ADDRESS(223, '6 - TV Stands &amp; Enterta-WUO_TRK'!A223),_xlfn.TEXTAFTER('6 - TV Stands &amp; Enterta-WUO_ERR'!A223, ":"))))</f>
        <v/>
      </c>
    </row>
    <row r="224">
      <c r="A224" s="38">
        <f>IF('6 - TV Stands &amp; Enterta'!B224 = "", "", IF('6 - TV Stands &amp; Enterta-WUO_ERR'!A224 = "", "Validated", HYPERLINK("#" &amp; ADDRESS(224, '6 - TV Stands &amp; Enterta-WUO_TRK'!A224),_xlfn.TEXTAFTER('6 - TV Stands &amp; Enterta-WUO_ERR'!A224, ":"))))</f>
        <v/>
      </c>
    </row>
    <row r="225">
      <c r="A225" s="38">
        <f>IF('6 - TV Stands &amp; Enterta'!B225 = "", "", IF('6 - TV Stands &amp; Enterta-WUO_ERR'!A225 = "", "Validated", HYPERLINK("#" &amp; ADDRESS(225, '6 - TV Stands &amp; Enterta-WUO_TRK'!A225),_xlfn.TEXTAFTER('6 - TV Stands &amp; Enterta-WUO_ERR'!A225, ":"))))</f>
        <v/>
      </c>
    </row>
    <row r="226">
      <c r="A226" s="38">
        <f>IF('6 - TV Stands &amp; Enterta'!B226 = "", "", IF('6 - TV Stands &amp; Enterta-WUO_ERR'!A226 = "", "Validated", HYPERLINK("#" &amp; ADDRESS(226, '6 - TV Stands &amp; Enterta-WUO_TRK'!A226),_xlfn.TEXTAFTER('6 - TV Stands &amp; Enterta-WUO_ERR'!A226, ":"))))</f>
        <v/>
      </c>
    </row>
    <row r="227">
      <c r="A227" s="38">
        <f>IF('6 - TV Stands &amp; Enterta'!B227 = "", "", IF('6 - TV Stands &amp; Enterta-WUO_ERR'!A227 = "", "Validated", HYPERLINK("#" &amp; ADDRESS(227, '6 - TV Stands &amp; Enterta-WUO_TRK'!A227),_xlfn.TEXTAFTER('6 - TV Stands &amp; Enterta-WUO_ERR'!A227, ":"))))</f>
        <v/>
      </c>
    </row>
    <row r="228">
      <c r="A228" s="38">
        <f>IF('6 - TV Stands &amp; Enterta'!B228 = "", "", IF('6 - TV Stands &amp; Enterta-WUO_ERR'!A228 = "", "Validated", HYPERLINK("#" &amp; ADDRESS(228, '6 - TV Stands &amp; Enterta-WUO_TRK'!A228),_xlfn.TEXTAFTER('6 - TV Stands &amp; Enterta-WUO_ERR'!A228, ":"))))</f>
        <v/>
      </c>
    </row>
    <row r="229">
      <c r="A229" s="38">
        <f>IF('6 - TV Stands &amp; Enterta'!B229 = "", "", IF('6 - TV Stands &amp; Enterta-WUO_ERR'!A229 = "", "Validated", HYPERLINK("#" &amp; ADDRESS(229, '6 - TV Stands &amp; Enterta-WUO_TRK'!A229),_xlfn.TEXTAFTER('6 - TV Stands &amp; Enterta-WUO_ERR'!A229, ":"))))</f>
        <v/>
      </c>
    </row>
    <row r="230">
      <c r="A230" s="38">
        <f>IF('6 - TV Stands &amp; Enterta'!B230 = "", "", IF('6 - TV Stands &amp; Enterta-WUO_ERR'!A230 = "", "Validated", HYPERLINK("#" &amp; ADDRESS(230, '6 - TV Stands &amp; Enterta-WUO_TRK'!A230),_xlfn.TEXTAFTER('6 - TV Stands &amp; Enterta-WUO_ERR'!A230, ":"))))</f>
        <v/>
      </c>
    </row>
    <row r="231">
      <c r="A231" s="38">
        <f>IF('6 - TV Stands &amp; Enterta'!B231 = "", "", IF('6 - TV Stands &amp; Enterta-WUO_ERR'!A231 = "", "Validated", HYPERLINK("#" &amp; ADDRESS(231, '6 - TV Stands &amp; Enterta-WUO_TRK'!A231),_xlfn.TEXTAFTER('6 - TV Stands &amp; Enterta-WUO_ERR'!A231, ":"))))</f>
        <v/>
      </c>
    </row>
    <row r="232">
      <c r="A232" s="38">
        <f>IF('6 - TV Stands &amp; Enterta'!B232 = "", "", IF('6 - TV Stands &amp; Enterta-WUO_ERR'!A232 = "", "Validated", HYPERLINK("#" &amp; ADDRESS(232, '6 - TV Stands &amp; Enterta-WUO_TRK'!A232),_xlfn.TEXTAFTER('6 - TV Stands &amp; Enterta-WUO_ERR'!A232, ":"))))</f>
        <v/>
      </c>
    </row>
    <row r="233">
      <c r="A233" s="38">
        <f>IF('6 - TV Stands &amp; Enterta'!B233 = "", "", IF('6 - TV Stands &amp; Enterta-WUO_ERR'!A233 = "", "Validated", HYPERLINK("#" &amp; ADDRESS(233, '6 - TV Stands &amp; Enterta-WUO_TRK'!A233),_xlfn.TEXTAFTER('6 - TV Stands &amp; Enterta-WUO_ERR'!A233, ":"))))</f>
        <v/>
      </c>
    </row>
    <row r="234">
      <c r="A234" s="38">
        <f>IF('6 - TV Stands &amp; Enterta'!B234 = "", "", IF('6 - TV Stands &amp; Enterta-WUO_ERR'!A234 = "", "Validated", HYPERLINK("#" &amp; ADDRESS(234, '6 - TV Stands &amp; Enterta-WUO_TRK'!A234),_xlfn.TEXTAFTER('6 - TV Stands &amp; Enterta-WUO_ERR'!A234, ":"))))</f>
        <v/>
      </c>
    </row>
    <row r="235">
      <c r="A235" s="38">
        <f>IF('6 - TV Stands &amp; Enterta'!B235 = "", "", IF('6 - TV Stands &amp; Enterta-WUO_ERR'!A235 = "", "Validated", HYPERLINK("#" &amp; ADDRESS(235, '6 - TV Stands &amp; Enterta-WUO_TRK'!A235),_xlfn.TEXTAFTER('6 - TV Stands &amp; Enterta-WUO_ERR'!A235, ":"))))</f>
        <v/>
      </c>
    </row>
    <row r="236">
      <c r="A236" s="38">
        <f>IF('6 - TV Stands &amp; Enterta'!B236 = "", "", IF('6 - TV Stands &amp; Enterta-WUO_ERR'!A236 = "", "Validated", HYPERLINK("#" &amp; ADDRESS(236, '6 - TV Stands &amp; Enterta-WUO_TRK'!A236),_xlfn.TEXTAFTER('6 - TV Stands &amp; Enterta-WUO_ERR'!A236, ":"))))</f>
        <v/>
      </c>
    </row>
    <row r="237">
      <c r="A237" s="38">
        <f>IF('6 - TV Stands &amp; Enterta'!B237 = "", "", IF('6 - TV Stands &amp; Enterta-WUO_ERR'!A237 = "", "Validated", HYPERLINK("#" &amp; ADDRESS(237, '6 - TV Stands &amp; Enterta-WUO_TRK'!A237),_xlfn.TEXTAFTER('6 - TV Stands &amp; Enterta-WUO_ERR'!A237, ":"))))</f>
        <v/>
      </c>
    </row>
    <row r="238">
      <c r="A238" s="38">
        <f>IF('6 - TV Stands &amp; Enterta'!B238 = "", "", IF('6 - TV Stands &amp; Enterta-WUO_ERR'!A238 = "", "Validated", HYPERLINK("#" &amp; ADDRESS(238, '6 - TV Stands &amp; Enterta-WUO_TRK'!A238),_xlfn.TEXTAFTER('6 - TV Stands &amp; Enterta-WUO_ERR'!A238, ":"))))</f>
        <v/>
      </c>
    </row>
    <row r="239">
      <c r="A239" s="38">
        <f>IF('6 - TV Stands &amp; Enterta'!B239 = "", "", IF('6 - TV Stands &amp; Enterta-WUO_ERR'!A239 = "", "Validated", HYPERLINK("#" &amp; ADDRESS(239, '6 - TV Stands &amp; Enterta-WUO_TRK'!A239),_xlfn.TEXTAFTER('6 - TV Stands &amp; Enterta-WUO_ERR'!A239, ":"))))</f>
        <v/>
      </c>
    </row>
    <row r="240">
      <c r="A240" s="38">
        <f>IF('6 - TV Stands &amp; Enterta'!B240 = "", "", IF('6 - TV Stands &amp; Enterta-WUO_ERR'!A240 = "", "Validated", HYPERLINK("#" &amp; ADDRESS(240, '6 - TV Stands &amp; Enterta-WUO_TRK'!A240),_xlfn.TEXTAFTER('6 - TV Stands &amp; Enterta-WUO_ERR'!A240, ":"))))</f>
        <v/>
      </c>
    </row>
    <row r="241">
      <c r="A241" s="38">
        <f>IF('6 - TV Stands &amp; Enterta'!B241 = "", "", IF('6 - TV Stands &amp; Enterta-WUO_ERR'!A241 = "", "Validated", HYPERLINK("#" &amp; ADDRESS(241, '6 - TV Stands &amp; Enterta-WUO_TRK'!A241),_xlfn.TEXTAFTER('6 - TV Stands &amp; Enterta-WUO_ERR'!A241, ":"))))</f>
        <v/>
      </c>
    </row>
    <row r="242">
      <c r="A242" s="38">
        <f>IF('6 - TV Stands &amp; Enterta'!B242 = "", "", IF('6 - TV Stands &amp; Enterta-WUO_ERR'!A242 = "", "Validated", HYPERLINK("#" &amp; ADDRESS(242, '6 - TV Stands &amp; Enterta-WUO_TRK'!A242),_xlfn.TEXTAFTER('6 - TV Stands &amp; Enterta-WUO_ERR'!A242, ":"))))</f>
        <v/>
      </c>
    </row>
    <row r="243">
      <c r="A243" s="38">
        <f>IF('6 - TV Stands &amp; Enterta'!B243 = "", "", IF('6 - TV Stands &amp; Enterta-WUO_ERR'!A243 = "", "Validated", HYPERLINK("#" &amp; ADDRESS(243, '6 - TV Stands &amp; Enterta-WUO_TRK'!A243),_xlfn.TEXTAFTER('6 - TV Stands &amp; Enterta-WUO_ERR'!A243, ":"))))</f>
        <v/>
      </c>
    </row>
    <row r="244">
      <c r="A244" s="38">
        <f>IF('6 - TV Stands &amp; Enterta'!B244 = "", "", IF('6 - TV Stands &amp; Enterta-WUO_ERR'!A244 = "", "Validated", HYPERLINK("#" &amp; ADDRESS(244, '6 - TV Stands &amp; Enterta-WUO_TRK'!A244),_xlfn.TEXTAFTER('6 - TV Stands &amp; Enterta-WUO_ERR'!A244, ":"))))</f>
        <v/>
      </c>
    </row>
    <row r="245">
      <c r="A245" s="38">
        <f>IF('6 - TV Stands &amp; Enterta'!B245 = "", "", IF('6 - TV Stands &amp; Enterta-WUO_ERR'!A245 = "", "Validated", HYPERLINK("#" &amp; ADDRESS(245, '6 - TV Stands &amp; Enterta-WUO_TRK'!A245),_xlfn.TEXTAFTER('6 - TV Stands &amp; Enterta-WUO_ERR'!A245, ":"))))</f>
        <v/>
      </c>
    </row>
    <row r="246">
      <c r="A246" s="38">
        <f>IF('6 - TV Stands &amp; Enterta'!B246 = "", "", IF('6 - TV Stands &amp; Enterta-WUO_ERR'!A246 = "", "Validated", HYPERLINK("#" &amp; ADDRESS(246, '6 - TV Stands &amp; Enterta-WUO_TRK'!A246),_xlfn.TEXTAFTER('6 - TV Stands &amp; Enterta-WUO_ERR'!A246, ":"))))</f>
        <v/>
      </c>
    </row>
    <row r="247">
      <c r="A247" s="38">
        <f>IF('6 - TV Stands &amp; Enterta'!B247 = "", "", IF('6 - TV Stands &amp; Enterta-WUO_ERR'!A247 = "", "Validated", HYPERLINK("#" &amp; ADDRESS(247, '6 - TV Stands &amp; Enterta-WUO_TRK'!A247),_xlfn.TEXTAFTER('6 - TV Stands &amp; Enterta-WUO_ERR'!A247, ":"))))</f>
        <v/>
      </c>
    </row>
    <row r="248">
      <c r="A248" s="38">
        <f>IF('6 - TV Stands &amp; Enterta'!B248 = "", "", IF('6 - TV Stands &amp; Enterta-WUO_ERR'!A248 = "", "Validated", HYPERLINK("#" &amp; ADDRESS(248, '6 - TV Stands &amp; Enterta-WUO_TRK'!A248),_xlfn.TEXTAFTER('6 - TV Stands &amp; Enterta-WUO_ERR'!A248, ":"))))</f>
        <v/>
      </c>
    </row>
    <row r="249">
      <c r="A249" s="38">
        <f>IF('6 - TV Stands &amp; Enterta'!B249 = "", "", IF('6 - TV Stands &amp; Enterta-WUO_ERR'!A249 = "", "Validated", HYPERLINK("#" &amp; ADDRESS(249, '6 - TV Stands &amp; Enterta-WUO_TRK'!A249),_xlfn.TEXTAFTER('6 - TV Stands &amp; Enterta-WUO_ERR'!A249, ":"))))</f>
        <v/>
      </c>
    </row>
    <row r="250">
      <c r="A250" s="38">
        <f>IF('6 - TV Stands &amp; Enterta'!B250 = "", "", IF('6 - TV Stands &amp; Enterta-WUO_ERR'!A250 = "", "Validated", HYPERLINK("#" &amp; ADDRESS(250, '6 - TV Stands &amp; Enterta-WUO_TRK'!A250),_xlfn.TEXTAFTER('6 - TV Stands &amp; Enterta-WUO_ERR'!A250, ":"))))</f>
        <v/>
      </c>
    </row>
    <row r="251">
      <c r="A251" s="38">
        <f>IF('6 - TV Stands &amp; Enterta'!B251 = "", "", IF('6 - TV Stands &amp; Enterta-WUO_ERR'!A251 = "", "Validated", HYPERLINK("#" &amp; ADDRESS(251, '6 - TV Stands &amp; Enterta-WUO_TRK'!A251),_xlfn.TEXTAFTER('6 - TV Stands &amp; Enterta-WUO_ERR'!A251, ":"))))</f>
        <v/>
      </c>
    </row>
    <row r="252">
      <c r="A252" s="38">
        <f>IF('6 - TV Stands &amp; Enterta'!B252 = "", "", IF('6 - TV Stands &amp; Enterta-WUO_ERR'!A252 = "", "Validated", HYPERLINK("#" &amp; ADDRESS(252, '6 - TV Stands &amp; Enterta-WUO_TRK'!A252),_xlfn.TEXTAFTER('6 - TV Stands &amp; Enterta-WUO_ERR'!A252, ":"))))</f>
        <v/>
      </c>
    </row>
    <row r="253">
      <c r="A253" s="38">
        <f>IF('6 - TV Stands &amp; Enterta'!B253 = "", "", IF('6 - TV Stands &amp; Enterta-WUO_ERR'!A253 = "", "Validated", HYPERLINK("#" &amp; ADDRESS(253, '6 - TV Stands &amp; Enterta-WUO_TRK'!A253),_xlfn.TEXTAFTER('6 - TV Stands &amp; Enterta-WUO_ERR'!A253, ":"))))</f>
        <v/>
      </c>
    </row>
    <row r="254">
      <c r="A254" s="38">
        <f>IF('6 - TV Stands &amp; Enterta'!B254 = "", "", IF('6 - TV Stands &amp; Enterta-WUO_ERR'!A254 = "", "Validated", HYPERLINK("#" &amp; ADDRESS(254, '6 - TV Stands &amp; Enterta-WUO_TRK'!A254),_xlfn.TEXTAFTER('6 - TV Stands &amp; Enterta-WUO_ERR'!A254, ":"))))</f>
        <v/>
      </c>
    </row>
    <row r="255">
      <c r="A255" s="38">
        <f>IF('6 - TV Stands &amp; Enterta'!B255 = "", "", IF('6 - TV Stands &amp; Enterta-WUO_ERR'!A255 = "", "Validated", HYPERLINK("#" &amp; ADDRESS(255, '6 - TV Stands &amp; Enterta-WUO_TRK'!A255),_xlfn.TEXTAFTER('6 - TV Stands &amp; Enterta-WUO_ERR'!A255, ":"))))</f>
        <v/>
      </c>
    </row>
    <row r="256">
      <c r="A256" s="38">
        <f>IF('6 - TV Stands &amp; Enterta'!B256 = "", "", IF('6 - TV Stands &amp; Enterta-WUO_ERR'!A256 = "", "Validated", HYPERLINK("#" &amp; ADDRESS(256, '6 - TV Stands &amp; Enterta-WUO_TRK'!A256),_xlfn.TEXTAFTER('6 - TV Stands &amp; Enterta-WUO_ERR'!A256, ":"))))</f>
        <v/>
      </c>
    </row>
    <row r="257">
      <c r="A257" s="38">
        <f>IF('6 - TV Stands &amp; Enterta'!B257 = "", "", IF('6 - TV Stands &amp; Enterta-WUO_ERR'!A257 = "", "Validated", HYPERLINK("#" &amp; ADDRESS(257, '6 - TV Stands &amp; Enterta-WUO_TRK'!A257),_xlfn.TEXTAFTER('6 - TV Stands &amp; Enterta-WUO_ERR'!A257, ":"))))</f>
        <v/>
      </c>
    </row>
    <row r="258">
      <c r="A258" s="38">
        <f>IF('6 - TV Stands &amp; Enterta'!B258 = "", "", IF('6 - TV Stands &amp; Enterta-WUO_ERR'!A258 = "", "Validated", HYPERLINK("#" &amp; ADDRESS(258, '6 - TV Stands &amp; Enterta-WUO_TRK'!A258),_xlfn.TEXTAFTER('6 - TV Stands &amp; Enterta-WUO_ERR'!A258, ":"))))</f>
        <v/>
      </c>
    </row>
    <row r="259">
      <c r="A259" s="38">
        <f>IF('6 - TV Stands &amp; Enterta'!B259 = "", "", IF('6 - TV Stands &amp; Enterta-WUO_ERR'!A259 = "", "Validated", HYPERLINK("#" &amp; ADDRESS(259, '6 - TV Stands &amp; Enterta-WUO_TRK'!A259),_xlfn.TEXTAFTER('6 - TV Stands &amp; Enterta-WUO_ERR'!A259, ":"))))</f>
        <v/>
      </c>
    </row>
    <row r="260">
      <c r="A260" s="38">
        <f>IF('6 - TV Stands &amp; Enterta'!B260 = "", "", IF('6 - TV Stands &amp; Enterta-WUO_ERR'!A260 = "", "Validated", HYPERLINK("#" &amp; ADDRESS(260, '6 - TV Stands &amp; Enterta-WUO_TRK'!A260),_xlfn.TEXTAFTER('6 - TV Stands &amp; Enterta-WUO_ERR'!A260, ":"))))</f>
        <v/>
      </c>
    </row>
    <row r="261">
      <c r="A261" s="38">
        <f>IF('6 - TV Stands &amp; Enterta'!B261 = "", "", IF('6 - TV Stands &amp; Enterta-WUO_ERR'!A261 = "", "Validated", HYPERLINK("#" &amp; ADDRESS(261, '6 - TV Stands &amp; Enterta-WUO_TRK'!A261),_xlfn.TEXTAFTER('6 - TV Stands &amp; Enterta-WUO_ERR'!A261, ":"))))</f>
        <v/>
      </c>
    </row>
    <row r="262">
      <c r="A262" s="38">
        <f>IF('6 - TV Stands &amp; Enterta'!B262 = "", "", IF('6 - TV Stands &amp; Enterta-WUO_ERR'!A262 = "", "Validated", HYPERLINK("#" &amp; ADDRESS(262, '6 - TV Stands &amp; Enterta-WUO_TRK'!A262),_xlfn.TEXTAFTER('6 - TV Stands &amp; Enterta-WUO_ERR'!A262, ":"))))</f>
        <v/>
      </c>
    </row>
    <row r="263">
      <c r="A263" s="38">
        <f>IF('6 - TV Stands &amp; Enterta'!B263 = "", "", IF('6 - TV Stands &amp; Enterta-WUO_ERR'!A263 = "", "Validated", HYPERLINK("#" &amp; ADDRESS(263, '6 - TV Stands &amp; Enterta-WUO_TRK'!A263),_xlfn.TEXTAFTER('6 - TV Stands &amp; Enterta-WUO_ERR'!A263, ":"))))</f>
        <v/>
      </c>
    </row>
    <row r="264">
      <c r="A264" s="38">
        <f>IF('6 - TV Stands &amp; Enterta'!B264 = "", "", IF('6 - TV Stands &amp; Enterta-WUO_ERR'!A264 = "", "Validated", HYPERLINK("#" &amp; ADDRESS(264, '6 - TV Stands &amp; Enterta-WUO_TRK'!A264),_xlfn.TEXTAFTER('6 - TV Stands &amp; Enterta-WUO_ERR'!A264, ":"))))</f>
        <v/>
      </c>
    </row>
    <row r="265">
      <c r="A265" s="38">
        <f>IF('6 - TV Stands &amp; Enterta'!B265 = "", "", IF('6 - TV Stands &amp; Enterta-WUO_ERR'!A265 = "", "Validated", HYPERLINK("#" &amp; ADDRESS(265, '6 - TV Stands &amp; Enterta-WUO_TRK'!A265),_xlfn.TEXTAFTER('6 - TV Stands &amp; Enterta-WUO_ERR'!A265, ":"))))</f>
        <v/>
      </c>
    </row>
    <row r="266">
      <c r="A266" s="38">
        <f>IF('6 - TV Stands &amp; Enterta'!B266 = "", "", IF('6 - TV Stands &amp; Enterta-WUO_ERR'!A266 = "", "Validated", HYPERLINK("#" &amp; ADDRESS(266, '6 - TV Stands &amp; Enterta-WUO_TRK'!A266),_xlfn.TEXTAFTER('6 - TV Stands &amp; Enterta-WUO_ERR'!A266, ":"))))</f>
        <v/>
      </c>
    </row>
    <row r="267">
      <c r="A267" s="38">
        <f>IF('6 - TV Stands &amp; Enterta'!B267 = "", "", IF('6 - TV Stands &amp; Enterta-WUO_ERR'!A267 = "", "Validated", HYPERLINK("#" &amp; ADDRESS(267, '6 - TV Stands &amp; Enterta-WUO_TRK'!A267),_xlfn.TEXTAFTER('6 - TV Stands &amp; Enterta-WUO_ERR'!A267, ":"))))</f>
        <v/>
      </c>
    </row>
    <row r="268">
      <c r="A268" s="38">
        <f>IF('6 - TV Stands &amp; Enterta'!B268 = "", "", IF('6 - TV Stands &amp; Enterta-WUO_ERR'!A268 = "", "Validated", HYPERLINK("#" &amp; ADDRESS(268, '6 - TV Stands &amp; Enterta-WUO_TRK'!A268),_xlfn.TEXTAFTER('6 - TV Stands &amp; Enterta-WUO_ERR'!A268, ":"))))</f>
        <v/>
      </c>
    </row>
    <row r="269">
      <c r="A269" s="38">
        <f>IF('6 - TV Stands &amp; Enterta'!B269 = "", "", IF('6 - TV Stands &amp; Enterta-WUO_ERR'!A269 = "", "Validated", HYPERLINK("#" &amp; ADDRESS(269, '6 - TV Stands &amp; Enterta-WUO_TRK'!A269),_xlfn.TEXTAFTER('6 - TV Stands &amp; Enterta-WUO_ERR'!A269, ":"))))</f>
        <v/>
      </c>
    </row>
    <row r="270">
      <c r="A270" s="38">
        <f>IF('6 - TV Stands &amp; Enterta'!B270 = "", "", IF('6 - TV Stands &amp; Enterta-WUO_ERR'!A270 = "", "Validated", HYPERLINK("#" &amp; ADDRESS(270, '6 - TV Stands &amp; Enterta-WUO_TRK'!A270),_xlfn.TEXTAFTER('6 - TV Stands &amp; Enterta-WUO_ERR'!A270, ":"))))</f>
        <v/>
      </c>
    </row>
    <row r="271">
      <c r="A271" s="38">
        <f>IF('6 - TV Stands &amp; Enterta'!B271 = "", "", IF('6 - TV Stands &amp; Enterta-WUO_ERR'!A271 = "", "Validated", HYPERLINK("#" &amp; ADDRESS(271, '6 - TV Stands &amp; Enterta-WUO_TRK'!A271),_xlfn.TEXTAFTER('6 - TV Stands &amp; Enterta-WUO_ERR'!A271, ":"))))</f>
        <v/>
      </c>
    </row>
    <row r="272">
      <c r="A272" s="38">
        <f>IF('6 - TV Stands &amp; Enterta'!B272 = "", "", IF('6 - TV Stands &amp; Enterta-WUO_ERR'!A272 = "", "Validated", HYPERLINK("#" &amp; ADDRESS(272, '6 - TV Stands &amp; Enterta-WUO_TRK'!A272),_xlfn.TEXTAFTER('6 - TV Stands &amp; Enterta-WUO_ERR'!A272, ":"))))</f>
        <v/>
      </c>
    </row>
    <row r="273">
      <c r="A273" s="38">
        <f>IF('6 - TV Stands &amp; Enterta'!B273 = "", "", IF('6 - TV Stands &amp; Enterta-WUO_ERR'!A273 = "", "Validated", HYPERLINK("#" &amp; ADDRESS(273, '6 - TV Stands &amp; Enterta-WUO_TRK'!A273),_xlfn.TEXTAFTER('6 - TV Stands &amp; Enterta-WUO_ERR'!A273, ":"))))</f>
        <v/>
      </c>
    </row>
    <row r="274">
      <c r="A274" s="38">
        <f>IF('6 - TV Stands &amp; Enterta'!B274 = "", "", IF('6 - TV Stands &amp; Enterta-WUO_ERR'!A274 = "", "Validated", HYPERLINK("#" &amp; ADDRESS(274, '6 - TV Stands &amp; Enterta-WUO_TRK'!A274),_xlfn.TEXTAFTER('6 - TV Stands &amp; Enterta-WUO_ERR'!A274, ":"))))</f>
        <v/>
      </c>
    </row>
    <row r="275">
      <c r="A275" s="38">
        <f>IF('6 - TV Stands &amp; Enterta'!B275 = "", "", IF('6 - TV Stands &amp; Enterta-WUO_ERR'!A275 = "", "Validated", HYPERLINK("#" &amp; ADDRESS(275, '6 - TV Stands &amp; Enterta-WUO_TRK'!A275),_xlfn.TEXTAFTER('6 - TV Stands &amp; Enterta-WUO_ERR'!A275, ":"))))</f>
        <v/>
      </c>
    </row>
    <row r="276">
      <c r="A276" s="38">
        <f>IF('6 - TV Stands &amp; Enterta'!B276 = "", "", IF('6 - TV Stands &amp; Enterta-WUO_ERR'!A276 = "", "Validated", HYPERLINK("#" &amp; ADDRESS(276, '6 - TV Stands &amp; Enterta-WUO_TRK'!A276),_xlfn.TEXTAFTER('6 - TV Stands &amp; Enterta-WUO_ERR'!A276, ":"))))</f>
        <v/>
      </c>
    </row>
    <row r="277">
      <c r="A277" s="38">
        <f>IF('6 - TV Stands &amp; Enterta'!B277 = "", "", IF('6 - TV Stands &amp; Enterta-WUO_ERR'!A277 = "", "Validated", HYPERLINK("#" &amp; ADDRESS(277, '6 - TV Stands &amp; Enterta-WUO_TRK'!A277),_xlfn.TEXTAFTER('6 - TV Stands &amp; Enterta-WUO_ERR'!A277, ":"))))</f>
        <v/>
      </c>
    </row>
    <row r="278">
      <c r="A278" s="38">
        <f>IF('6 - TV Stands &amp; Enterta'!B278 = "", "", IF('6 - TV Stands &amp; Enterta-WUO_ERR'!A278 = "", "Validated", HYPERLINK("#" &amp; ADDRESS(278, '6 - TV Stands &amp; Enterta-WUO_TRK'!A278),_xlfn.TEXTAFTER('6 - TV Stands &amp; Enterta-WUO_ERR'!A278, ":"))))</f>
        <v/>
      </c>
    </row>
    <row r="279">
      <c r="A279" s="38">
        <f>IF('6 - TV Stands &amp; Enterta'!B279 = "", "", IF('6 - TV Stands &amp; Enterta-WUO_ERR'!A279 = "", "Validated", HYPERLINK("#" &amp; ADDRESS(279, '6 - TV Stands &amp; Enterta-WUO_TRK'!A279),_xlfn.TEXTAFTER('6 - TV Stands &amp; Enterta-WUO_ERR'!A279, ":"))))</f>
        <v/>
      </c>
    </row>
    <row r="280">
      <c r="A280" s="38">
        <f>IF('6 - TV Stands &amp; Enterta'!B280 = "", "", IF('6 - TV Stands &amp; Enterta-WUO_ERR'!A280 = "", "Validated", HYPERLINK("#" &amp; ADDRESS(280, '6 - TV Stands &amp; Enterta-WUO_TRK'!A280),_xlfn.TEXTAFTER('6 - TV Stands &amp; Enterta-WUO_ERR'!A280, ":"))))</f>
        <v/>
      </c>
    </row>
    <row r="281">
      <c r="A281" s="38">
        <f>IF('6 - TV Stands &amp; Enterta'!B281 = "", "", IF('6 - TV Stands &amp; Enterta-WUO_ERR'!A281 = "", "Validated", HYPERLINK("#" &amp; ADDRESS(281, '6 - TV Stands &amp; Enterta-WUO_TRK'!A281),_xlfn.TEXTAFTER('6 - TV Stands &amp; Enterta-WUO_ERR'!A281, ":"))))</f>
        <v/>
      </c>
    </row>
    <row r="282">
      <c r="A282" s="38">
        <f>IF('6 - TV Stands &amp; Enterta'!B282 = "", "", IF('6 - TV Stands &amp; Enterta-WUO_ERR'!A282 = "", "Validated", HYPERLINK("#" &amp; ADDRESS(282, '6 - TV Stands &amp; Enterta-WUO_TRK'!A282),_xlfn.TEXTAFTER('6 - TV Stands &amp; Enterta-WUO_ERR'!A282, ":"))))</f>
        <v/>
      </c>
    </row>
    <row r="283">
      <c r="A283" s="38">
        <f>IF('6 - TV Stands &amp; Enterta'!B283 = "", "", IF('6 - TV Stands &amp; Enterta-WUO_ERR'!A283 = "", "Validated", HYPERLINK("#" &amp; ADDRESS(283, '6 - TV Stands &amp; Enterta-WUO_TRK'!A283),_xlfn.TEXTAFTER('6 - TV Stands &amp; Enterta-WUO_ERR'!A283, ":"))))</f>
        <v/>
      </c>
    </row>
    <row r="284">
      <c r="A284" s="38">
        <f>IF('6 - TV Stands &amp; Enterta'!B284 = "", "", IF('6 - TV Stands &amp; Enterta-WUO_ERR'!A284 = "", "Validated", HYPERLINK("#" &amp; ADDRESS(284, '6 - TV Stands &amp; Enterta-WUO_TRK'!A284),_xlfn.TEXTAFTER('6 - TV Stands &amp; Enterta-WUO_ERR'!A284, ":"))))</f>
        <v/>
      </c>
    </row>
    <row r="285">
      <c r="A285" s="38">
        <f>IF('6 - TV Stands &amp; Enterta'!B285 = "", "", IF('6 - TV Stands &amp; Enterta-WUO_ERR'!A285 = "", "Validated", HYPERLINK("#" &amp; ADDRESS(285, '6 - TV Stands &amp; Enterta-WUO_TRK'!A285),_xlfn.TEXTAFTER('6 - TV Stands &amp; Enterta-WUO_ERR'!A285, ":"))))</f>
        <v/>
      </c>
    </row>
    <row r="286">
      <c r="A286" s="38">
        <f>IF('6 - TV Stands &amp; Enterta'!B286 = "", "", IF('6 - TV Stands &amp; Enterta-WUO_ERR'!A286 = "", "Validated", HYPERLINK("#" &amp; ADDRESS(286, '6 - TV Stands &amp; Enterta-WUO_TRK'!A286),_xlfn.TEXTAFTER('6 - TV Stands &amp; Enterta-WUO_ERR'!A286, ":"))))</f>
        <v/>
      </c>
    </row>
    <row r="287">
      <c r="A287" s="38">
        <f>IF('6 - TV Stands &amp; Enterta'!B287 = "", "", IF('6 - TV Stands &amp; Enterta-WUO_ERR'!A287 = "", "Validated", HYPERLINK("#" &amp; ADDRESS(287, '6 - TV Stands &amp; Enterta-WUO_TRK'!A287),_xlfn.TEXTAFTER('6 - TV Stands &amp; Enterta-WUO_ERR'!A287, ":"))))</f>
        <v/>
      </c>
    </row>
    <row r="288">
      <c r="A288" s="38">
        <f>IF('6 - TV Stands &amp; Enterta'!B288 = "", "", IF('6 - TV Stands &amp; Enterta-WUO_ERR'!A288 = "", "Validated", HYPERLINK("#" &amp; ADDRESS(288, '6 - TV Stands &amp; Enterta-WUO_TRK'!A288),_xlfn.TEXTAFTER('6 - TV Stands &amp; Enterta-WUO_ERR'!A288, ":"))))</f>
        <v/>
      </c>
    </row>
    <row r="289">
      <c r="A289" s="38">
        <f>IF('6 - TV Stands &amp; Enterta'!B289 = "", "", IF('6 - TV Stands &amp; Enterta-WUO_ERR'!A289 = "", "Validated", HYPERLINK("#" &amp; ADDRESS(289, '6 - TV Stands &amp; Enterta-WUO_TRK'!A289),_xlfn.TEXTAFTER('6 - TV Stands &amp; Enterta-WUO_ERR'!A289, ":"))))</f>
        <v/>
      </c>
    </row>
    <row r="290">
      <c r="A290" s="38">
        <f>IF('6 - TV Stands &amp; Enterta'!B290 = "", "", IF('6 - TV Stands &amp; Enterta-WUO_ERR'!A290 = "", "Validated", HYPERLINK("#" &amp; ADDRESS(290, '6 - TV Stands &amp; Enterta-WUO_TRK'!A290),_xlfn.TEXTAFTER('6 - TV Stands &amp; Enterta-WUO_ERR'!A290, ":"))))</f>
        <v/>
      </c>
    </row>
    <row r="291">
      <c r="A291" s="38">
        <f>IF('6 - TV Stands &amp; Enterta'!B291 = "", "", IF('6 - TV Stands &amp; Enterta-WUO_ERR'!A291 = "", "Validated", HYPERLINK("#" &amp; ADDRESS(291, '6 - TV Stands &amp; Enterta-WUO_TRK'!A291),_xlfn.TEXTAFTER('6 - TV Stands &amp; Enterta-WUO_ERR'!A291, ":"))))</f>
        <v/>
      </c>
    </row>
    <row r="292">
      <c r="A292" s="38">
        <f>IF('6 - TV Stands &amp; Enterta'!B292 = "", "", IF('6 - TV Stands &amp; Enterta-WUO_ERR'!A292 = "", "Validated", HYPERLINK("#" &amp; ADDRESS(292, '6 - TV Stands &amp; Enterta-WUO_TRK'!A292),_xlfn.TEXTAFTER('6 - TV Stands &amp; Enterta-WUO_ERR'!A292, ":"))))</f>
        <v/>
      </c>
    </row>
    <row r="293">
      <c r="A293" s="38">
        <f>IF('6 - TV Stands &amp; Enterta'!B293 = "", "", IF('6 - TV Stands &amp; Enterta-WUO_ERR'!A293 = "", "Validated", HYPERLINK("#" &amp; ADDRESS(293, '6 - TV Stands &amp; Enterta-WUO_TRK'!A293),_xlfn.TEXTAFTER('6 - TV Stands &amp; Enterta-WUO_ERR'!A293, ":"))))</f>
        <v/>
      </c>
    </row>
    <row r="294">
      <c r="A294" s="38">
        <f>IF('6 - TV Stands &amp; Enterta'!B294 = "", "", IF('6 - TV Stands &amp; Enterta-WUO_ERR'!A294 = "", "Validated", HYPERLINK("#" &amp; ADDRESS(294, '6 - TV Stands &amp; Enterta-WUO_TRK'!A294),_xlfn.TEXTAFTER('6 - TV Stands &amp; Enterta-WUO_ERR'!A294, ":"))))</f>
        <v/>
      </c>
    </row>
    <row r="295">
      <c r="A295" s="38">
        <f>IF('6 - TV Stands &amp; Enterta'!B295 = "", "", IF('6 - TV Stands &amp; Enterta-WUO_ERR'!A295 = "", "Validated", HYPERLINK("#" &amp; ADDRESS(295, '6 - TV Stands &amp; Enterta-WUO_TRK'!A295),_xlfn.TEXTAFTER('6 - TV Stands &amp; Enterta-WUO_ERR'!A295, ":"))))</f>
        <v/>
      </c>
    </row>
    <row r="296">
      <c r="A296" s="38">
        <f>IF('6 - TV Stands &amp; Enterta'!B296 = "", "", IF('6 - TV Stands &amp; Enterta-WUO_ERR'!A296 = "", "Validated", HYPERLINK("#" &amp; ADDRESS(296, '6 - TV Stands &amp; Enterta-WUO_TRK'!A296),_xlfn.TEXTAFTER('6 - TV Stands &amp; Enterta-WUO_ERR'!A296, ":"))))</f>
        <v/>
      </c>
    </row>
    <row r="297">
      <c r="A297" s="38">
        <f>IF('6 - TV Stands &amp; Enterta'!B297 = "", "", IF('6 - TV Stands &amp; Enterta-WUO_ERR'!A297 = "", "Validated", HYPERLINK("#" &amp; ADDRESS(297, '6 - TV Stands &amp; Enterta-WUO_TRK'!A297),_xlfn.TEXTAFTER('6 - TV Stands &amp; Enterta-WUO_ERR'!A297, ":"))))</f>
        <v/>
      </c>
    </row>
    <row r="298">
      <c r="A298" s="38">
        <f>IF('6 - TV Stands &amp; Enterta'!B298 = "", "", IF('6 - TV Stands &amp; Enterta-WUO_ERR'!A298 = "", "Validated", HYPERLINK("#" &amp; ADDRESS(298, '6 - TV Stands &amp; Enterta-WUO_TRK'!A298),_xlfn.TEXTAFTER('6 - TV Stands &amp; Enterta-WUO_ERR'!A298, ":"))))</f>
        <v/>
      </c>
    </row>
    <row r="299">
      <c r="A299" s="38">
        <f>IF('6 - TV Stands &amp; Enterta'!B299 = "", "", IF('6 - TV Stands &amp; Enterta-WUO_ERR'!A299 = "", "Validated", HYPERLINK("#" &amp; ADDRESS(299, '6 - TV Stands &amp; Enterta-WUO_TRK'!A299),_xlfn.TEXTAFTER('6 - TV Stands &amp; Enterta-WUO_ERR'!A299, ":"))))</f>
        <v/>
      </c>
    </row>
    <row r="300">
      <c r="A300" s="38">
        <f>IF('6 - TV Stands &amp; Enterta'!B300 = "", "", IF('6 - TV Stands &amp; Enterta-WUO_ERR'!A300 = "", "Validated", HYPERLINK("#" &amp; ADDRESS(300, '6 - TV Stands &amp; Enterta-WUO_TRK'!A300),_xlfn.TEXTAFTER('6 - TV Stands &amp; Enterta-WUO_ERR'!A300, ":"))))</f>
        <v/>
      </c>
    </row>
    <row r="301">
      <c r="A301" s="38">
        <f>IF('6 - TV Stands &amp; Enterta'!B301 = "", "", IF('6 - TV Stands &amp; Enterta-WUO_ERR'!A301 = "", "Validated", HYPERLINK("#" &amp; ADDRESS(301, '6 - TV Stands &amp; Enterta-WUO_TRK'!A301),_xlfn.TEXTAFTER('6 - TV Stands &amp; Enterta-WUO_ERR'!A301, ":"))))</f>
        <v/>
      </c>
    </row>
    <row r="302">
      <c r="A302" s="38">
        <f>IF('6 - TV Stands &amp; Enterta'!B302 = "", "", IF('6 - TV Stands &amp; Enterta-WUO_ERR'!A302 = "", "Validated", HYPERLINK("#" &amp; ADDRESS(302, '6 - TV Stands &amp; Enterta-WUO_TRK'!A302),_xlfn.TEXTAFTER('6 - TV Stands &amp; Enterta-WUO_ERR'!A302, ":"))))</f>
        <v/>
      </c>
    </row>
    <row r="303">
      <c r="A303" s="38">
        <f>IF('6 - TV Stands &amp; Enterta'!B303 = "", "", IF('6 - TV Stands &amp; Enterta-WUO_ERR'!A303 = "", "Validated", HYPERLINK("#" &amp; ADDRESS(303, '6 - TV Stands &amp; Enterta-WUO_TRK'!A303),_xlfn.TEXTAFTER('6 - TV Stands &amp; Enterta-WUO_ERR'!A303, ":"))))</f>
        <v/>
      </c>
    </row>
    <row r="304">
      <c r="A304" s="38">
        <f>IF('6 - TV Stands &amp; Enterta'!B304 = "", "", IF('6 - TV Stands &amp; Enterta-WUO_ERR'!A304 = "", "Validated", HYPERLINK("#" &amp; ADDRESS(304, '6 - TV Stands &amp; Enterta-WUO_TRK'!A304),_xlfn.TEXTAFTER('6 - TV Stands &amp; Enterta-WUO_ERR'!A304, ":"))))</f>
        <v/>
      </c>
    </row>
    <row r="305">
      <c r="A305" s="38">
        <f>IF('6 - TV Stands &amp; Enterta'!B305 = "", "", IF('6 - TV Stands &amp; Enterta-WUO_ERR'!A305 = "", "Validated", HYPERLINK("#" &amp; ADDRESS(305, '6 - TV Stands &amp; Enterta-WUO_TRK'!A305),_xlfn.TEXTAFTER('6 - TV Stands &amp; Enterta-WUO_ERR'!A305, ":"))))</f>
        <v/>
      </c>
    </row>
    <row r="306">
      <c r="A306" s="38">
        <f>IF('6 - TV Stands &amp; Enterta'!B306 = "", "", IF('6 - TV Stands &amp; Enterta-WUO_ERR'!A306 = "", "Validated", HYPERLINK("#" &amp; ADDRESS(306, '6 - TV Stands &amp; Enterta-WUO_TRK'!A306),_xlfn.TEXTAFTER('6 - TV Stands &amp; Enterta-WUO_ERR'!A306, ":"))))</f>
        <v/>
      </c>
    </row>
    <row r="307">
      <c r="A307" s="38">
        <f>IF('6 - TV Stands &amp; Enterta'!B307 = "", "", IF('6 - TV Stands &amp; Enterta-WUO_ERR'!A307 = "", "Validated", HYPERLINK("#" &amp; ADDRESS(307, '6 - TV Stands &amp; Enterta-WUO_TRK'!A307),_xlfn.TEXTAFTER('6 - TV Stands &amp; Enterta-WUO_ERR'!A307, ":"))))</f>
        <v/>
      </c>
    </row>
    <row r="308">
      <c r="A308" s="38">
        <f>IF('6 - TV Stands &amp; Enterta'!B308 = "", "", IF('6 - TV Stands &amp; Enterta-WUO_ERR'!A308 = "", "Validated", HYPERLINK("#" &amp; ADDRESS(308, '6 - TV Stands &amp; Enterta-WUO_TRK'!A308),_xlfn.TEXTAFTER('6 - TV Stands &amp; Enterta-WUO_ERR'!A308, ":"))))</f>
        <v/>
      </c>
    </row>
    <row r="309">
      <c r="A309" s="38">
        <f>IF('6 - TV Stands &amp; Enterta'!B309 = "", "", IF('6 - TV Stands &amp; Enterta-WUO_ERR'!A309 = "", "Validated", HYPERLINK("#" &amp; ADDRESS(309, '6 - TV Stands &amp; Enterta-WUO_TRK'!A309),_xlfn.TEXTAFTER('6 - TV Stands &amp; Enterta-WUO_ERR'!A309, ":"))))</f>
        <v/>
      </c>
    </row>
    <row r="310">
      <c r="A310" s="38">
        <f>IF('6 - TV Stands &amp; Enterta'!B310 = "", "", IF('6 - TV Stands &amp; Enterta-WUO_ERR'!A310 = "", "Validated", HYPERLINK("#" &amp; ADDRESS(310, '6 - TV Stands &amp; Enterta-WUO_TRK'!A310),_xlfn.TEXTAFTER('6 - TV Stands &amp; Enterta-WUO_ERR'!A310, ":"))))</f>
        <v/>
      </c>
    </row>
    <row r="311">
      <c r="A311" s="38">
        <f>IF('6 - TV Stands &amp; Enterta'!B311 = "", "", IF('6 - TV Stands &amp; Enterta-WUO_ERR'!A311 = "", "Validated", HYPERLINK("#" &amp; ADDRESS(311, '6 - TV Stands &amp; Enterta-WUO_TRK'!A311),_xlfn.TEXTAFTER('6 - TV Stands &amp; Enterta-WUO_ERR'!A311, ":"))))</f>
        <v/>
      </c>
    </row>
    <row r="312">
      <c r="A312" s="38">
        <f>IF('6 - TV Stands &amp; Enterta'!B312 = "", "", IF('6 - TV Stands &amp; Enterta-WUO_ERR'!A312 = "", "Validated", HYPERLINK("#" &amp; ADDRESS(312, '6 - TV Stands &amp; Enterta-WUO_TRK'!A312),_xlfn.TEXTAFTER('6 - TV Stands &amp; Enterta-WUO_ERR'!A312, ":"))))</f>
        <v/>
      </c>
    </row>
    <row r="313">
      <c r="A313" s="38">
        <f>IF('6 - TV Stands &amp; Enterta'!B313 = "", "", IF('6 - TV Stands &amp; Enterta-WUO_ERR'!A313 = "", "Validated", HYPERLINK("#" &amp; ADDRESS(313, '6 - TV Stands &amp; Enterta-WUO_TRK'!A313),_xlfn.TEXTAFTER('6 - TV Stands &amp; Enterta-WUO_ERR'!A313, ":"))))</f>
        <v/>
      </c>
    </row>
    <row r="314">
      <c r="A314" s="38">
        <f>IF('6 - TV Stands &amp; Enterta'!B314 = "", "", IF('6 - TV Stands &amp; Enterta-WUO_ERR'!A314 = "", "Validated", HYPERLINK("#" &amp; ADDRESS(314, '6 - TV Stands &amp; Enterta-WUO_TRK'!A314),_xlfn.TEXTAFTER('6 - TV Stands &amp; Enterta-WUO_ERR'!A314, ":"))))</f>
        <v/>
      </c>
    </row>
    <row r="315">
      <c r="A315" s="38">
        <f>IF('6 - TV Stands &amp; Enterta'!B315 = "", "", IF('6 - TV Stands &amp; Enterta-WUO_ERR'!A315 = "", "Validated", HYPERLINK("#" &amp; ADDRESS(315, '6 - TV Stands &amp; Enterta-WUO_TRK'!A315),_xlfn.TEXTAFTER('6 - TV Stands &amp; Enterta-WUO_ERR'!A315, ":"))))</f>
        <v/>
      </c>
    </row>
    <row r="316">
      <c r="A316" s="38">
        <f>IF('6 - TV Stands &amp; Enterta'!B316 = "", "", IF('6 - TV Stands &amp; Enterta-WUO_ERR'!A316 = "", "Validated", HYPERLINK("#" &amp; ADDRESS(316, '6 - TV Stands &amp; Enterta-WUO_TRK'!A316),_xlfn.TEXTAFTER('6 - TV Stands &amp; Enterta-WUO_ERR'!A316, ":"))))</f>
        <v/>
      </c>
    </row>
    <row r="317">
      <c r="A317" s="38">
        <f>IF('6 - TV Stands &amp; Enterta'!B317 = "", "", IF('6 - TV Stands &amp; Enterta-WUO_ERR'!A317 = "", "Validated", HYPERLINK("#" &amp; ADDRESS(317, '6 - TV Stands &amp; Enterta-WUO_TRK'!A317),_xlfn.TEXTAFTER('6 - TV Stands &amp; Enterta-WUO_ERR'!A317, ":"))))</f>
        <v/>
      </c>
    </row>
    <row r="318">
      <c r="A318" s="38">
        <f>IF('6 - TV Stands &amp; Enterta'!B318 = "", "", IF('6 - TV Stands &amp; Enterta-WUO_ERR'!A318 = "", "Validated", HYPERLINK("#" &amp; ADDRESS(318, '6 - TV Stands &amp; Enterta-WUO_TRK'!A318),_xlfn.TEXTAFTER('6 - TV Stands &amp; Enterta-WUO_ERR'!A318, ":"))))</f>
        <v/>
      </c>
    </row>
    <row r="319">
      <c r="A319" s="38">
        <f>IF('6 - TV Stands &amp; Enterta'!B319 = "", "", IF('6 - TV Stands &amp; Enterta-WUO_ERR'!A319 = "", "Validated", HYPERLINK("#" &amp; ADDRESS(319, '6 - TV Stands &amp; Enterta-WUO_TRK'!A319),_xlfn.TEXTAFTER('6 - TV Stands &amp; Enterta-WUO_ERR'!A319, ":"))))</f>
        <v/>
      </c>
    </row>
    <row r="320">
      <c r="A320" s="38">
        <f>IF('6 - TV Stands &amp; Enterta'!B320 = "", "", IF('6 - TV Stands &amp; Enterta-WUO_ERR'!A320 = "", "Validated", HYPERLINK("#" &amp; ADDRESS(320, '6 - TV Stands &amp; Enterta-WUO_TRK'!A320),_xlfn.TEXTAFTER('6 - TV Stands &amp; Enterta-WUO_ERR'!A320, ":"))))</f>
        <v/>
      </c>
    </row>
    <row r="321">
      <c r="A321" s="38">
        <f>IF('6 - TV Stands &amp; Enterta'!B321 = "", "", IF('6 - TV Stands &amp; Enterta-WUO_ERR'!A321 = "", "Validated", HYPERLINK("#" &amp; ADDRESS(321, '6 - TV Stands &amp; Enterta-WUO_TRK'!A321),_xlfn.TEXTAFTER('6 - TV Stands &amp; Enterta-WUO_ERR'!A321, ":"))))</f>
        <v/>
      </c>
    </row>
    <row r="322">
      <c r="A322" s="38">
        <f>IF('6 - TV Stands &amp; Enterta'!B322 = "", "", IF('6 - TV Stands &amp; Enterta-WUO_ERR'!A322 = "", "Validated", HYPERLINK("#" &amp; ADDRESS(322, '6 - TV Stands &amp; Enterta-WUO_TRK'!A322),_xlfn.TEXTAFTER('6 - TV Stands &amp; Enterta-WUO_ERR'!A322, ":"))))</f>
        <v/>
      </c>
    </row>
    <row r="323">
      <c r="A323" s="38">
        <f>IF('6 - TV Stands &amp; Enterta'!B323 = "", "", IF('6 - TV Stands &amp; Enterta-WUO_ERR'!A323 = "", "Validated", HYPERLINK("#" &amp; ADDRESS(323, '6 - TV Stands &amp; Enterta-WUO_TRK'!A323),_xlfn.TEXTAFTER('6 - TV Stands &amp; Enterta-WUO_ERR'!A323, ":"))))</f>
        <v/>
      </c>
    </row>
    <row r="324">
      <c r="A324" s="38">
        <f>IF('6 - TV Stands &amp; Enterta'!B324 = "", "", IF('6 - TV Stands &amp; Enterta-WUO_ERR'!A324 = "", "Validated", HYPERLINK("#" &amp; ADDRESS(324, '6 - TV Stands &amp; Enterta-WUO_TRK'!A324),_xlfn.TEXTAFTER('6 - TV Stands &amp; Enterta-WUO_ERR'!A324, ":"))))</f>
        <v/>
      </c>
    </row>
    <row r="325">
      <c r="A325" s="38">
        <f>IF('6 - TV Stands &amp; Enterta'!B325 = "", "", IF('6 - TV Stands &amp; Enterta-WUO_ERR'!A325 = "", "Validated", HYPERLINK("#" &amp; ADDRESS(325, '6 - TV Stands &amp; Enterta-WUO_TRK'!A325),_xlfn.TEXTAFTER('6 - TV Stands &amp; Enterta-WUO_ERR'!A325, ":"))))</f>
        <v/>
      </c>
    </row>
    <row r="326">
      <c r="A326" s="38">
        <f>IF('6 - TV Stands &amp; Enterta'!B326 = "", "", IF('6 - TV Stands &amp; Enterta-WUO_ERR'!A326 = "", "Validated", HYPERLINK("#" &amp; ADDRESS(326, '6 - TV Stands &amp; Enterta-WUO_TRK'!A326),_xlfn.TEXTAFTER('6 - TV Stands &amp; Enterta-WUO_ERR'!A326, ":"))))</f>
        <v/>
      </c>
    </row>
    <row r="327">
      <c r="A327" s="38">
        <f>IF('6 - TV Stands &amp; Enterta'!B327 = "", "", IF('6 - TV Stands &amp; Enterta-WUO_ERR'!A327 = "", "Validated", HYPERLINK("#" &amp; ADDRESS(327, '6 - TV Stands &amp; Enterta-WUO_TRK'!A327),_xlfn.TEXTAFTER('6 - TV Stands &amp; Enterta-WUO_ERR'!A327, ":"))))</f>
        <v/>
      </c>
    </row>
    <row r="328">
      <c r="A328" s="38">
        <f>IF('6 - TV Stands &amp; Enterta'!B328 = "", "", IF('6 - TV Stands &amp; Enterta-WUO_ERR'!A328 = "", "Validated", HYPERLINK("#" &amp; ADDRESS(328, '6 - TV Stands &amp; Enterta-WUO_TRK'!A328),_xlfn.TEXTAFTER('6 - TV Stands &amp; Enterta-WUO_ERR'!A328, ":"))))</f>
        <v/>
      </c>
    </row>
    <row r="329">
      <c r="A329" s="38">
        <f>IF('6 - TV Stands &amp; Enterta'!B329 = "", "", IF('6 - TV Stands &amp; Enterta-WUO_ERR'!A329 = "", "Validated", HYPERLINK("#" &amp; ADDRESS(329, '6 - TV Stands &amp; Enterta-WUO_TRK'!A329),_xlfn.TEXTAFTER('6 - TV Stands &amp; Enterta-WUO_ERR'!A329, ":"))))</f>
        <v/>
      </c>
    </row>
    <row r="330">
      <c r="A330" s="38">
        <f>IF('6 - TV Stands &amp; Enterta'!B330 = "", "", IF('6 - TV Stands &amp; Enterta-WUO_ERR'!A330 = "", "Validated", HYPERLINK("#" &amp; ADDRESS(330, '6 - TV Stands &amp; Enterta-WUO_TRK'!A330),_xlfn.TEXTAFTER('6 - TV Stands &amp; Enterta-WUO_ERR'!A330, ":"))))</f>
        <v/>
      </c>
    </row>
    <row r="331">
      <c r="A331" s="38">
        <f>IF('6 - TV Stands &amp; Enterta'!B331 = "", "", IF('6 - TV Stands &amp; Enterta-WUO_ERR'!A331 = "", "Validated", HYPERLINK("#" &amp; ADDRESS(331, '6 - TV Stands &amp; Enterta-WUO_TRK'!A331),_xlfn.TEXTAFTER('6 - TV Stands &amp; Enterta-WUO_ERR'!A331, ":"))))</f>
        <v/>
      </c>
    </row>
    <row r="332">
      <c r="A332" s="38">
        <f>IF('6 - TV Stands &amp; Enterta'!B332 = "", "", IF('6 - TV Stands &amp; Enterta-WUO_ERR'!A332 = "", "Validated", HYPERLINK("#" &amp; ADDRESS(332, '6 - TV Stands &amp; Enterta-WUO_TRK'!A332),_xlfn.TEXTAFTER('6 - TV Stands &amp; Enterta-WUO_ERR'!A332, ":"))))</f>
        <v/>
      </c>
    </row>
    <row r="333">
      <c r="A333" s="38">
        <f>IF('6 - TV Stands &amp; Enterta'!B333 = "", "", IF('6 - TV Stands &amp; Enterta-WUO_ERR'!A333 = "", "Validated", HYPERLINK("#" &amp; ADDRESS(333, '6 - TV Stands &amp; Enterta-WUO_TRK'!A333),_xlfn.TEXTAFTER('6 - TV Stands &amp; Enterta-WUO_ERR'!A333, ":"))))</f>
        <v/>
      </c>
    </row>
    <row r="334">
      <c r="A334" s="38">
        <f>IF('6 - TV Stands &amp; Enterta'!B334 = "", "", IF('6 - TV Stands &amp; Enterta-WUO_ERR'!A334 = "", "Validated", HYPERLINK("#" &amp; ADDRESS(334, '6 - TV Stands &amp; Enterta-WUO_TRK'!A334),_xlfn.TEXTAFTER('6 - TV Stands &amp; Enterta-WUO_ERR'!A334, ":"))))</f>
        <v/>
      </c>
    </row>
    <row r="335">
      <c r="A335" s="38">
        <f>IF('6 - TV Stands &amp; Enterta'!B335 = "", "", IF('6 - TV Stands &amp; Enterta-WUO_ERR'!A335 = "", "Validated", HYPERLINK("#" &amp; ADDRESS(335, '6 - TV Stands &amp; Enterta-WUO_TRK'!A335),_xlfn.TEXTAFTER('6 - TV Stands &amp; Enterta-WUO_ERR'!A335, ":"))))</f>
        <v/>
      </c>
    </row>
    <row r="336">
      <c r="A336" s="38">
        <f>IF('6 - TV Stands &amp; Enterta'!B336 = "", "", IF('6 - TV Stands &amp; Enterta-WUO_ERR'!A336 = "", "Validated", HYPERLINK("#" &amp; ADDRESS(336, '6 - TV Stands &amp; Enterta-WUO_TRK'!A336),_xlfn.TEXTAFTER('6 - TV Stands &amp; Enterta-WUO_ERR'!A336, ":"))))</f>
        <v/>
      </c>
    </row>
    <row r="337">
      <c r="A337" s="38">
        <f>IF('6 - TV Stands &amp; Enterta'!B337 = "", "", IF('6 - TV Stands &amp; Enterta-WUO_ERR'!A337 = "", "Validated", HYPERLINK("#" &amp; ADDRESS(337, '6 - TV Stands &amp; Enterta-WUO_TRK'!A337),_xlfn.TEXTAFTER('6 - TV Stands &amp; Enterta-WUO_ERR'!A337, ":"))))</f>
        <v/>
      </c>
    </row>
    <row r="338">
      <c r="A338" s="38">
        <f>IF('6 - TV Stands &amp; Enterta'!B338 = "", "", IF('6 - TV Stands &amp; Enterta-WUO_ERR'!A338 = "", "Validated", HYPERLINK("#" &amp; ADDRESS(338, '6 - TV Stands &amp; Enterta-WUO_TRK'!A338),_xlfn.TEXTAFTER('6 - TV Stands &amp; Enterta-WUO_ERR'!A338, ":"))))</f>
        <v/>
      </c>
    </row>
    <row r="339">
      <c r="A339" s="38">
        <f>IF('6 - TV Stands &amp; Enterta'!B339 = "", "", IF('6 - TV Stands &amp; Enterta-WUO_ERR'!A339 = "", "Validated", HYPERLINK("#" &amp; ADDRESS(339, '6 - TV Stands &amp; Enterta-WUO_TRK'!A339),_xlfn.TEXTAFTER('6 - TV Stands &amp; Enterta-WUO_ERR'!A339, ":"))))</f>
        <v/>
      </c>
    </row>
    <row r="340">
      <c r="A340" s="38">
        <f>IF('6 - TV Stands &amp; Enterta'!B340 = "", "", IF('6 - TV Stands &amp; Enterta-WUO_ERR'!A340 = "", "Validated", HYPERLINK("#" &amp; ADDRESS(340, '6 - TV Stands &amp; Enterta-WUO_TRK'!A340),_xlfn.TEXTAFTER('6 - TV Stands &amp; Enterta-WUO_ERR'!A340, ":"))))</f>
        <v/>
      </c>
    </row>
    <row r="341">
      <c r="A341" s="38">
        <f>IF('6 - TV Stands &amp; Enterta'!B341 = "", "", IF('6 - TV Stands &amp; Enterta-WUO_ERR'!A341 = "", "Validated", HYPERLINK("#" &amp; ADDRESS(341, '6 - TV Stands &amp; Enterta-WUO_TRK'!A341),_xlfn.TEXTAFTER('6 - TV Stands &amp; Enterta-WUO_ERR'!A341, ":"))))</f>
        <v/>
      </c>
    </row>
    <row r="342">
      <c r="A342" s="38">
        <f>IF('6 - TV Stands &amp; Enterta'!B342 = "", "", IF('6 - TV Stands &amp; Enterta-WUO_ERR'!A342 = "", "Validated", HYPERLINK("#" &amp; ADDRESS(342, '6 - TV Stands &amp; Enterta-WUO_TRK'!A342),_xlfn.TEXTAFTER('6 - TV Stands &amp; Enterta-WUO_ERR'!A342, ":"))))</f>
        <v/>
      </c>
    </row>
    <row r="343">
      <c r="A343" s="38">
        <f>IF('6 - TV Stands &amp; Enterta'!B343 = "", "", IF('6 - TV Stands &amp; Enterta-WUO_ERR'!A343 = "", "Validated", HYPERLINK("#" &amp; ADDRESS(343, '6 - TV Stands &amp; Enterta-WUO_TRK'!A343),_xlfn.TEXTAFTER('6 - TV Stands &amp; Enterta-WUO_ERR'!A343, ":"))))</f>
        <v/>
      </c>
    </row>
    <row r="344">
      <c r="A344" s="38">
        <f>IF('6 - TV Stands &amp; Enterta'!B344 = "", "", IF('6 - TV Stands &amp; Enterta-WUO_ERR'!A344 = "", "Validated", HYPERLINK("#" &amp; ADDRESS(344, '6 - TV Stands &amp; Enterta-WUO_TRK'!A344),_xlfn.TEXTAFTER('6 - TV Stands &amp; Enterta-WUO_ERR'!A344, ":"))))</f>
        <v/>
      </c>
    </row>
    <row r="345">
      <c r="A345" s="38">
        <f>IF('6 - TV Stands &amp; Enterta'!B345 = "", "", IF('6 - TV Stands &amp; Enterta-WUO_ERR'!A345 = "", "Validated", HYPERLINK("#" &amp; ADDRESS(345, '6 - TV Stands &amp; Enterta-WUO_TRK'!A345),_xlfn.TEXTAFTER('6 - TV Stands &amp; Enterta-WUO_ERR'!A345, ":"))))</f>
        <v/>
      </c>
    </row>
    <row r="346">
      <c r="A346" s="38">
        <f>IF('6 - TV Stands &amp; Enterta'!B346 = "", "", IF('6 - TV Stands &amp; Enterta-WUO_ERR'!A346 = "", "Validated", HYPERLINK("#" &amp; ADDRESS(346, '6 - TV Stands &amp; Enterta-WUO_TRK'!A346),_xlfn.TEXTAFTER('6 - TV Stands &amp; Enterta-WUO_ERR'!A346, ":"))))</f>
        <v/>
      </c>
    </row>
    <row r="347">
      <c r="A347" s="38">
        <f>IF('6 - TV Stands &amp; Enterta'!B347 = "", "", IF('6 - TV Stands &amp; Enterta-WUO_ERR'!A347 = "", "Validated", HYPERLINK("#" &amp; ADDRESS(347, '6 - TV Stands &amp; Enterta-WUO_TRK'!A347),_xlfn.TEXTAFTER('6 - TV Stands &amp; Enterta-WUO_ERR'!A347, ":"))))</f>
        <v/>
      </c>
    </row>
    <row r="348">
      <c r="A348" s="38">
        <f>IF('6 - TV Stands &amp; Enterta'!B348 = "", "", IF('6 - TV Stands &amp; Enterta-WUO_ERR'!A348 = "", "Validated", HYPERLINK("#" &amp; ADDRESS(348, '6 - TV Stands &amp; Enterta-WUO_TRK'!A348),_xlfn.TEXTAFTER('6 - TV Stands &amp; Enterta-WUO_ERR'!A348, ":"))))</f>
        <v/>
      </c>
    </row>
    <row r="349">
      <c r="A349" s="38">
        <f>IF('6 - TV Stands &amp; Enterta'!B349 = "", "", IF('6 - TV Stands &amp; Enterta-WUO_ERR'!A349 = "", "Validated", HYPERLINK("#" &amp; ADDRESS(349, '6 - TV Stands &amp; Enterta-WUO_TRK'!A349),_xlfn.TEXTAFTER('6 - TV Stands &amp; Enterta-WUO_ERR'!A349, ":"))))</f>
        <v/>
      </c>
    </row>
    <row r="350">
      <c r="A350" s="38">
        <f>IF('6 - TV Stands &amp; Enterta'!B350 = "", "", IF('6 - TV Stands &amp; Enterta-WUO_ERR'!A350 = "", "Validated", HYPERLINK("#" &amp; ADDRESS(350, '6 - TV Stands &amp; Enterta-WUO_TRK'!A350),_xlfn.TEXTAFTER('6 - TV Stands &amp; Enterta-WUO_ERR'!A350, ":"))))</f>
        <v/>
      </c>
    </row>
    <row r="351">
      <c r="A351" s="38">
        <f>IF('6 - TV Stands &amp; Enterta'!B351 = "", "", IF('6 - TV Stands &amp; Enterta-WUO_ERR'!A351 = "", "Validated", HYPERLINK("#" &amp; ADDRESS(351, '6 - TV Stands &amp; Enterta-WUO_TRK'!A351),_xlfn.TEXTAFTER('6 - TV Stands &amp; Enterta-WUO_ERR'!A351, ":"))))</f>
        <v/>
      </c>
    </row>
    <row r="352">
      <c r="A352" s="38">
        <f>IF('6 - TV Stands &amp; Enterta'!B352 = "", "", IF('6 - TV Stands &amp; Enterta-WUO_ERR'!A352 = "", "Validated", HYPERLINK("#" &amp; ADDRESS(352, '6 - TV Stands &amp; Enterta-WUO_TRK'!A352),_xlfn.TEXTAFTER('6 - TV Stands &amp; Enterta-WUO_ERR'!A352, ":"))))</f>
        <v/>
      </c>
    </row>
    <row r="353">
      <c r="A353" s="38">
        <f>IF('6 - TV Stands &amp; Enterta'!B353 = "", "", IF('6 - TV Stands &amp; Enterta-WUO_ERR'!A353 = "", "Validated", HYPERLINK("#" &amp; ADDRESS(353, '6 - TV Stands &amp; Enterta-WUO_TRK'!A353),_xlfn.TEXTAFTER('6 - TV Stands &amp; Enterta-WUO_ERR'!A353, ":"))))</f>
        <v/>
      </c>
    </row>
    <row r="354">
      <c r="A354" s="38">
        <f>IF('6 - TV Stands &amp; Enterta'!B354 = "", "", IF('6 - TV Stands &amp; Enterta-WUO_ERR'!A354 = "", "Validated", HYPERLINK("#" &amp; ADDRESS(354, '6 - TV Stands &amp; Enterta-WUO_TRK'!A354),_xlfn.TEXTAFTER('6 - TV Stands &amp; Enterta-WUO_ERR'!A354, ":"))))</f>
        <v/>
      </c>
    </row>
    <row r="355">
      <c r="A355" s="38">
        <f>IF('6 - TV Stands &amp; Enterta'!B355 = "", "", IF('6 - TV Stands &amp; Enterta-WUO_ERR'!A355 = "", "Validated", HYPERLINK("#" &amp; ADDRESS(355, '6 - TV Stands &amp; Enterta-WUO_TRK'!A355),_xlfn.TEXTAFTER('6 - TV Stands &amp; Enterta-WUO_ERR'!A355, ":"))))</f>
        <v/>
      </c>
    </row>
    <row r="356">
      <c r="A356" s="38">
        <f>IF('6 - TV Stands &amp; Enterta'!B356 = "", "", IF('6 - TV Stands &amp; Enterta-WUO_ERR'!A356 = "", "Validated", HYPERLINK("#" &amp; ADDRESS(356, '6 - TV Stands &amp; Enterta-WUO_TRK'!A356),_xlfn.TEXTAFTER('6 - TV Stands &amp; Enterta-WUO_ERR'!A356, ":"))))</f>
        <v/>
      </c>
    </row>
    <row r="357">
      <c r="A357" s="38">
        <f>IF('6 - TV Stands &amp; Enterta'!B357 = "", "", IF('6 - TV Stands &amp; Enterta-WUO_ERR'!A357 = "", "Validated", HYPERLINK("#" &amp; ADDRESS(357, '6 - TV Stands &amp; Enterta-WUO_TRK'!A357),_xlfn.TEXTAFTER('6 - TV Stands &amp; Enterta-WUO_ERR'!A357, ":"))))</f>
        <v/>
      </c>
    </row>
    <row r="358">
      <c r="A358" s="38">
        <f>IF('6 - TV Stands &amp; Enterta'!B358 = "", "", IF('6 - TV Stands &amp; Enterta-WUO_ERR'!A358 = "", "Validated", HYPERLINK("#" &amp; ADDRESS(358, '6 - TV Stands &amp; Enterta-WUO_TRK'!A358),_xlfn.TEXTAFTER('6 - TV Stands &amp; Enterta-WUO_ERR'!A358, ":"))))</f>
        <v/>
      </c>
    </row>
    <row r="359">
      <c r="A359" s="38">
        <f>IF('6 - TV Stands &amp; Enterta'!B359 = "", "", IF('6 - TV Stands &amp; Enterta-WUO_ERR'!A359 = "", "Validated", HYPERLINK("#" &amp; ADDRESS(359, '6 - TV Stands &amp; Enterta-WUO_TRK'!A359),_xlfn.TEXTAFTER('6 - TV Stands &amp; Enterta-WUO_ERR'!A359, ":"))))</f>
        <v/>
      </c>
    </row>
    <row r="360">
      <c r="A360" s="38">
        <f>IF('6 - TV Stands &amp; Enterta'!B360 = "", "", IF('6 - TV Stands &amp; Enterta-WUO_ERR'!A360 = "", "Validated", HYPERLINK("#" &amp; ADDRESS(360, '6 - TV Stands &amp; Enterta-WUO_TRK'!A360),_xlfn.TEXTAFTER('6 - TV Stands &amp; Enterta-WUO_ERR'!A360, ":"))))</f>
        <v/>
      </c>
    </row>
    <row r="361">
      <c r="A361" s="38">
        <f>IF('6 - TV Stands &amp; Enterta'!B361 = "", "", IF('6 - TV Stands &amp; Enterta-WUO_ERR'!A361 = "", "Validated", HYPERLINK("#" &amp; ADDRESS(361, '6 - TV Stands &amp; Enterta-WUO_TRK'!A361),_xlfn.TEXTAFTER('6 - TV Stands &amp; Enterta-WUO_ERR'!A361, ":"))))</f>
        <v/>
      </c>
    </row>
    <row r="362">
      <c r="A362" s="38">
        <f>IF('6 - TV Stands &amp; Enterta'!B362 = "", "", IF('6 - TV Stands &amp; Enterta-WUO_ERR'!A362 = "", "Validated", HYPERLINK("#" &amp; ADDRESS(362, '6 - TV Stands &amp; Enterta-WUO_TRK'!A362),_xlfn.TEXTAFTER('6 - TV Stands &amp; Enterta-WUO_ERR'!A362, ":"))))</f>
        <v/>
      </c>
    </row>
    <row r="363">
      <c r="A363" s="38">
        <f>IF('6 - TV Stands &amp; Enterta'!B363 = "", "", IF('6 - TV Stands &amp; Enterta-WUO_ERR'!A363 = "", "Validated", HYPERLINK("#" &amp; ADDRESS(363, '6 - TV Stands &amp; Enterta-WUO_TRK'!A363),_xlfn.TEXTAFTER('6 - TV Stands &amp; Enterta-WUO_ERR'!A363, ":"))))</f>
        <v/>
      </c>
    </row>
    <row r="364">
      <c r="A364" s="38">
        <f>IF('6 - TV Stands &amp; Enterta'!B364 = "", "", IF('6 - TV Stands &amp; Enterta-WUO_ERR'!A364 = "", "Validated", HYPERLINK("#" &amp; ADDRESS(364, '6 - TV Stands &amp; Enterta-WUO_TRK'!A364),_xlfn.TEXTAFTER('6 - TV Stands &amp; Enterta-WUO_ERR'!A364, ":"))))</f>
        <v/>
      </c>
    </row>
    <row r="365">
      <c r="A365" s="38">
        <f>IF('6 - TV Stands &amp; Enterta'!B365 = "", "", IF('6 - TV Stands &amp; Enterta-WUO_ERR'!A365 = "", "Validated", HYPERLINK("#" &amp; ADDRESS(365, '6 - TV Stands &amp; Enterta-WUO_TRK'!A365),_xlfn.TEXTAFTER('6 - TV Stands &amp; Enterta-WUO_ERR'!A365, ":"))))</f>
        <v/>
      </c>
    </row>
    <row r="366">
      <c r="A366" s="38">
        <f>IF('6 - TV Stands &amp; Enterta'!B366 = "", "", IF('6 - TV Stands &amp; Enterta-WUO_ERR'!A366 = "", "Validated", HYPERLINK("#" &amp; ADDRESS(366, '6 - TV Stands &amp; Enterta-WUO_TRK'!A366),_xlfn.TEXTAFTER('6 - TV Stands &amp; Enterta-WUO_ERR'!A366, ":"))))</f>
        <v/>
      </c>
    </row>
    <row r="367">
      <c r="A367" s="38">
        <f>IF('6 - TV Stands &amp; Enterta'!B367 = "", "", IF('6 - TV Stands &amp; Enterta-WUO_ERR'!A367 = "", "Validated", HYPERLINK("#" &amp; ADDRESS(367, '6 - TV Stands &amp; Enterta-WUO_TRK'!A367),_xlfn.TEXTAFTER('6 - TV Stands &amp; Enterta-WUO_ERR'!A367, ":"))))</f>
        <v/>
      </c>
    </row>
    <row r="368">
      <c r="A368" s="38">
        <f>IF('6 - TV Stands &amp; Enterta'!B368 = "", "", IF('6 - TV Stands &amp; Enterta-WUO_ERR'!A368 = "", "Validated", HYPERLINK("#" &amp; ADDRESS(368, '6 - TV Stands &amp; Enterta-WUO_TRK'!A368),_xlfn.TEXTAFTER('6 - TV Stands &amp; Enterta-WUO_ERR'!A368, ":"))))</f>
        <v/>
      </c>
    </row>
    <row r="369">
      <c r="A369" s="38">
        <f>IF('6 - TV Stands &amp; Enterta'!B369 = "", "", IF('6 - TV Stands &amp; Enterta-WUO_ERR'!A369 = "", "Validated", HYPERLINK("#" &amp; ADDRESS(369, '6 - TV Stands &amp; Enterta-WUO_TRK'!A369),_xlfn.TEXTAFTER('6 - TV Stands &amp; Enterta-WUO_ERR'!A369, ":"))))</f>
        <v/>
      </c>
    </row>
    <row r="370">
      <c r="A370" s="38">
        <f>IF('6 - TV Stands &amp; Enterta'!B370 = "", "", IF('6 - TV Stands &amp; Enterta-WUO_ERR'!A370 = "", "Validated", HYPERLINK("#" &amp; ADDRESS(370, '6 - TV Stands &amp; Enterta-WUO_TRK'!A370),_xlfn.TEXTAFTER('6 - TV Stands &amp; Enterta-WUO_ERR'!A370, ":"))))</f>
        <v/>
      </c>
    </row>
    <row r="371">
      <c r="A371" s="38">
        <f>IF('6 - TV Stands &amp; Enterta'!B371 = "", "", IF('6 - TV Stands &amp; Enterta-WUO_ERR'!A371 = "", "Validated", HYPERLINK("#" &amp; ADDRESS(371, '6 - TV Stands &amp; Enterta-WUO_TRK'!A371),_xlfn.TEXTAFTER('6 - TV Stands &amp; Enterta-WUO_ERR'!A371, ":"))))</f>
        <v/>
      </c>
    </row>
    <row r="372">
      <c r="A372" s="38">
        <f>IF('6 - TV Stands &amp; Enterta'!B372 = "", "", IF('6 - TV Stands &amp; Enterta-WUO_ERR'!A372 = "", "Validated", HYPERLINK("#" &amp; ADDRESS(372, '6 - TV Stands &amp; Enterta-WUO_TRK'!A372),_xlfn.TEXTAFTER('6 - TV Stands &amp; Enterta-WUO_ERR'!A372, ":"))))</f>
        <v/>
      </c>
    </row>
    <row r="373">
      <c r="A373" s="38">
        <f>IF('6 - TV Stands &amp; Enterta'!B373 = "", "", IF('6 - TV Stands &amp; Enterta-WUO_ERR'!A373 = "", "Validated", HYPERLINK("#" &amp; ADDRESS(373, '6 - TV Stands &amp; Enterta-WUO_TRK'!A373),_xlfn.TEXTAFTER('6 - TV Stands &amp; Enterta-WUO_ERR'!A373, ":"))))</f>
        <v/>
      </c>
    </row>
    <row r="374">
      <c r="A374" s="38">
        <f>IF('6 - TV Stands &amp; Enterta'!B374 = "", "", IF('6 - TV Stands &amp; Enterta-WUO_ERR'!A374 = "", "Validated", HYPERLINK("#" &amp; ADDRESS(374, '6 - TV Stands &amp; Enterta-WUO_TRK'!A374),_xlfn.TEXTAFTER('6 - TV Stands &amp; Enterta-WUO_ERR'!A374, ":"))))</f>
        <v/>
      </c>
    </row>
    <row r="375">
      <c r="A375" s="38">
        <f>IF('6 - TV Stands &amp; Enterta'!B375 = "", "", IF('6 - TV Stands &amp; Enterta-WUO_ERR'!A375 = "", "Validated", HYPERLINK("#" &amp; ADDRESS(375, '6 - TV Stands &amp; Enterta-WUO_TRK'!A375),_xlfn.TEXTAFTER('6 - TV Stands &amp; Enterta-WUO_ERR'!A375, ":"))))</f>
        <v/>
      </c>
    </row>
    <row r="376">
      <c r="A376" s="38">
        <f>IF('6 - TV Stands &amp; Enterta'!B376 = "", "", IF('6 - TV Stands &amp; Enterta-WUO_ERR'!A376 = "", "Validated", HYPERLINK("#" &amp; ADDRESS(376, '6 - TV Stands &amp; Enterta-WUO_TRK'!A376),_xlfn.TEXTAFTER('6 - TV Stands &amp; Enterta-WUO_ERR'!A376, ":"))))</f>
        <v/>
      </c>
    </row>
    <row r="377">
      <c r="A377" s="38">
        <f>IF('6 - TV Stands &amp; Enterta'!B377 = "", "", IF('6 - TV Stands &amp; Enterta-WUO_ERR'!A377 = "", "Validated", HYPERLINK("#" &amp; ADDRESS(377, '6 - TV Stands &amp; Enterta-WUO_TRK'!A377),_xlfn.TEXTAFTER('6 - TV Stands &amp; Enterta-WUO_ERR'!A377, ":"))))</f>
        <v/>
      </c>
    </row>
    <row r="378">
      <c r="A378" s="38">
        <f>IF('6 - TV Stands &amp; Enterta'!B378 = "", "", IF('6 - TV Stands &amp; Enterta-WUO_ERR'!A378 = "", "Validated", HYPERLINK("#" &amp; ADDRESS(378, '6 - TV Stands &amp; Enterta-WUO_TRK'!A378),_xlfn.TEXTAFTER('6 - TV Stands &amp; Enterta-WUO_ERR'!A378, ":"))))</f>
        <v/>
      </c>
    </row>
    <row r="379">
      <c r="A379" s="38">
        <f>IF('6 - TV Stands &amp; Enterta'!B379 = "", "", IF('6 - TV Stands &amp; Enterta-WUO_ERR'!A379 = "", "Validated", HYPERLINK("#" &amp; ADDRESS(379, '6 - TV Stands &amp; Enterta-WUO_TRK'!A379),_xlfn.TEXTAFTER('6 - TV Stands &amp; Enterta-WUO_ERR'!A379, ":"))))</f>
        <v/>
      </c>
    </row>
    <row r="380">
      <c r="A380" s="38">
        <f>IF('6 - TV Stands &amp; Enterta'!B380 = "", "", IF('6 - TV Stands &amp; Enterta-WUO_ERR'!A380 = "", "Validated", HYPERLINK("#" &amp; ADDRESS(380, '6 - TV Stands &amp; Enterta-WUO_TRK'!A380),_xlfn.TEXTAFTER('6 - TV Stands &amp; Enterta-WUO_ERR'!A380, ":"))))</f>
        <v/>
      </c>
    </row>
    <row r="381">
      <c r="A381" s="38">
        <f>IF('6 - TV Stands &amp; Enterta'!B381 = "", "", IF('6 - TV Stands &amp; Enterta-WUO_ERR'!A381 = "", "Validated", HYPERLINK("#" &amp; ADDRESS(381, '6 - TV Stands &amp; Enterta-WUO_TRK'!A381),_xlfn.TEXTAFTER('6 - TV Stands &amp; Enterta-WUO_ERR'!A381, ":"))))</f>
        <v/>
      </c>
    </row>
    <row r="382">
      <c r="A382" s="38">
        <f>IF('6 - TV Stands &amp; Enterta'!B382 = "", "", IF('6 - TV Stands &amp; Enterta-WUO_ERR'!A382 = "", "Validated", HYPERLINK("#" &amp; ADDRESS(382, '6 - TV Stands &amp; Enterta-WUO_TRK'!A382),_xlfn.TEXTAFTER('6 - TV Stands &amp; Enterta-WUO_ERR'!A382, ":"))))</f>
        <v/>
      </c>
    </row>
    <row r="383">
      <c r="A383" s="38">
        <f>IF('6 - TV Stands &amp; Enterta'!B383 = "", "", IF('6 - TV Stands &amp; Enterta-WUO_ERR'!A383 = "", "Validated", HYPERLINK("#" &amp; ADDRESS(383, '6 - TV Stands &amp; Enterta-WUO_TRK'!A383),_xlfn.TEXTAFTER('6 - TV Stands &amp; Enterta-WUO_ERR'!A383, ":"))))</f>
        <v/>
      </c>
    </row>
    <row r="384">
      <c r="A384" s="38">
        <f>IF('6 - TV Stands &amp; Enterta'!B384 = "", "", IF('6 - TV Stands &amp; Enterta-WUO_ERR'!A384 = "", "Validated", HYPERLINK("#" &amp; ADDRESS(384, '6 - TV Stands &amp; Enterta-WUO_TRK'!A384),_xlfn.TEXTAFTER('6 - TV Stands &amp; Enterta-WUO_ERR'!A384, ":"))))</f>
        <v/>
      </c>
    </row>
    <row r="385">
      <c r="A385" s="38">
        <f>IF('6 - TV Stands &amp; Enterta'!B385 = "", "", IF('6 - TV Stands &amp; Enterta-WUO_ERR'!A385 = "", "Validated", HYPERLINK("#" &amp; ADDRESS(385, '6 - TV Stands &amp; Enterta-WUO_TRK'!A385),_xlfn.TEXTAFTER('6 - TV Stands &amp; Enterta-WUO_ERR'!A385, ":"))))</f>
        <v/>
      </c>
    </row>
    <row r="386">
      <c r="A386" s="38">
        <f>IF('6 - TV Stands &amp; Enterta'!B386 = "", "", IF('6 - TV Stands &amp; Enterta-WUO_ERR'!A386 = "", "Validated", HYPERLINK("#" &amp; ADDRESS(386, '6 - TV Stands &amp; Enterta-WUO_TRK'!A386),_xlfn.TEXTAFTER('6 - TV Stands &amp; Enterta-WUO_ERR'!A386, ":"))))</f>
        <v/>
      </c>
    </row>
    <row r="387">
      <c r="A387" s="38">
        <f>IF('6 - TV Stands &amp; Enterta'!B387 = "", "", IF('6 - TV Stands &amp; Enterta-WUO_ERR'!A387 = "", "Validated", HYPERLINK("#" &amp; ADDRESS(387, '6 - TV Stands &amp; Enterta-WUO_TRK'!A387),_xlfn.TEXTAFTER('6 - TV Stands &amp; Enterta-WUO_ERR'!A387, ":"))))</f>
        <v/>
      </c>
    </row>
    <row r="388">
      <c r="A388" s="38">
        <f>IF('6 - TV Stands &amp; Enterta'!B388 = "", "", IF('6 - TV Stands &amp; Enterta-WUO_ERR'!A388 = "", "Validated", HYPERLINK("#" &amp; ADDRESS(388, '6 - TV Stands &amp; Enterta-WUO_TRK'!A388),_xlfn.TEXTAFTER('6 - TV Stands &amp; Enterta-WUO_ERR'!A388, ":"))))</f>
        <v/>
      </c>
    </row>
    <row r="389">
      <c r="A389" s="38">
        <f>IF('6 - TV Stands &amp; Enterta'!B389 = "", "", IF('6 - TV Stands &amp; Enterta-WUO_ERR'!A389 = "", "Validated", HYPERLINK("#" &amp; ADDRESS(389, '6 - TV Stands &amp; Enterta-WUO_TRK'!A389),_xlfn.TEXTAFTER('6 - TV Stands &amp; Enterta-WUO_ERR'!A389, ":"))))</f>
        <v/>
      </c>
    </row>
    <row r="390">
      <c r="A390" s="38">
        <f>IF('6 - TV Stands &amp; Enterta'!B390 = "", "", IF('6 - TV Stands &amp; Enterta-WUO_ERR'!A390 = "", "Validated", HYPERLINK("#" &amp; ADDRESS(390, '6 - TV Stands &amp; Enterta-WUO_TRK'!A390),_xlfn.TEXTAFTER('6 - TV Stands &amp; Enterta-WUO_ERR'!A390, ":"))))</f>
        <v/>
      </c>
    </row>
    <row r="391">
      <c r="A391" s="38">
        <f>IF('6 - TV Stands &amp; Enterta'!B391 = "", "", IF('6 - TV Stands &amp; Enterta-WUO_ERR'!A391 = "", "Validated", HYPERLINK("#" &amp; ADDRESS(391, '6 - TV Stands &amp; Enterta-WUO_TRK'!A391),_xlfn.TEXTAFTER('6 - TV Stands &amp; Enterta-WUO_ERR'!A391, ":"))))</f>
        <v/>
      </c>
    </row>
    <row r="392">
      <c r="A392" s="38">
        <f>IF('6 - TV Stands &amp; Enterta'!B392 = "", "", IF('6 - TV Stands &amp; Enterta-WUO_ERR'!A392 = "", "Validated", HYPERLINK("#" &amp; ADDRESS(392, '6 - TV Stands &amp; Enterta-WUO_TRK'!A392),_xlfn.TEXTAFTER('6 - TV Stands &amp; Enterta-WUO_ERR'!A392, ":"))))</f>
        <v/>
      </c>
    </row>
    <row r="393">
      <c r="A393" s="38">
        <f>IF('6 - TV Stands &amp; Enterta'!B393 = "", "", IF('6 - TV Stands &amp; Enterta-WUO_ERR'!A393 = "", "Validated", HYPERLINK("#" &amp; ADDRESS(393, '6 - TV Stands &amp; Enterta-WUO_TRK'!A393),_xlfn.TEXTAFTER('6 - TV Stands &amp; Enterta-WUO_ERR'!A393, ":"))))</f>
        <v/>
      </c>
    </row>
    <row r="394">
      <c r="A394" s="38">
        <f>IF('6 - TV Stands &amp; Enterta'!B394 = "", "", IF('6 - TV Stands &amp; Enterta-WUO_ERR'!A394 = "", "Validated", HYPERLINK("#" &amp; ADDRESS(394, '6 - TV Stands &amp; Enterta-WUO_TRK'!A394),_xlfn.TEXTAFTER('6 - TV Stands &amp; Enterta-WUO_ERR'!A394, ":"))))</f>
        <v/>
      </c>
    </row>
    <row r="395">
      <c r="A395" s="38">
        <f>IF('6 - TV Stands &amp; Enterta'!B395 = "", "", IF('6 - TV Stands &amp; Enterta-WUO_ERR'!A395 = "", "Validated", HYPERLINK("#" &amp; ADDRESS(395, '6 - TV Stands &amp; Enterta-WUO_TRK'!A395),_xlfn.TEXTAFTER('6 - TV Stands &amp; Enterta-WUO_ERR'!A395, ":"))))</f>
        <v/>
      </c>
    </row>
    <row r="396">
      <c r="A396" s="38">
        <f>IF('6 - TV Stands &amp; Enterta'!B396 = "", "", IF('6 - TV Stands &amp; Enterta-WUO_ERR'!A396 = "", "Validated", HYPERLINK("#" &amp; ADDRESS(396, '6 - TV Stands &amp; Enterta-WUO_TRK'!A396),_xlfn.TEXTAFTER('6 - TV Stands &amp; Enterta-WUO_ERR'!A396, ":"))))</f>
        <v/>
      </c>
    </row>
    <row r="397">
      <c r="A397" s="38">
        <f>IF('6 - TV Stands &amp; Enterta'!B397 = "", "", IF('6 - TV Stands &amp; Enterta-WUO_ERR'!A397 = "", "Validated", HYPERLINK("#" &amp; ADDRESS(397, '6 - TV Stands &amp; Enterta-WUO_TRK'!A397),_xlfn.TEXTAFTER('6 - TV Stands &amp; Enterta-WUO_ERR'!A397, ":"))))</f>
        <v/>
      </c>
    </row>
    <row r="398">
      <c r="A398" s="38">
        <f>IF('6 - TV Stands &amp; Enterta'!B398 = "", "", IF('6 - TV Stands &amp; Enterta-WUO_ERR'!A398 = "", "Validated", HYPERLINK("#" &amp; ADDRESS(398, '6 - TV Stands &amp; Enterta-WUO_TRK'!A398),_xlfn.TEXTAFTER('6 - TV Stands &amp; Enterta-WUO_ERR'!A398, ":"))))</f>
        <v/>
      </c>
    </row>
    <row r="399">
      <c r="A399" s="38">
        <f>IF('6 - TV Stands &amp; Enterta'!B399 = "", "", IF('6 - TV Stands &amp; Enterta-WUO_ERR'!A399 = "", "Validated", HYPERLINK("#" &amp; ADDRESS(399, '6 - TV Stands &amp; Enterta-WUO_TRK'!A399),_xlfn.TEXTAFTER('6 - TV Stands &amp; Enterta-WUO_ERR'!A399, ":"))))</f>
        <v/>
      </c>
    </row>
    <row r="400">
      <c r="A400" s="38">
        <f>IF('6 - TV Stands &amp; Enterta'!B400 = "", "", IF('6 - TV Stands &amp; Enterta-WUO_ERR'!A400 = "", "Validated", HYPERLINK("#" &amp; ADDRESS(400, '6 - TV Stands &amp; Enterta-WUO_TRK'!A400),_xlfn.TEXTAFTER('6 - TV Stands &amp; Enterta-WUO_ERR'!A400, ":"))))</f>
        <v/>
      </c>
    </row>
    <row r="401">
      <c r="A401" s="38">
        <f>IF('6 - TV Stands &amp; Enterta'!B401 = "", "", IF('6 - TV Stands &amp; Enterta-WUO_ERR'!A401 = "", "Validated", HYPERLINK("#" &amp; ADDRESS(401, '6 - TV Stands &amp; Enterta-WUO_TRK'!A401),_xlfn.TEXTAFTER('6 - TV Stands &amp; Enterta-WUO_ERR'!A401, ":"))))</f>
        <v/>
      </c>
    </row>
    <row r="402">
      <c r="A402" s="38">
        <f>IF('6 - TV Stands &amp; Enterta'!B402 = "", "", IF('6 - TV Stands &amp; Enterta-WUO_ERR'!A402 = "", "Validated", HYPERLINK("#" &amp; ADDRESS(402, '6 - TV Stands &amp; Enterta-WUO_TRK'!A402),_xlfn.TEXTAFTER('6 - TV Stands &amp; Enterta-WUO_ERR'!A402, ":"))))</f>
        <v/>
      </c>
    </row>
    <row r="403">
      <c r="A403" s="38">
        <f>IF('6 - TV Stands &amp; Enterta'!B403 = "", "", IF('6 - TV Stands &amp; Enterta-WUO_ERR'!A403 = "", "Validated", HYPERLINK("#" &amp; ADDRESS(403, '6 - TV Stands &amp; Enterta-WUO_TRK'!A403),_xlfn.TEXTAFTER('6 - TV Stands &amp; Enterta-WUO_ERR'!A403, ":"))))</f>
        <v/>
      </c>
    </row>
    <row r="404">
      <c r="A404" s="38">
        <f>IF('6 - TV Stands &amp; Enterta'!B404 = "", "", IF('6 - TV Stands &amp; Enterta-WUO_ERR'!A404 = "", "Validated", HYPERLINK("#" &amp; ADDRESS(404, '6 - TV Stands &amp; Enterta-WUO_TRK'!A404),_xlfn.TEXTAFTER('6 - TV Stands &amp; Enterta-WUO_ERR'!A404, ":"))))</f>
        <v/>
      </c>
    </row>
    <row r="405">
      <c r="A405" s="38">
        <f>IF('6 - TV Stands &amp; Enterta'!B405 = "", "", IF('6 - TV Stands &amp; Enterta-WUO_ERR'!A405 = "", "Validated", HYPERLINK("#" &amp; ADDRESS(405, '6 - TV Stands &amp; Enterta-WUO_TRK'!A405),_xlfn.TEXTAFTER('6 - TV Stands &amp; Enterta-WUO_ERR'!A405, ":"))))</f>
        <v/>
      </c>
    </row>
    <row r="406">
      <c r="A406" s="38">
        <f>IF('6 - TV Stands &amp; Enterta'!B406 = "", "", IF('6 - TV Stands &amp; Enterta-WUO_ERR'!A406 = "", "Validated", HYPERLINK("#" &amp; ADDRESS(406, '6 - TV Stands &amp; Enterta-WUO_TRK'!A406),_xlfn.TEXTAFTER('6 - TV Stands &amp; Enterta-WUO_ERR'!A406, ":"))))</f>
        <v/>
      </c>
    </row>
    <row r="407">
      <c r="A407" s="38">
        <f>IF('6 - TV Stands &amp; Enterta'!B407 = "", "", IF('6 - TV Stands &amp; Enterta-WUO_ERR'!A407 = "", "Validated", HYPERLINK("#" &amp; ADDRESS(407, '6 - TV Stands &amp; Enterta-WUO_TRK'!A407),_xlfn.TEXTAFTER('6 - TV Stands &amp; Enterta-WUO_ERR'!A407, ":"))))</f>
        <v/>
      </c>
    </row>
    <row r="408">
      <c r="A408" s="38">
        <f>IF('6 - TV Stands &amp; Enterta'!B408 = "", "", IF('6 - TV Stands &amp; Enterta-WUO_ERR'!A408 = "", "Validated", HYPERLINK("#" &amp; ADDRESS(408, '6 - TV Stands &amp; Enterta-WUO_TRK'!A408),_xlfn.TEXTAFTER('6 - TV Stands &amp; Enterta-WUO_ERR'!A408, ":"))))</f>
        <v/>
      </c>
    </row>
    <row r="409">
      <c r="A409" s="38">
        <f>IF('6 - TV Stands &amp; Enterta'!B409 = "", "", IF('6 - TV Stands &amp; Enterta-WUO_ERR'!A409 = "", "Validated", HYPERLINK("#" &amp; ADDRESS(409, '6 - TV Stands &amp; Enterta-WUO_TRK'!A409),_xlfn.TEXTAFTER('6 - TV Stands &amp; Enterta-WUO_ERR'!A409, ":"))))</f>
        <v/>
      </c>
    </row>
    <row r="410">
      <c r="A410" s="38">
        <f>IF('6 - TV Stands &amp; Enterta'!B410 = "", "", IF('6 - TV Stands &amp; Enterta-WUO_ERR'!A410 = "", "Validated", HYPERLINK("#" &amp; ADDRESS(410, '6 - TV Stands &amp; Enterta-WUO_TRK'!A410),_xlfn.TEXTAFTER('6 - TV Stands &amp; Enterta-WUO_ERR'!A410, ":"))))</f>
        <v/>
      </c>
    </row>
    <row r="411">
      <c r="A411" s="38">
        <f>IF('6 - TV Stands &amp; Enterta'!B411 = "", "", IF('6 - TV Stands &amp; Enterta-WUO_ERR'!A411 = "", "Validated", HYPERLINK("#" &amp; ADDRESS(411, '6 - TV Stands &amp; Enterta-WUO_TRK'!A411),_xlfn.TEXTAFTER('6 - TV Stands &amp; Enterta-WUO_ERR'!A411, ":"))))</f>
        <v/>
      </c>
    </row>
    <row r="412">
      <c r="A412" s="38">
        <f>IF('6 - TV Stands &amp; Enterta'!B412 = "", "", IF('6 - TV Stands &amp; Enterta-WUO_ERR'!A412 = "", "Validated", HYPERLINK("#" &amp; ADDRESS(412, '6 - TV Stands &amp; Enterta-WUO_TRK'!A412),_xlfn.TEXTAFTER('6 - TV Stands &amp; Enterta-WUO_ERR'!A412, ":"))))</f>
        <v/>
      </c>
    </row>
    <row r="413">
      <c r="A413" s="38">
        <f>IF('6 - TV Stands &amp; Enterta'!B413 = "", "", IF('6 - TV Stands &amp; Enterta-WUO_ERR'!A413 = "", "Validated", HYPERLINK("#" &amp; ADDRESS(413, '6 - TV Stands &amp; Enterta-WUO_TRK'!A413),_xlfn.TEXTAFTER('6 - TV Stands &amp; Enterta-WUO_ERR'!A413, ":"))))</f>
        <v/>
      </c>
    </row>
    <row r="414">
      <c r="A414" s="38">
        <f>IF('6 - TV Stands &amp; Enterta'!B414 = "", "", IF('6 - TV Stands &amp; Enterta-WUO_ERR'!A414 = "", "Validated", HYPERLINK("#" &amp; ADDRESS(414, '6 - TV Stands &amp; Enterta-WUO_TRK'!A414),_xlfn.TEXTAFTER('6 - TV Stands &amp; Enterta-WUO_ERR'!A414, ":"))))</f>
        <v/>
      </c>
    </row>
    <row r="415">
      <c r="A415" s="38">
        <f>IF('6 - TV Stands &amp; Enterta'!B415 = "", "", IF('6 - TV Stands &amp; Enterta-WUO_ERR'!A415 = "", "Validated", HYPERLINK("#" &amp; ADDRESS(415, '6 - TV Stands &amp; Enterta-WUO_TRK'!A415),_xlfn.TEXTAFTER('6 - TV Stands &amp; Enterta-WUO_ERR'!A415, ":"))))</f>
        <v/>
      </c>
    </row>
    <row r="416">
      <c r="A416" s="38">
        <f>IF('6 - TV Stands &amp; Enterta'!B416 = "", "", IF('6 - TV Stands &amp; Enterta-WUO_ERR'!A416 = "", "Validated", HYPERLINK("#" &amp; ADDRESS(416, '6 - TV Stands &amp; Enterta-WUO_TRK'!A416),_xlfn.TEXTAFTER('6 - TV Stands &amp; Enterta-WUO_ERR'!A416, ":"))))</f>
        <v/>
      </c>
    </row>
    <row r="417">
      <c r="A417" s="38">
        <f>IF('6 - TV Stands &amp; Enterta'!B417 = "", "", IF('6 - TV Stands &amp; Enterta-WUO_ERR'!A417 = "", "Validated", HYPERLINK("#" &amp; ADDRESS(417, '6 - TV Stands &amp; Enterta-WUO_TRK'!A417),_xlfn.TEXTAFTER('6 - TV Stands &amp; Enterta-WUO_ERR'!A417, ":"))))</f>
        <v/>
      </c>
    </row>
    <row r="418">
      <c r="A418" s="38">
        <f>IF('6 - TV Stands &amp; Enterta'!B418 = "", "", IF('6 - TV Stands &amp; Enterta-WUO_ERR'!A418 = "", "Validated", HYPERLINK("#" &amp; ADDRESS(418, '6 - TV Stands &amp; Enterta-WUO_TRK'!A418),_xlfn.TEXTAFTER('6 - TV Stands &amp; Enterta-WUO_ERR'!A418, ":"))))</f>
        <v/>
      </c>
    </row>
    <row r="419">
      <c r="A419" s="38">
        <f>IF('6 - TV Stands &amp; Enterta'!B419 = "", "", IF('6 - TV Stands &amp; Enterta-WUO_ERR'!A419 = "", "Validated", HYPERLINK("#" &amp; ADDRESS(419, '6 - TV Stands &amp; Enterta-WUO_TRK'!A419),_xlfn.TEXTAFTER('6 - TV Stands &amp; Enterta-WUO_ERR'!A419, ":"))))</f>
        <v/>
      </c>
    </row>
    <row r="420">
      <c r="A420" s="38">
        <f>IF('6 - TV Stands &amp; Enterta'!B420 = "", "", IF('6 - TV Stands &amp; Enterta-WUO_ERR'!A420 = "", "Validated", HYPERLINK("#" &amp; ADDRESS(420, '6 - TV Stands &amp; Enterta-WUO_TRK'!A420),_xlfn.TEXTAFTER('6 - TV Stands &amp; Enterta-WUO_ERR'!A420, ":"))))</f>
        <v/>
      </c>
    </row>
    <row r="421">
      <c r="A421" s="38">
        <f>IF('6 - TV Stands &amp; Enterta'!B421 = "", "", IF('6 - TV Stands &amp; Enterta-WUO_ERR'!A421 = "", "Validated", HYPERLINK("#" &amp; ADDRESS(421, '6 - TV Stands &amp; Enterta-WUO_TRK'!A421),_xlfn.TEXTAFTER('6 - TV Stands &amp; Enterta-WUO_ERR'!A421, ":"))))</f>
        <v/>
      </c>
    </row>
    <row r="422">
      <c r="A422" s="38">
        <f>IF('6 - TV Stands &amp; Enterta'!B422 = "", "", IF('6 - TV Stands &amp; Enterta-WUO_ERR'!A422 = "", "Validated", HYPERLINK("#" &amp; ADDRESS(422, '6 - TV Stands &amp; Enterta-WUO_TRK'!A422),_xlfn.TEXTAFTER('6 - TV Stands &amp; Enterta-WUO_ERR'!A422, ":"))))</f>
        <v/>
      </c>
    </row>
    <row r="423">
      <c r="A423" s="38">
        <f>IF('6 - TV Stands &amp; Enterta'!B423 = "", "", IF('6 - TV Stands &amp; Enterta-WUO_ERR'!A423 = "", "Validated", HYPERLINK("#" &amp; ADDRESS(423, '6 - TV Stands &amp; Enterta-WUO_TRK'!A423),_xlfn.TEXTAFTER('6 - TV Stands &amp; Enterta-WUO_ERR'!A423, ":"))))</f>
        <v/>
      </c>
    </row>
    <row r="424">
      <c r="A424" s="38">
        <f>IF('6 - TV Stands &amp; Enterta'!B424 = "", "", IF('6 - TV Stands &amp; Enterta-WUO_ERR'!A424 = "", "Validated", HYPERLINK("#" &amp; ADDRESS(424, '6 - TV Stands &amp; Enterta-WUO_TRK'!A424),_xlfn.TEXTAFTER('6 - TV Stands &amp; Enterta-WUO_ERR'!A424, ":"))))</f>
        <v/>
      </c>
    </row>
    <row r="425">
      <c r="A425" s="38">
        <f>IF('6 - TV Stands &amp; Enterta'!B425 = "", "", IF('6 - TV Stands &amp; Enterta-WUO_ERR'!A425 = "", "Validated", HYPERLINK("#" &amp; ADDRESS(425, '6 - TV Stands &amp; Enterta-WUO_TRK'!A425),_xlfn.TEXTAFTER('6 - TV Stands &amp; Enterta-WUO_ERR'!A425, ":"))))</f>
        <v/>
      </c>
    </row>
    <row r="426">
      <c r="A426" s="38">
        <f>IF('6 - TV Stands &amp; Enterta'!B426 = "", "", IF('6 - TV Stands &amp; Enterta-WUO_ERR'!A426 = "", "Validated", HYPERLINK("#" &amp; ADDRESS(426, '6 - TV Stands &amp; Enterta-WUO_TRK'!A426),_xlfn.TEXTAFTER('6 - TV Stands &amp; Enterta-WUO_ERR'!A426, ":"))))</f>
        <v/>
      </c>
    </row>
    <row r="427">
      <c r="A427" s="38">
        <f>IF('6 - TV Stands &amp; Enterta'!B427 = "", "", IF('6 - TV Stands &amp; Enterta-WUO_ERR'!A427 = "", "Validated", HYPERLINK("#" &amp; ADDRESS(427, '6 - TV Stands &amp; Enterta-WUO_TRK'!A427),_xlfn.TEXTAFTER('6 - TV Stands &amp; Enterta-WUO_ERR'!A427, ":"))))</f>
        <v/>
      </c>
    </row>
    <row r="428">
      <c r="A428" s="38">
        <f>IF('6 - TV Stands &amp; Enterta'!B428 = "", "", IF('6 - TV Stands &amp; Enterta-WUO_ERR'!A428 = "", "Validated", HYPERLINK("#" &amp; ADDRESS(428, '6 - TV Stands &amp; Enterta-WUO_TRK'!A428),_xlfn.TEXTAFTER('6 - TV Stands &amp; Enterta-WUO_ERR'!A428, ":"))))</f>
        <v/>
      </c>
    </row>
    <row r="429">
      <c r="A429" s="38">
        <f>IF('6 - TV Stands &amp; Enterta'!B429 = "", "", IF('6 - TV Stands &amp; Enterta-WUO_ERR'!A429 = "", "Validated", HYPERLINK("#" &amp; ADDRESS(429, '6 - TV Stands &amp; Enterta-WUO_TRK'!A429),_xlfn.TEXTAFTER('6 - TV Stands &amp; Enterta-WUO_ERR'!A429, ":"))))</f>
        <v/>
      </c>
    </row>
    <row r="430">
      <c r="A430" s="38">
        <f>IF('6 - TV Stands &amp; Enterta'!B430 = "", "", IF('6 - TV Stands &amp; Enterta-WUO_ERR'!A430 = "", "Validated", HYPERLINK("#" &amp; ADDRESS(430, '6 - TV Stands &amp; Enterta-WUO_TRK'!A430),_xlfn.TEXTAFTER('6 - TV Stands &amp; Enterta-WUO_ERR'!A430, ":"))))</f>
        <v/>
      </c>
    </row>
    <row r="431">
      <c r="A431" s="38">
        <f>IF('6 - TV Stands &amp; Enterta'!B431 = "", "", IF('6 - TV Stands &amp; Enterta-WUO_ERR'!A431 = "", "Validated", HYPERLINK("#" &amp; ADDRESS(431, '6 - TV Stands &amp; Enterta-WUO_TRK'!A431),_xlfn.TEXTAFTER('6 - TV Stands &amp; Enterta-WUO_ERR'!A431, ":"))))</f>
        <v/>
      </c>
    </row>
    <row r="432">
      <c r="A432" s="38">
        <f>IF('6 - TV Stands &amp; Enterta'!B432 = "", "", IF('6 - TV Stands &amp; Enterta-WUO_ERR'!A432 = "", "Validated", HYPERLINK("#" &amp; ADDRESS(432, '6 - TV Stands &amp; Enterta-WUO_TRK'!A432),_xlfn.TEXTAFTER('6 - TV Stands &amp; Enterta-WUO_ERR'!A432, ":"))))</f>
        <v/>
      </c>
    </row>
    <row r="433">
      <c r="A433" s="38">
        <f>IF('6 - TV Stands &amp; Enterta'!B433 = "", "", IF('6 - TV Stands &amp; Enterta-WUO_ERR'!A433 = "", "Validated", HYPERLINK("#" &amp; ADDRESS(433, '6 - TV Stands &amp; Enterta-WUO_TRK'!A433),_xlfn.TEXTAFTER('6 - TV Stands &amp; Enterta-WUO_ERR'!A433, ":"))))</f>
        <v/>
      </c>
    </row>
    <row r="434">
      <c r="A434" s="38">
        <f>IF('6 - TV Stands &amp; Enterta'!B434 = "", "", IF('6 - TV Stands &amp; Enterta-WUO_ERR'!A434 = "", "Validated", HYPERLINK("#" &amp; ADDRESS(434, '6 - TV Stands &amp; Enterta-WUO_TRK'!A434),_xlfn.TEXTAFTER('6 - TV Stands &amp; Enterta-WUO_ERR'!A434, ":"))))</f>
        <v/>
      </c>
    </row>
    <row r="435">
      <c r="A435" s="38">
        <f>IF('6 - TV Stands &amp; Enterta'!B435 = "", "", IF('6 - TV Stands &amp; Enterta-WUO_ERR'!A435 = "", "Validated", HYPERLINK("#" &amp; ADDRESS(435, '6 - TV Stands &amp; Enterta-WUO_TRK'!A435),_xlfn.TEXTAFTER('6 - TV Stands &amp; Enterta-WUO_ERR'!A435, ":"))))</f>
        <v/>
      </c>
    </row>
    <row r="436">
      <c r="A436" s="38">
        <f>IF('6 - TV Stands &amp; Enterta'!B436 = "", "", IF('6 - TV Stands &amp; Enterta-WUO_ERR'!A436 = "", "Validated", HYPERLINK("#" &amp; ADDRESS(436, '6 - TV Stands &amp; Enterta-WUO_TRK'!A436),_xlfn.TEXTAFTER('6 - TV Stands &amp; Enterta-WUO_ERR'!A436, ":"))))</f>
        <v/>
      </c>
    </row>
    <row r="437">
      <c r="A437" s="38">
        <f>IF('6 - TV Stands &amp; Enterta'!B437 = "", "", IF('6 - TV Stands &amp; Enterta-WUO_ERR'!A437 = "", "Validated", HYPERLINK("#" &amp; ADDRESS(437, '6 - TV Stands &amp; Enterta-WUO_TRK'!A437),_xlfn.TEXTAFTER('6 - TV Stands &amp; Enterta-WUO_ERR'!A437, ":"))))</f>
        <v/>
      </c>
    </row>
    <row r="438">
      <c r="A438" s="38">
        <f>IF('6 - TV Stands &amp; Enterta'!B438 = "", "", IF('6 - TV Stands &amp; Enterta-WUO_ERR'!A438 = "", "Validated", HYPERLINK("#" &amp; ADDRESS(438, '6 - TV Stands &amp; Enterta-WUO_TRK'!A438),_xlfn.TEXTAFTER('6 - TV Stands &amp; Enterta-WUO_ERR'!A438, ":"))))</f>
        <v/>
      </c>
    </row>
    <row r="439">
      <c r="A439" s="38">
        <f>IF('6 - TV Stands &amp; Enterta'!B439 = "", "", IF('6 - TV Stands &amp; Enterta-WUO_ERR'!A439 = "", "Validated", HYPERLINK("#" &amp; ADDRESS(439, '6 - TV Stands &amp; Enterta-WUO_TRK'!A439),_xlfn.TEXTAFTER('6 - TV Stands &amp; Enterta-WUO_ERR'!A439, ":"))))</f>
        <v/>
      </c>
    </row>
    <row r="440">
      <c r="A440" s="38">
        <f>IF('6 - TV Stands &amp; Enterta'!B440 = "", "", IF('6 - TV Stands &amp; Enterta-WUO_ERR'!A440 = "", "Validated", HYPERLINK("#" &amp; ADDRESS(440, '6 - TV Stands &amp; Enterta-WUO_TRK'!A440),_xlfn.TEXTAFTER('6 - TV Stands &amp; Enterta-WUO_ERR'!A440, ":"))))</f>
        <v/>
      </c>
    </row>
    <row r="441">
      <c r="A441" s="38">
        <f>IF('6 - TV Stands &amp; Enterta'!B441 = "", "", IF('6 - TV Stands &amp; Enterta-WUO_ERR'!A441 = "", "Validated", HYPERLINK("#" &amp; ADDRESS(441, '6 - TV Stands &amp; Enterta-WUO_TRK'!A441),_xlfn.TEXTAFTER('6 - TV Stands &amp; Enterta-WUO_ERR'!A441, ":"))))</f>
        <v/>
      </c>
    </row>
    <row r="442">
      <c r="A442" s="38">
        <f>IF('6 - TV Stands &amp; Enterta'!B442 = "", "", IF('6 - TV Stands &amp; Enterta-WUO_ERR'!A442 = "", "Validated", HYPERLINK("#" &amp; ADDRESS(442, '6 - TV Stands &amp; Enterta-WUO_TRK'!A442),_xlfn.TEXTAFTER('6 - TV Stands &amp; Enterta-WUO_ERR'!A442, ":"))))</f>
        <v/>
      </c>
    </row>
    <row r="443">
      <c r="A443" s="38">
        <f>IF('6 - TV Stands &amp; Enterta'!B443 = "", "", IF('6 - TV Stands &amp; Enterta-WUO_ERR'!A443 = "", "Validated", HYPERLINK("#" &amp; ADDRESS(443, '6 - TV Stands &amp; Enterta-WUO_TRK'!A443),_xlfn.TEXTAFTER('6 - TV Stands &amp; Enterta-WUO_ERR'!A443, ":"))))</f>
        <v/>
      </c>
    </row>
    <row r="444">
      <c r="A444" s="38">
        <f>IF('6 - TV Stands &amp; Enterta'!B444 = "", "", IF('6 - TV Stands &amp; Enterta-WUO_ERR'!A444 = "", "Validated", HYPERLINK("#" &amp; ADDRESS(444, '6 - TV Stands &amp; Enterta-WUO_TRK'!A444),_xlfn.TEXTAFTER('6 - TV Stands &amp; Enterta-WUO_ERR'!A444, ":"))))</f>
        <v/>
      </c>
    </row>
    <row r="445">
      <c r="A445" s="38">
        <f>IF('6 - TV Stands &amp; Enterta'!B445 = "", "", IF('6 - TV Stands &amp; Enterta-WUO_ERR'!A445 = "", "Validated", HYPERLINK("#" &amp; ADDRESS(445, '6 - TV Stands &amp; Enterta-WUO_TRK'!A445),_xlfn.TEXTAFTER('6 - TV Stands &amp; Enterta-WUO_ERR'!A445, ":"))))</f>
        <v/>
      </c>
    </row>
    <row r="446">
      <c r="A446" s="38">
        <f>IF('6 - TV Stands &amp; Enterta'!B446 = "", "", IF('6 - TV Stands &amp; Enterta-WUO_ERR'!A446 = "", "Validated", HYPERLINK("#" &amp; ADDRESS(446, '6 - TV Stands &amp; Enterta-WUO_TRK'!A446),_xlfn.TEXTAFTER('6 - TV Stands &amp; Enterta-WUO_ERR'!A446, ":"))))</f>
        <v/>
      </c>
    </row>
    <row r="447">
      <c r="A447" s="38">
        <f>IF('6 - TV Stands &amp; Enterta'!B447 = "", "", IF('6 - TV Stands &amp; Enterta-WUO_ERR'!A447 = "", "Validated", HYPERLINK("#" &amp; ADDRESS(447, '6 - TV Stands &amp; Enterta-WUO_TRK'!A447),_xlfn.TEXTAFTER('6 - TV Stands &amp; Enterta-WUO_ERR'!A447, ":"))))</f>
        <v/>
      </c>
    </row>
    <row r="448">
      <c r="A448" s="38">
        <f>IF('6 - TV Stands &amp; Enterta'!B448 = "", "", IF('6 - TV Stands &amp; Enterta-WUO_ERR'!A448 = "", "Validated", HYPERLINK("#" &amp; ADDRESS(448, '6 - TV Stands &amp; Enterta-WUO_TRK'!A448),_xlfn.TEXTAFTER('6 - TV Stands &amp; Enterta-WUO_ERR'!A448, ":"))))</f>
        <v/>
      </c>
    </row>
    <row r="449">
      <c r="A449" s="38">
        <f>IF('6 - TV Stands &amp; Enterta'!B449 = "", "", IF('6 - TV Stands &amp; Enterta-WUO_ERR'!A449 = "", "Validated", HYPERLINK("#" &amp; ADDRESS(449, '6 - TV Stands &amp; Enterta-WUO_TRK'!A449),_xlfn.TEXTAFTER('6 - TV Stands &amp; Enterta-WUO_ERR'!A449, ":"))))</f>
        <v/>
      </c>
    </row>
    <row r="450">
      <c r="A450" s="38">
        <f>IF('6 - TV Stands &amp; Enterta'!B450 = "", "", IF('6 - TV Stands &amp; Enterta-WUO_ERR'!A450 = "", "Validated", HYPERLINK("#" &amp; ADDRESS(450, '6 - TV Stands &amp; Enterta-WUO_TRK'!A450),_xlfn.TEXTAFTER('6 - TV Stands &amp; Enterta-WUO_ERR'!A450, ":"))))</f>
        <v/>
      </c>
    </row>
    <row r="451">
      <c r="A451" s="38">
        <f>IF('6 - TV Stands &amp; Enterta'!B451 = "", "", IF('6 - TV Stands &amp; Enterta-WUO_ERR'!A451 = "", "Validated", HYPERLINK("#" &amp; ADDRESS(451, '6 - TV Stands &amp; Enterta-WUO_TRK'!A451),_xlfn.TEXTAFTER('6 - TV Stands &amp; Enterta-WUO_ERR'!A451, ":"))))</f>
        <v/>
      </c>
    </row>
    <row r="452">
      <c r="A452" s="38">
        <f>IF('6 - TV Stands &amp; Enterta'!B452 = "", "", IF('6 - TV Stands &amp; Enterta-WUO_ERR'!A452 = "", "Validated", HYPERLINK("#" &amp; ADDRESS(452, '6 - TV Stands &amp; Enterta-WUO_TRK'!A452),_xlfn.TEXTAFTER('6 - TV Stands &amp; Enterta-WUO_ERR'!A452, ":"))))</f>
        <v/>
      </c>
    </row>
    <row r="453">
      <c r="A453" s="38">
        <f>IF('6 - TV Stands &amp; Enterta'!B453 = "", "", IF('6 - TV Stands &amp; Enterta-WUO_ERR'!A453 = "", "Validated", HYPERLINK("#" &amp; ADDRESS(453, '6 - TV Stands &amp; Enterta-WUO_TRK'!A453),_xlfn.TEXTAFTER('6 - TV Stands &amp; Enterta-WUO_ERR'!A453, ":"))))</f>
        <v/>
      </c>
    </row>
    <row r="454">
      <c r="A454" s="38">
        <f>IF('6 - TV Stands &amp; Enterta'!B454 = "", "", IF('6 - TV Stands &amp; Enterta-WUO_ERR'!A454 = "", "Validated", HYPERLINK("#" &amp; ADDRESS(454, '6 - TV Stands &amp; Enterta-WUO_TRK'!A454),_xlfn.TEXTAFTER('6 - TV Stands &amp; Enterta-WUO_ERR'!A454, ":"))))</f>
        <v/>
      </c>
    </row>
    <row r="455">
      <c r="A455" s="38">
        <f>IF('6 - TV Stands &amp; Enterta'!B455 = "", "", IF('6 - TV Stands &amp; Enterta-WUO_ERR'!A455 = "", "Validated", HYPERLINK("#" &amp; ADDRESS(455, '6 - TV Stands &amp; Enterta-WUO_TRK'!A455),_xlfn.TEXTAFTER('6 - TV Stands &amp; Enterta-WUO_ERR'!A455, ":"))))</f>
        <v/>
      </c>
    </row>
    <row r="456">
      <c r="A456" s="38">
        <f>IF('6 - TV Stands &amp; Enterta'!B456 = "", "", IF('6 - TV Stands &amp; Enterta-WUO_ERR'!A456 = "", "Validated", HYPERLINK("#" &amp; ADDRESS(456, '6 - TV Stands &amp; Enterta-WUO_TRK'!A456),_xlfn.TEXTAFTER('6 - TV Stands &amp; Enterta-WUO_ERR'!A456, ":"))))</f>
        <v/>
      </c>
    </row>
    <row r="457">
      <c r="A457" s="38">
        <f>IF('6 - TV Stands &amp; Enterta'!B457 = "", "", IF('6 - TV Stands &amp; Enterta-WUO_ERR'!A457 = "", "Validated", HYPERLINK("#" &amp; ADDRESS(457, '6 - TV Stands &amp; Enterta-WUO_TRK'!A457),_xlfn.TEXTAFTER('6 - TV Stands &amp; Enterta-WUO_ERR'!A457, ":"))))</f>
        <v/>
      </c>
    </row>
    <row r="458">
      <c r="A458" s="38">
        <f>IF('6 - TV Stands &amp; Enterta'!B458 = "", "", IF('6 - TV Stands &amp; Enterta-WUO_ERR'!A458 = "", "Validated", HYPERLINK("#" &amp; ADDRESS(458, '6 - TV Stands &amp; Enterta-WUO_TRK'!A458),_xlfn.TEXTAFTER('6 - TV Stands &amp; Enterta-WUO_ERR'!A458, ":"))))</f>
        <v/>
      </c>
    </row>
    <row r="459">
      <c r="A459" s="38">
        <f>IF('6 - TV Stands &amp; Enterta'!B459 = "", "", IF('6 - TV Stands &amp; Enterta-WUO_ERR'!A459 = "", "Validated", HYPERLINK("#" &amp; ADDRESS(459, '6 - TV Stands &amp; Enterta-WUO_TRK'!A459),_xlfn.TEXTAFTER('6 - TV Stands &amp; Enterta-WUO_ERR'!A459, ":"))))</f>
        <v/>
      </c>
    </row>
    <row r="460">
      <c r="A460" s="38">
        <f>IF('6 - TV Stands &amp; Enterta'!B460 = "", "", IF('6 - TV Stands &amp; Enterta-WUO_ERR'!A460 = "", "Validated", HYPERLINK("#" &amp; ADDRESS(460, '6 - TV Stands &amp; Enterta-WUO_TRK'!A460),_xlfn.TEXTAFTER('6 - TV Stands &amp; Enterta-WUO_ERR'!A460, ":"))))</f>
        <v/>
      </c>
    </row>
    <row r="461">
      <c r="A461" s="38">
        <f>IF('6 - TV Stands &amp; Enterta'!B461 = "", "", IF('6 - TV Stands &amp; Enterta-WUO_ERR'!A461 = "", "Validated", HYPERLINK("#" &amp; ADDRESS(461, '6 - TV Stands &amp; Enterta-WUO_TRK'!A461),_xlfn.TEXTAFTER('6 - TV Stands &amp; Enterta-WUO_ERR'!A461, ":"))))</f>
        <v/>
      </c>
    </row>
    <row r="462">
      <c r="A462" s="38">
        <f>IF('6 - TV Stands &amp; Enterta'!B462 = "", "", IF('6 - TV Stands &amp; Enterta-WUO_ERR'!A462 = "", "Validated", HYPERLINK("#" &amp; ADDRESS(462, '6 - TV Stands &amp; Enterta-WUO_TRK'!A462),_xlfn.TEXTAFTER('6 - TV Stands &amp; Enterta-WUO_ERR'!A462, ":"))))</f>
        <v/>
      </c>
    </row>
    <row r="463">
      <c r="A463" s="38">
        <f>IF('6 - TV Stands &amp; Enterta'!B463 = "", "", IF('6 - TV Stands &amp; Enterta-WUO_ERR'!A463 = "", "Validated", HYPERLINK("#" &amp; ADDRESS(463, '6 - TV Stands &amp; Enterta-WUO_TRK'!A463),_xlfn.TEXTAFTER('6 - TV Stands &amp; Enterta-WUO_ERR'!A463, ":"))))</f>
        <v/>
      </c>
    </row>
    <row r="464">
      <c r="A464" s="38">
        <f>IF('6 - TV Stands &amp; Enterta'!B464 = "", "", IF('6 - TV Stands &amp; Enterta-WUO_ERR'!A464 = "", "Validated", HYPERLINK("#" &amp; ADDRESS(464, '6 - TV Stands &amp; Enterta-WUO_TRK'!A464),_xlfn.TEXTAFTER('6 - TV Stands &amp; Enterta-WUO_ERR'!A464, ":"))))</f>
        <v/>
      </c>
    </row>
    <row r="465">
      <c r="A465" s="38">
        <f>IF('6 - TV Stands &amp; Enterta'!B465 = "", "", IF('6 - TV Stands &amp; Enterta-WUO_ERR'!A465 = "", "Validated", HYPERLINK("#" &amp; ADDRESS(465, '6 - TV Stands &amp; Enterta-WUO_TRK'!A465),_xlfn.TEXTAFTER('6 - TV Stands &amp; Enterta-WUO_ERR'!A465, ":"))))</f>
        <v/>
      </c>
    </row>
    <row r="466">
      <c r="A466" s="38">
        <f>IF('6 - TV Stands &amp; Enterta'!B466 = "", "", IF('6 - TV Stands &amp; Enterta-WUO_ERR'!A466 = "", "Validated", HYPERLINK("#" &amp; ADDRESS(466, '6 - TV Stands &amp; Enterta-WUO_TRK'!A466),_xlfn.TEXTAFTER('6 - TV Stands &amp; Enterta-WUO_ERR'!A466, ":"))))</f>
        <v/>
      </c>
    </row>
    <row r="467">
      <c r="A467" s="38">
        <f>IF('6 - TV Stands &amp; Enterta'!B467 = "", "", IF('6 - TV Stands &amp; Enterta-WUO_ERR'!A467 = "", "Validated", HYPERLINK("#" &amp; ADDRESS(467, '6 - TV Stands &amp; Enterta-WUO_TRK'!A467),_xlfn.TEXTAFTER('6 - TV Stands &amp; Enterta-WUO_ERR'!A467, ":"))))</f>
        <v/>
      </c>
    </row>
    <row r="468">
      <c r="A468" s="38">
        <f>IF('6 - TV Stands &amp; Enterta'!B468 = "", "", IF('6 - TV Stands &amp; Enterta-WUO_ERR'!A468 = "", "Validated", HYPERLINK("#" &amp; ADDRESS(468, '6 - TV Stands &amp; Enterta-WUO_TRK'!A468),_xlfn.TEXTAFTER('6 - TV Stands &amp; Enterta-WUO_ERR'!A468, ":"))))</f>
        <v/>
      </c>
    </row>
    <row r="469">
      <c r="A469" s="38">
        <f>IF('6 - TV Stands &amp; Enterta'!B469 = "", "", IF('6 - TV Stands &amp; Enterta-WUO_ERR'!A469 = "", "Validated", HYPERLINK("#" &amp; ADDRESS(469, '6 - TV Stands &amp; Enterta-WUO_TRK'!A469),_xlfn.TEXTAFTER('6 - TV Stands &amp; Enterta-WUO_ERR'!A469, ":"))))</f>
        <v/>
      </c>
    </row>
    <row r="470">
      <c r="A470" s="38">
        <f>IF('6 - TV Stands &amp; Enterta'!B470 = "", "", IF('6 - TV Stands &amp; Enterta-WUO_ERR'!A470 = "", "Validated", HYPERLINK("#" &amp; ADDRESS(470, '6 - TV Stands &amp; Enterta-WUO_TRK'!A470),_xlfn.TEXTAFTER('6 - TV Stands &amp; Enterta-WUO_ERR'!A470, ":"))))</f>
        <v/>
      </c>
    </row>
    <row r="471">
      <c r="A471" s="38">
        <f>IF('6 - TV Stands &amp; Enterta'!B471 = "", "", IF('6 - TV Stands &amp; Enterta-WUO_ERR'!A471 = "", "Validated", HYPERLINK("#" &amp; ADDRESS(471, '6 - TV Stands &amp; Enterta-WUO_TRK'!A471),_xlfn.TEXTAFTER('6 - TV Stands &amp; Enterta-WUO_ERR'!A471, ":"))))</f>
        <v/>
      </c>
    </row>
    <row r="472">
      <c r="A472" s="38">
        <f>IF('6 - TV Stands &amp; Enterta'!B472 = "", "", IF('6 - TV Stands &amp; Enterta-WUO_ERR'!A472 = "", "Validated", HYPERLINK("#" &amp; ADDRESS(472, '6 - TV Stands &amp; Enterta-WUO_TRK'!A472),_xlfn.TEXTAFTER('6 - TV Stands &amp; Enterta-WUO_ERR'!A472, ":"))))</f>
        <v/>
      </c>
    </row>
    <row r="473">
      <c r="A473" s="38">
        <f>IF('6 - TV Stands &amp; Enterta'!B473 = "", "", IF('6 - TV Stands &amp; Enterta-WUO_ERR'!A473 = "", "Validated", HYPERLINK("#" &amp; ADDRESS(473, '6 - TV Stands &amp; Enterta-WUO_TRK'!A473),_xlfn.TEXTAFTER('6 - TV Stands &amp; Enterta-WUO_ERR'!A473, ":"))))</f>
        <v/>
      </c>
    </row>
    <row r="474">
      <c r="A474" s="38">
        <f>IF('6 - TV Stands &amp; Enterta'!B474 = "", "", IF('6 - TV Stands &amp; Enterta-WUO_ERR'!A474 = "", "Validated", HYPERLINK("#" &amp; ADDRESS(474, '6 - TV Stands &amp; Enterta-WUO_TRK'!A474),_xlfn.TEXTAFTER('6 - TV Stands &amp; Enterta-WUO_ERR'!A474, ":"))))</f>
        <v/>
      </c>
    </row>
    <row r="475">
      <c r="A475" s="38">
        <f>IF('6 - TV Stands &amp; Enterta'!B475 = "", "", IF('6 - TV Stands &amp; Enterta-WUO_ERR'!A475 = "", "Validated", HYPERLINK("#" &amp; ADDRESS(475, '6 - TV Stands &amp; Enterta-WUO_TRK'!A475),_xlfn.TEXTAFTER('6 - TV Stands &amp; Enterta-WUO_ERR'!A475, ":"))))</f>
        <v/>
      </c>
    </row>
    <row r="476">
      <c r="A476" s="38">
        <f>IF('6 - TV Stands &amp; Enterta'!B476 = "", "", IF('6 - TV Stands &amp; Enterta-WUO_ERR'!A476 = "", "Validated", HYPERLINK("#" &amp; ADDRESS(476, '6 - TV Stands &amp; Enterta-WUO_TRK'!A476),_xlfn.TEXTAFTER('6 - TV Stands &amp; Enterta-WUO_ERR'!A476, ":"))))</f>
        <v/>
      </c>
    </row>
    <row r="477">
      <c r="A477" s="38">
        <f>IF('6 - TV Stands &amp; Enterta'!B477 = "", "", IF('6 - TV Stands &amp; Enterta-WUO_ERR'!A477 = "", "Validated", HYPERLINK("#" &amp; ADDRESS(477, '6 - TV Stands &amp; Enterta-WUO_TRK'!A477),_xlfn.TEXTAFTER('6 - TV Stands &amp; Enterta-WUO_ERR'!A477, ":"))))</f>
        <v/>
      </c>
    </row>
    <row r="478">
      <c r="A478" s="38">
        <f>IF('6 - TV Stands &amp; Enterta'!B478 = "", "", IF('6 - TV Stands &amp; Enterta-WUO_ERR'!A478 = "", "Validated", HYPERLINK("#" &amp; ADDRESS(478, '6 - TV Stands &amp; Enterta-WUO_TRK'!A478),_xlfn.TEXTAFTER('6 - TV Stands &amp; Enterta-WUO_ERR'!A478, ":"))))</f>
        <v/>
      </c>
    </row>
    <row r="479">
      <c r="A479" s="38">
        <f>IF('6 - TV Stands &amp; Enterta'!B479 = "", "", IF('6 - TV Stands &amp; Enterta-WUO_ERR'!A479 = "", "Validated", HYPERLINK("#" &amp; ADDRESS(479, '6 - TV Stands &amp; Enterta-WUO_TRK'!A479),_xlfn.TEXTAFTER('6 - TV Stands &amp; Enterta-WUO_ERR'!A479, ":"))))</f>
        <v/>
      </c>
    </row>
    <row r="480">
      <c r="A480" s="38">
        <f>IF('6 - TV Stands &amp; Enterta'!B480 = "", "", IF('6 - TV Stands &amp; Enterta-WUO_ERR'!A480 = "", "Validated", HYPERLINK("#" &amp; ADDRESS(480, '6 - TV Stands &amp; Enterta-WUO_TRK'!A480),_xlfn.TEXTAFTER('6 - TV Stands &amp; Enterta-WUO_ERR'!A480, ":"))))</f>
        <v/>
      </c>
    </row>
    <row r="481">
      <c r="A481" s="38">
        <f>IF('6 - TV Stands &amp; Enterta'!B481 = "", "", IF('6 - TV Stands &amp; Enterta-WUO_ERR'!A481 = "", "Validated", HYPERLINK("#" &amp; ADDRESS(481, '6 - TV Stands &amp; Enterta-WUO_TRK'!A481),_xlfn.TEXTAFTER('6 - TV Stands &amp; Enterta-WUO_ERR'!A481, ":"))))</f>
        <v/>
      </c>
    </row>
    <row r="482">
      <c r="A482" s="38">
        <f>IF('6 - TV Stands &amp; Enterta'!B482 = "", "", IF('6 - TV Stands &amp; Enterta-WUO_ERR'!A482 = "", "Validated", HYPERLINK("#" &amp; ADDRESS(482, '6 - TV Stands &amp; Enterta-WUO_TRK'!A482),_xlfn.TEXTAFTER('6 - TV Stands &amp; Enterta-WUO_ERR'!A482, ":"))))</f>
        <v/>
      </c>
    </row>
    <row r="483">
      <c r="A483" s="38">
        <f>IF('6 - TV Stands &amp; Enterta'!B483 = "", "", IF('6 - TV Stands &amp; Enterta-WUO_ERR'!A483 = "", "Validated", HYPERLINK("#" &amp; ADDRESS(483, '6 - TV Stands &amp; Enterta-WUO_TRK'!A483),_xlfn.TEXTAFTER('6 - TV Stands &amp; Enterta-WUO_ERR'!A483, ":"))))</f>
        <v/>
      </c>
    </row>
    <row r="484">
      <c r="A484" s="38">
        <f>IF('6 - TV Stands &amp; Enterta'!B484 = "", "", IF('6 - TV Stands &amp; Enterta-WUO_ERR'!A484 = "", "Validated", HYPERLINK("#" &amp; ADDRESS(484, '6 - TV Stands &amp; Enterta-WUO_TRK'!A484),_xlfn.TEXTAFTER('6 - TV Stands &amp; Enterta-WUO_ERR'!A484, ":"))))</f>
        <v/>
      </c>
    </row>
    <row r="485">
      <c r="A485" s="38">
        <f>IF('6 - TV Stands &amp; Enterta'!B485 = "", "", IF('6 - TV Stands &amp; Enterta-WUO_ERR'!A485 = "", "Validated", HYPERLINK("#" &amp; ADDRESS(485, '6 - TV Stands &amp; Enterta-WUO_TRK'!A485),_xlfn.TEXTAFTER('6 - TV Stands &amp; Enterta-WUO_ERR'!A485, ":"))))</f>
        <v/>
      </c>
    </row>
    <row r="486">
      <c r="A486" s="38">
        <f>IF('6 - TV Stands &amp; Enterta'!B486 = "", "", IF('6 - TV Stands &amp; Enterta-WUO_ERR'!A486 = "", "Validated", HYPERLINK("#" &amp; ADDRESS(486, '6 - TV Stands &amp; Enterta-WUO_TRK'!A486),_xlfn.TEXTAFTER('6 - TV Stands &amp; Enterta-WUO_ERR'!A486, ":"))))</f>
        <v/>
      </c>
    </row>
    <row r="487">
      <c r="A487" s="38">
        <f>IF('6 - TV Stands &amp; Enterta'!B487 = "", "", IF('6 - TV Stands &amp; Enterta-WUO_ERR'!A487 = "", "Validated", HYPERLINK("#" &amp; ADDRESS(487, '6 - TV Stands &amp; Enterta-WUO_TRK'!A487),_xlfn.TEXTAFTER('6 - TV Stands &amp; Enterta-WUO_ERR'!A487, ":"))))</f>
        <v/>
      </c>
    </row>
    <row r="488">
      <c r="A488" s="38">
        <f>IF('6 - TV Stands &amp; Enterta'!B488 = "", "", IF('6 - TV Stands &amp; Enterta-WUO_ERR'!A488 = "", "Validated", HYPERLINK("#" &amp; ADDRESS(488, '6 - TV Stands &amp; Enterta-WUO_TRK'!A488),_xlfn.TEXTAFTER('6 - TV Stands &amp; Enterta-WUO_ERR'!A488, ":"))))</f>
        <v/>
      </c>
    </row>
    <row r="489">
      <c r="A489" s="38">
        <f>IF('6 - TV Stands &amp; Enterta'!B489 = "", "", IF('6 - TV Stands &amp; Enterta-WUO_ERR'!A489 = "", "Validated", HYPERLINK("#" &amp; ADDRESS(489, '6 - TV Stands &amp; Enterta-WUO_TRK'!A489),_xlfn.TEXTAFTER('6 - TV Stands &amp; Enterta-WUO_ERR'!A489, ":"))))</f>
        <v/>
      </c>
    </row>
    <row r="490">
      <c r="A490" s="38">
        <f>IF('6 - TV Stands &amp; Enterta'!B490 = "", "", IF('6 - TV Stands &amp; Enterta-WUO_ERR'!A490 = "", "Validated", HYPERLINK("#" &amp; ADDRESS(490, '6 - TV Stands &amp; Enterta-WUO_TRK'!A490),_xlfn.TEXTAFTER('6 - TV Stands &amp; Enterta-WUO_ERR'!A490, ":"))))</f>
        <v/>
      </c>
    </row>
    <row r="491">
      <c r="A491" s="38">
        <f>IF('6 - TV Stands &amp; Enterta'!B491 = "", "", IF('6 - TV Stands &amp; Enterta-WUO_ERR'!A491 = "", "Validated", HYPERLINK("#" &amp; ADDRESS(491, '6 - TV Stands &amp; Enterta-WUO_TRK'!A491),_xlfn.TEXTAFTER('6 - TV Stands &amp; Enterta-WUO_ERR'!A491, ":"))))</f>
        <v/>
      </c>
    </row>
    <row r="492">
      <c r="A492" s="38">
        <f>IF('6 - TV Stands &amp; Enterta'!B492 = "", "", IF('6 - TV Stands &amp; Enterta-WUO_ERR'!A492 = "", "Validated", HYPERLINK("#" &amp; ADDRESS(492, '6 - TV Stands &amp; Enterta-WUO_TRK'!A492),_xlfn.TEXTAFTER('6 - TV Stands &amp; Enterta-WUO_ERR'!A492, ":"))))</f>
        <v/>
      </c>
    </row>
    <row r="493">
      <c r="A493" s="38">
        <f>IF('6 - TV Stands &amp; Enterta'!B493 = "", "", IF('6 - TV Stands &amp; Enterta-WUO_ERR'!A493 = "", "Validated", HYPERLINK("#" &amp; ADDRESS(493, '6 - TV Stands &amp; Enterta-WUO_TRK'!A493),_xlfn.TEXTAFTER('6 - TV Stands &amp; Enterta-WUO_ERR'!A493, ":"))))</f>
        <v/>
      </c>
    </row>
    <row r="494">
      <c r="A494" s="38">
        <f>IF('6 - TV Stands &amp; Enterta'!B494 = "", "", IF('6 - TV Stands &amp; Enterta-WUO_ERR'!A494 = "", "Validated", HYPERLINK("#" &amp; ADDRESS(494, '6 - TV Stands &amp; Enterta-WUO_TRK'!A494),_xlfn.TEXTAFTER('6 - TV Stands &amp; Enterta-WUO_ERR'!A494, ":"))))</f>
        <v/>
      </c>
    </row>
    <row r="495">
      <c r="A495" s="38">
        <f>IF('6 - TV Stands &amp; Enterta'!B495 = "", "", IF('6 - TV Stands &amp; Enterta-WUO_ERR'!A495 = "", "Validated", HYPERLINK("#" &amp; ADDRESS(495, '6 - TV Stands &amp; Enterta-WUO_TRK'!A495),_xlfn.TEXTAFTER('6 - TV Stands &amp; Enterta-WUO_ERR'!A495, ":"))))</f>
        <v/>
      </c>
    </row>
    <row r="496">
      <c r="A496" s="38">
        <f>IF('6 - TV Stands &amp; Enterta'!B496 = "", "", IF('6 - TV Stands &amp; Enterta-WUO_ERR'!A496 = "", "Validated", HYPERLINK("#" &amp; ADDRESS(496, '6 - TV Stands &amp; Enterta-WUO_TRK'!A496),_xlfn.TEXTAFTER('6 - TV Stands &amp; Enterta-WUO_ERR'!A496, ":"))))</f>
        <v/>
      </c>
    </row>
    <row r="497">
      <c r="A497" s="38">
        <f>IF('6 - TV Stands &amp; Enterta'!B497 = "", "", IF('6 - TV Stands &amp; Enterta-WUO_ERR'!A497 = "", "Validated", HYPERLINK("#" &amp; ADDRESS(497, '6 - TV Stands &amp; Enterta-WUO_TRK'!A497),_xlfn.TEXTAFTER('6 - TV Stands &amp; Enterta-WUO_ERR'!A497, ":"))))</f>
        <v/>
      </c>
    </row>
    <row r="498">
      <c r="A498" s="38">
        <f>IF('6 - TV Stands &amp; Enterta'!B498 = "", "", IF('6 - TV Stands &amp; Enterta-WUO_ERR'!A498 = "", "Validated", HYPERLINK("#" &amp; ADDRESS(498, '6 - TV Stands &amp; Enterta-WUO_TRK'!A498),_xlfn.TEXTAFTER('6 - TV Stands &amp; Enterta-WUO_ERR'!A498, ":"))))</f>
        <v/>
      </c>
    </row>
    <row r="499">
      <c r="A499" s="38">
        <f>IF('6 - TV Stands &amp; Enterta'!B499 = "", "", IF('6 - TV Stands &amp; Enterta-WUO_ERR'!A499 = "", "Validated", HYPERLINK("#" &amp; ADDRESS(499, '6 - TV Stands &amp; Enterta-WUO_TRK'!A499),_xlfn.TEXTAFTER('6 - TV Stands &amp; Enterta-WUO_ERR'!A499, ":"))))</f>
        <v/>
      </c>
    </row>
    <row r="500">
      <c r="A500" s="38">
        <f>IF('6 - TV Stands &amp; Enterta'!B500 = "", "", IF('6 - TV Stands &amp; Enterta-WUO_ERR'!A500 = "", "Validated", HYPERLINK("#" &amp; ADDRESS(500, '6 - TV Stands &amp; Enterta-WUO_TRK'!A500),_xlfn.TEXTAFTER('6 - TV Stands &amp; Enterta-WUO_ERR'!A500, ":"))))</f>
        <v/>
      </c>
    </row>
    <row r="501">
      <c r="A501" s="38">
        <f>IF('6 - TV Stands &amp; Enterta'!B501 = "", "", IF('6 - TV Stands &amp; Enterta-WUO_ERR'!A501 = "", "Validated", HYPERLINK("#" &amp; ADDRESS(501, '6 - TV Stands &amp; Enterta-WUO_TRK'!A501),_xlfn.TEXTAFTER('6 - TV Stands &amp; Enterta-WUO_ERR'!A501, ":"))))</f>
        <v/>
      </c>
    </row>
    <row r="502">
      <c r="A502" s="38">
        <f>IF('6 - TV Stands &amp; Enterta'!B502 = "", "", IF('6 - TV Stands &amp; Enterta-WUO_ERR'!A502 = "", "Validated", HYPERLINK("#" &amp; ADDRESS(502, '6 - TV Stands &amp; Enterta-WUO_TRK'!A502),_xlfn.TEXTAFTER('6 - TV Stands &amp; Enterta-WUO_ERR'!A502, ":"))))</f>
        <v/>
      </c>
    </row>
    <row r="503">
      <c r="A503" s="38">
        <f>IF('6 - TV Stands &amp; Enterta'!B503 = "", "", IF('6 - TV Stands &amp; Enterta-WUO_ERR'!A503 = "", "Validated", HYPERLINK("#" &amp; ADDRESS(503, '6 - TV Stands &amp; Enterta-WUO_TRK'!A503),_xlfn.TEXTAFTER('6 - TV Stands &amp; Enterta-WUO_ERR'!A503, ":"))))</f>
        <v/>
      </c>
    </row>
    <row r="504">
      <c r="A504" s="38">
        <f>IF('6 - TV Stands &amp; Enterta'!B504 = "", "", IF('6 - TV Stands &amp; Enterta-WUO_ERR'!A504 = "", "Validated", HYPERLINK("#" &amp; ADDRESS(504, '6 - TV Stands &amp; Enterta-WUO_TRK'!A504),_xlfn.TEXTAFTER('6 - TV Stands &amp; Enterta-WUO_ERR'!A504, ":"))))</f>
        <v/>
      </c>
    </row>
    <row r="505">
      <c r="A505" s="38">
        <f>IF('6 - TV Stands &amp; Enterta'!B505 = "", "", IF('6 - TV Stands &amp; Enterta-WUO_ERR'!A505 = "", "Validated", HYPERLINK("#" &amp; ADDRESS(505, '6 - TV Stands &amp; Enterta-WUO_TRK'!A505),_xlfn.TEXTAFTER('6 - TV Stands &amp; Enterta-WUO_ERR'!A505, ":"))))</f>
        <v/>
      </c>
    </row>
    <row r="506">
      <c r="A506" s="38">
        <f>IF('6 - TV Stands &amp; Enterta'!B506 = "", "", IF('6 - TV Stands &amp; Enterta-WUO_ERR'!A506 = "", "Validated", HYPERLINK("#" &amp; ADDRESS(506, '6 - TV Stands &amp; Enterta-WUO_TRK'!A506),_xlfn.TEXTAFTER('6 - TV Stands &amp; Enterta-WUO_ERR'!A506, ":"))))</f>
        <v/>
      </c>
    </row>
    <row r="507">
      <c r="A507" s="38">
        <f>IF('6 - TV Stands &amp; Enterta'!B507 = "", "", IF('6 - TV Stands &amp; Enterta-WUO_ERR'!A507 = "", "Validated", HYPERLINK("#" &amp; ADDRESS(507, '6 - TV Stands &amp; Enterta-WUO_TRK'!A507),_xlfn.TEXTAFTER('6 - TV Stands &amp; Enterta-WUO_ERR'!A507, ":"))))</f>
        <v/>
      </c>
    </row>
  </sheetData>
  <sheetProtection selectLockedCells="0" selectUnlockedCells="0" sheet="1" objects="1" insertRows="1" insertHyperlinks="1" autoFilter="1" scenarios="1" formatColumns="0" deleteColumns="1" insertColumns="1" pivotTables="1" deleteRows="1" formatCells="1" formatRows="0" sort="1" password="E3BE"/>
  <mergeCells count="8">
    <mergeCell ref="M2:R2"/>
    <mergeCell ref="J2:L2"/>
    <mergeCell ref="S2:AC2"/>
    <mergeCell ref="B2:I2"/>
    <mergeCell ref="AH2:AK2"/>
    <mergeCell ref="BG2:ET2"/>
    <mergeCell ref="AL2:BF2"/>
    <mergeCell ref="AD2:AG2"/>
  </mergeCells>
  <conditionalFormatting sqref="A8:A507">
    <cfRule type="expression" priority="5" dxfId="4">
      <formula>A8="Validated"</formula>
    </cfRule>
    <cfRule type="expression" priority="6" dxfId="5">
      <formula>OR(COUNTIF('6 - TV Stands &amp; Enterta-WUO_TRK'!B8:EU8,"Error"),COUNTIF('6 - TV Stands &amp; Enterta-WUO_TRK'!B8:EU8,"Required"))</formula>
    </cfRule>
    <cfRule type="expression" priority="7" dxfId="6">
      <formula>COUNTIF('6 - TV Stands &amp; Enterta-WUO_TRK'!B8:EU8,"Warning")</formula>
    </cfRule>
  </conditionalFormatting>
  <conditionalFormatting sqref="AA7">
    <cfRule type="notContainsBlanks" priority="62" dxfId="7">
      <formula>LEN(TRIM(AA7))&gt;0</formula>
    </cfRule>
    <cfRule type="containsBlanks" priority="63" dxfId="8">
      <formula>LEN(TRIM(AA7))=0</formula>
    </cfRule>
  </conditionalFormatting>
  <conditionalFormatting sqref="AA8:AA2501">
    <cfRule type="expression" priority="64" dxfId="7">
      <formula>AND($AA$7&lt;&gt;"", AA8="")</formula>
    </cfRule>
  </conditionalFormatting>
  <conditionalFormatting sqref="AB7">
    <cfRule type="notContainsBlanks" priority="65" dxfId="7">
      <formula>LEN(TRIM(AB7))&gt;0</formula>
    </cfRule>
    <cfRule type="containsBlanks" priority="66" dxfId="8">
      <formula>LEN(TRIM(AB7))=0</formula>
    </cfRule>
  </conditionalFormatting>
  <conditionalFormatting sqref="AB8:AB2501">
    <cfRule type="expression" priority="67" dxfId="7">
      <formula>AND($AB$7&lt;&gt;"", AB8="")</formula>
    </cfRule>
  </conditionalFormatting>
  <conditionalFormatting sqref="AC7">
    <cfRule type="notContainsBlanks" priority="68" dxfId="7">
      <formula>LEN(TRIM(AC7))&gt;0</formula>
    </cfRule>
    <cfRule type="containsBlanks" priority="69" dxfId="8">
      <formula>LEN(TRIM(AC7))=0</formula>
    </cfRule>
  </conditionalFormatting>
  <conditionalFormatting sqref="AC8:AC2501">
    <cfRule type="expression" priority="70" dxfId="7">
      <formula>AND($AC$7&lt;&gt;"", AC8="")</formula>
    </cfRule>
  </conditionalFormatting>
  <conditionalFormatting sqref="AD7">
    <cfRule type="notContainsBlanks" priority="71" dxfId="7">
      <formula>LEN(TRIM(AD7))&gt;0</formula>
    </cfRule>
    <cfRule type="containsBlanks" priority="72" dxfId="8">
      <formula>LEN(TRIM(AD7))=0</formula>
    </cfRule>
  </conditionalFormatting>
  <conditionalFormatting sqref="AD8:AD2501">
    <cfRule type="expression" priority="73" dxfId="7">
      <formula>AND($AD$7&lt;&gt;"", AD8="")</formula>
    </cfRule>
  </conditionalFormatting>
  <conditionalFormatting sqref="AE7">
    <cfRule type="notContainsBlanks" priority="74" dxfId="7">
      <formula>LEN(TRIM(AE7))&gt;0</formula>
    </cfRule>
    <cfRule type="containsBlanks" priority="75" dxfId="8">
      <formula>LEN(TRIM(AE7))=0</formula>
    </cfRule>
  </conditionalFormatting>
  <conditionalFormatting sqref="AE8:AE2501">
    <cfRule type="expression" priority="76" dxfId="7">
      <formula>AND($AE$7&lt;&gt;"", AE8="")</formula>
    </cfRule>
  </conditionalFormatting>
  <conditionalFormatting sqref="AF7">
    <cfRule type="notContainsBlanks" priority="77" dxfId="7">
      <formula>LEN(TRIM(AF7))&gt;0</formula>
    </cfRule>
    <cfRule type="containsBlanks" priority="78" dxfId="8">
      <formula>LEN(TRIM(AF7))=0</formula>
    </cfRule>
  </conditionalFormatting>
  <conditionalFormatting sqref="AF8:AF2501">
    <cfRule type="expression" priority="79" dxfId="7">
      <formula>AND($AF$7&lt;&gt;"", AF8="")</formula>
    </cfRule>
  </conditionalFormatting>
  <conditionalFormatting sqref="AG7">
    <cfRule type="notContainsBlanks" priority="80" dxfId="7">
      <formula>LEN(TRIM(AG7))&gt;0</formula>
    </cfRule>
    <cfRule type="containsBlanks" priority="81" dxfId="8">
      <formula>LEN(TRIM(AG7))=0</formula>
    </cfRule>
  </conditionalFormatting>
  <conditionalFormatting sqref="AG8:AG2501">
    <cfRule type="expression" priority="82" dxfId="7">
      <formula>AND($AG$7&lt;&gt;"", AG8="")</formula>
    </cfRule>
  </conditionalFormatting>
  <conditionalFormatting sqref="AH7">
    <cfRule type="notContainsBlanks" priority="83" dxfId="7">
      <formula>LEN(TRIM(AH7))&gt;0</formula>
    </cfRule>
    <cfRule type="containsBlanks" priority="84" dxfId="8">
      <formula>LEN(TRIM(AH7))=0</formula>
    </cfRule>
  </conditionalFormatting>
  <conditionalFormatting sqref="AH8:AH2501">
    <cfRule type="expression" priority="85" dxfId="7">
      <formula>AND($AH$7&lt;&gt;"", AH8="")</formula>
    </cfRule>
  </conditionalFormatting>
  <conditionalFormatting sqref="AI7">
    <cfRule type="notContainsBlanks" priority="86" dxfId="7">
      <formula>LEN(TRIM(AI7))&gt;0</formula>
    </cfRule>
    <cfRule type="containsBlanks" priority="87" dxfId="8">
      <formula>LEN(TRIM(AI7))=0</formula>
    </cfRule>
  </conditionalFormatting>
  <conditionalFormatting sqref="AI8:AI2501">
    <cfRule type="expression" priority="88" dxfId="7">
      <formula>AND($AI$7&lt;&gt;"", AI8="")</formula>
    </cfRule>
  </conditionalFormatting>
  <conditionalFormatting sqref="AJ7">
    <cfRule type="notContainsBlanks" priority="89" dxfId="7">
      <formula>LEN(TRIM(AJ7))&gt;0</formula>
    </cfRule>
    <cfRule type="containsBlanks" priority="90" dxfId="8">
      <formula>LEN(TRIM(AJ7))=0</formula>
    </cfRule>
  </conditionalFormatting>
  <conditionalFormatting sqref="AJ8:AJ2501">
    <cfRule type="expression" priority="91" dxfId="7">
      <formula>AND($AJ$7&lt;&gt;"", AJ8="")</formula>
    </cfRule>
  </conditionalFormatting>
  <conditionalFormatting sqref="AK7">
    <cfRule type="notContainsBlanks" priority="92" dxfId="7">
      <formula>LEN(TRIM(AK7))&gt;0</formula>
    </cfRule>
    <cfRule type="containsBlanks" priority="93" dxfId="8">
      <formula>LEN(TRIM(AK7))=0</formula>
    </cfRule>
  </conditionalFormatting>
  <conditionalFormatting sqref="AK8:AK2501">
    <cfRule type="expression" priority="94" dxfId="7">
      <formula>AND($AK$7&lt;&gt;"", AK8="")</formula>
    </cfRule>
  </conditionalFormatting>
  <conditionalFormatting sqref="AR7">
    <cfRule type="notContainsBlanks" priority="95" dxfId="7">
      <formula>LEN(TRIM(AR7))&gt;0</formula>
    </cfRule>
    <cfRule type="containsBlanks" priority="96" dxfId="8">
      <formula>LEN(TRIM(AR7))=0</formula>
    </cfRule>
  </conditionalFormatting>
  <conditionalFormatting sqref="AR8:AR2501">
    <cfRule type="expression" priority="97" dxfId="7">
      <formula>AND($AR$7&lt;&gt;"", AR8="")</formula>
    </cfRule>
  </conditionalFormatting>
  <conditionalFormatting sqref="AS7">
    <cfRule type="notContainsBlanks" priority="98" dxfId="7">
      <formula>LEN(TRIM(AS7))&gt;0</formula>
    </cfRule>
    <cfRule type="containsBlanks" priority="99" dxfId="8">
      <formula>LEN(TRIM(AS7))=0</formula>
    </cfRule>
  </conditionalFormatting>
  <conditionalFormatting sqref="AS8:AS2501">
    <cfRule type="expression" priority="100" dxfId="7">
      <formula>AND($AS$7&lt;&gt;"", AS8="")</formula>
    </cfRule>
  </conditionalFormatting>
  <conditionalFormatting sqref="AT7">
    <cfRule type="notContainsBlanks" priority="101" dxfId="7">
      <formula>LEN(TRIM(AT7))&gt;0</formula>
    </cfRule>
    <cfRule type="containsBlanks" priority="102" dxfId="8">
      <formula>LEN(TRIM(AT7))=0</formula>
    </cfRule>
  </conditionalFormatting>
  <conditionalFormatting sqref="AT8:AT2501">
    <cfRule type="expression" priority="103" dxfId="7">
      <formula>AND($AT$7&lt;&gt;"", AT8="")</formula>
    </cfRule>
  </conditionalFormatting>
  <conditionalFormatting sqref="AU7">
    <cfRule type="notContainsBlanks" priority="104" dxfId="7">
      <formula>LEN(TRIM(AU7))&gt;0</formula>
    </cfRule>
    <cfRule type="containsBlanks" priority="105" dxfId="8">
      <formula>LEN(TRIM(AU7))=0</formula>
    </cfRule>
  </conditionalFormatting>
  <conditionalFormatting sqref="AU8:AU2501">
    <cfRule type="expression" priority="106" dxfId="7">
      <formula>AND($AU$7&lt;&gt;"", AU8="")</formula>
    </cfRule>
  </conditionalFormatting>
  <conditionalFormatting sqref="AV7">
    <cfRule type="notContainsBlanks" priority="107" dxfId="7">
      <formula>LEN(TRIM(AV7))&gt;0</formula>
    </cfRule>
    <cfRule type="containsBlanks" priority="108" dxfId="8">
      <formula>LEN(TRIM(AV7))=0</formula>
    </cfRule>
  </conditionalFormatting>
  <conditionalFormatting sqref="AV8:AV2501">
    <cfRule type="expression" priority="109" dxfId="7">
      <formula>AND($AV$7&lt;&gt;"", AV8="")</formula>
    </cfRule>
  </conditionalFormatting>
  <conditionalFormatting sqref="AW7">
    <cfRule type="notContainsBlanks" priority="110" dxfId="7">
      <formula>LEN(TRIM(AW7))&gt;0</formula>
    </cfRule>
    <cfRule type="containsBlanks" priority="111" dxfId="8">
      <formula>LEN(TRIM(AW7))=0</formula>
    </cfRule>
  </conditionalFormatting>
  <conditionalFormatting sqref="AW8:AW2501">
    <cfRule type="expression" priority="112" dxfId="7">
      <formula>AND($AW$7&lt;&gt;"", AW8="")</formula>
    </cfRule>
  </conditionalFormatting>
  <conditionalFormatting sqref="AX7">
    <cfRule type="notContainsBlanks" priority="113" dxfId="7">
      <formula>LEN(TRIM(AX7))&gt;0</formula>
    </cfRule>
    <cfRule type="containsBlanks" priority="114" dxfId="8">
      <formula>LEN(TRIM(AX7))=0</formula>
    </cfRule>
  </conditionalFormatting>
  <conditionalFormatting sqref="AX8:AX2501">
    <cfRule type="expression" priority="115" dxfId="7">
      <formula>AND($AX$7&lt;&gt;"", AX8="")</formula>
    </cfRule>
  </conditionalFormatting>
  <conditionalFormatting sqref="AY7">
    <cfRule type="notContainsBlanks" priority="116" dxfId="7">
      <formula>LEN(TRIM(AY7))&gt;0</formula>
    </cfRule>
    <cfRule type="containsBlanks" priority="117" dxfId="8">
      <formula>LEN(TRIM(AY7))=0</formula>
    </cfRule>
  </conditionalFormatting>
  <conditionalFormatting sqref="AY8:AY2501">
    <cfRule type="expression" priority="118" dxfId="7">
      <formula>AND($AY$7&lt;&gt;"", AY8="")</formula>
    </cfRule>
  </conditionalFormatting>
  <conditionalFormatting sqref="AZ7">
    <cfRule type="notContainsBlanks" priority="119" dxfId="7">
      <formula>LEN(TRIM(AZ7))&gt;0</formula>
    </cfRule>
    <cfRule type="containsBlanks" priority="120" dxfId="8">
      <formula>LEN(TRIM(AZ7))=0</formula>
    </cfRule>
  </conditionalFormatting>
  <conditionalFormatting sqref="AZ8:AZ2501">
    <cfRule type="expression" priority="121" dxfId="7">
      <formula>AND($AZ$7&lt;&gt;"", AZ8="")</formula>
    </cfRule>
  </conditionalFormatting>
  <conditionalFormatting sqref="B8:EU507">
    <cfRule type="expression" priority="1" dxfId="0">
      <formula>'6 - TV Stands &amp; Enterta-WUO_TRK'!B8="Error"</formula>
    </cfRule>
    <cfRule type="expression" priority="2" dxfId="1">
      <formula>'6 - TV Stands &amp; Enterta-WUO_TRK'!B8="Required"</formula>
    </cfRule>
    <cfRule type="expression" priority="3" dxfId="2">
      <formula>'6 - TV Stands &amp; Enterta-WUO_TRK'!B8="Warning"</formula>
    </cfRule>
    <cfRule type="expression" priority="4" dxfId="3">
      <formula>'6 - TV Stands &amp; Enterta-WUO_TRK'!B8="Disabled"</formula>
    </cfRule>
  </conditionalFormatting>
  <conditionalFormatting sqref="BA7">
    <cfRule type="notContainsBlanks" priority="122" dxfId="7">
      <formula>LEN(TRIM(BA7))&gt;0</formula>
    </cfRule>
    <cfRule type="containsBlanks" priority="123" dxfId="8">
      <formula>LEN(TRIM(BA7))=0</formula>
    </cfRule>
  </conditionalFormatting>
  <conditionalFormatting sqref="BA8:BA2501">
    <cfRule type="expression" priority="124" dxfId="7">
      <formula>AND($BA$7&lt;&gt;"", BA8="")</formula>
    </cfRule>
  </conditionalFormatting>
  <conditionalFormatting sqref="BB7">
    <cfRule type="notContainsBlanks" priority="125" dxfId="7">
      <formula>LEN(TRIM(BB7))&gt;0</formula>
    </cfRule>
    <cfRule type="containsBlanks" priority="126" dxfId="8">
      <formula>LEN(TRIM(BB7))=0</formula>
    </cfRule>
  </conditionalFormatting>
  <conditionalFormatting sqref="BB8:BB2501">
    <cfRule type="expression" priority="127" dxfId="7">
      <formula>AND($BB$7&lt;&gt;"", BB8="")</formula>
    </cfRule>
  </conditionalFormatting>
  <conditionalFormatting sqref="BC7">
    <cfRule type="notContainsBlanks" priority="128" dxfId="7">
      <formula>LEN(TRIM(BC7))&gt;0</formula>
    </cfRule>
    <cfRule type="containsBlanks" priority="129" dxfId="8">
      <formula>LEN(TRIM(BC7))=0</formula>
    </cfRule>
  </conditionalFormatting>
  <conditionalFormatting sqref="BC8:BC2501">
    <cfRule type="expression" priority="130" dxfId="7">
      <formula>AND($BC$7&lt;&gt;"", BC8="")</formula>
    </cfRule>
  </conditionalFormatting>
  <conditionalFormatting sqref="BD7">
    <cfRule type="notContainsBlanks" priority="131" dxfId="7">
      <formula>LEN(TRIM(BD7))&gt;0</formula>
    </cfRule>
    <cfRule type="containsBlanks" priority="132" dxfId="8">
      <formula>LEN(TRIM(BD7))=0</formula>
    </cfRule>
  </conditionalFormatting>
  <conditionalFormatting sqref="BD8:BD2501">
    <cfRule type="expression" priority="133" dxfId="7">
      <formula>AND($BD$7&lt;&gt;"", BD8="")</formula>
    </cfRule>
  </conditionalFormatting>
  <conditionalFormatting sqref="BE7">
    <cfRule type="notContainsBlanks" priority="134" dxfId="7">
      <formula>LEN(TRIM(BE7))&gt;0</formula>
    </cfRule>
    <cfRule type="containsBlanks" priority="135" dxfId="8">
      <formula>LEN(TRIM(BE7))=0</formula>
    </cfRule>
  </conditionalFormatting>
  <conditionalFormatting sqref="BE8:BE2501">
    <cfRule type="expression" priority="136" dxfId="7">
      <formula>AND($BE$7&lt;&gt;"", BE8="")</formula>
    </cfRule>
  </conditionalFormatting>
  <conditionalFormatting sqref="BF7">
    <cfRule type="notContainsBlanks" priority="137" dxfId="7">
      <formula>LEN(TRIM(BF7))&gt;0</formula>
    </cfRule>
    <cfRule type="containsBlanks" priority="138" dxfId="8">
      <formula>LEN(TRIM(BF7))=0</formula>
    </cfRule>
  </conditionalFormatting>
  <conditionalFormatting sqref="BF8:BF2501">
    <cfRule type="expression" priority="139" dxfId="7">
      <formula>AND($BF$7&lt;&gt;"", BF8="")</formula>
    </cfRule>
  </conditionalFormatting>
  <conditionalFormatting sqref="BG7">
    <cfRule type="notContainsBlanks" priority="140" dxfId="7">
      <formula>LEN(TRIM(BG7))&gt;0</formula>
    </cfRule>
    <cfRule type="containsBlanks" priority="141" dxfId="8">
      <formula>LEN(TRIM(BG7))=0</formula>
    </cfRule>
  </conditionalFormatting>
  <conditionalFormatting sqref="BG8:BG2501">
    <cfRule type="expression" priority="142" dxfId="7">
      <formula>AND($BG$7&lt;&gt;"", BG8="")</formula>
    </cfRule>
  </conditionalFormatting>
  <conditionalFormatting sqref="BH7">
    <cfRule type="notContainsBlanks" priority="143" dxfId="7">
      <formula>LEN(TRIM(BH7))&gt;0</formula>
    </cfRule>
    <cfRule type="containsBlanks" priority="144" dxfId="8">
      <formula>LEN(TRIM(BH7))=0</formula>
    </cfRule>
  </conditionalFormatting>
  <conditionalFormatting sqref="BH8:BH2501">
    <cfRule type="expression" priority="145" dxfId="7">
      <formula>AND($BH$7&lt;&gt;"", BH8="")</formula>
    </cfRule>
  </conditionalFormatting>
  <conditionalFormatting sqref="BI7">
    <cfRule type="notContainsBlanks" priority="146" dxfId="7">
      <formula>LEN(TRIM(BI7))&gt;0</formula>
    </cfRule>
    <cfRule type="containsBlanks" priority="147" dxfId="8">
      <formula>LEN(TRIM(BI7))=0</formula>
    </cfRule>
  </conditionalFormatting>
  <conditionalFormatting sqref="BI8:BI2501">
    <cfRule type="expression" priority="148" dxfId="7">
      <formula>AND($BI$7&lt;&gt;"", BI8="")</formula>
    </cfRule>
  </conditionalFormatting>
  <conditionalFormatting sqref="BJ7">
    <cfRule type="notContainsBlanks" priority="149" dxfId="7">
      <formula>LEN(TRIM(BJ7))&gt;0</formula>
    </cfRule>
    <cfRule type="containsBlanks" priority="150" dxfId="8">
      <formula>LEN(TRIM(BJ7))=0</formula>
    </cfRule>
  </conditionalFormatting>
  <conditionalFormatting sqref="BJ8:BJ2501">
    <cfRule type="expression" priority="151" dxfId="7">
      <formula>AND($BJ$7&lt;&gt;"", BJ8="")</formula>
    </cfRule>
  </conditionalFormatting>
  <conditionalFormatting sqref="BK7">
    <cfRule type="notContainsBlanks" priority="152" dxfId="7">
      <formula>LEN(TRIM(BK7))&gt;0</formula>
    </cfRule>
    <cfRule type="containsBlanks" priority="153" dxfId="8">
      <formula>LEN(TRIM(BK7))=0</formula>
    </cfRule>
  </conditionalFormatting>
  <conditionalFormatting sqref="BK8:BK2501">
    <cfRule type="expression" priority="154" dxfId="7">
      <formula>AND($BK$7&lt;&gt;"", BK8="")</formula>
    </cfRule>
  </conditionalFormatting>
  <conditionalFormatting sqref="BL7">
    <cfRule type="notContainsBlanks" priority="155" dxfId="7">
      <formula>LEN(TRIM(BL7))&gt;0</formula>
    </cfRule>
    <cfRule type="containsBlanks" priority="156" dxfId="8">
      <formula>LEN(TRIM(BL7))=0</formula>
    </cfRule>
  </conditionalFormatting>
  <conditionalFormatting sqref="BL8:BL2501">
    <cfRule type="expression" priority="157" dxfId="7">
      <formula>AND($BL$7&lt;&gt;"", BL8="")</formula>
    </cfRule>
  </conditionalFormatting>
  <conditionalFormatting sqref="BM7">
    <cfRule type="notContainsBlanks" priority="158" dxfId="7">
      <formula>LEN(TRIM(BM7))&gt;0</formula>
    </cfRule>
    <cfRule type="containsBlanks" priority="159" dxfId="8">
      <formula>LEN(TRIM(BM7))=0</formula>
    </cfRule>
  </conditionalFormatting>
  <conditionalFormatting sqref="BM8:BM2501">
    <cfRule type="expression" priority="160" dxfId="7">
      <formula>AND($BM$7&lt;&gt;"", BM8="")</formula>
    </cfRule>
  </conditionalFormatting>
  <conditionalFormatting sqref="BN7">
    <cfRule type="notContainsBlanks" priority="161" dxfId="7">
      <formula>LEN(TRIM(BN7))&gt;0</formula>
    </cfRule>
    <cfRule type="containsBlanks" priority="162" dxfId="8">
      <formula>LEN(TRIM(BN7))=0</formula>
    </cfRule>
  </conditionalFormatting>
  <conditionalFormatting sqref="BN8:BN2501">
    <cfRule type="expression" priority="163" dxfId="7">
      <formula>AND($BN$7&lt;&gt;"", BN8="")</formula>
    </cfRule>
  </conditionalFormatting>
  <conditionalFormatting sqref="BO7">
    <cfRule type="notContainsBlanks" priority="164" dxfId="7">
      <formula>LEN(TRIM(BO7))&gt;0</formula>
    </cfRule>
    <cfRule type="containsBlanks" priority="165" dxfId="8">
      <formula>LEN(TRIM(BO7))=0</formula>
    </cfRule>
  </conditionalFormatting>
  <conditionalFormatting sqref="BO8:BO2501">
    <cfRule type="expression" priority="166" dxfId="7">
      <formula>AND($BO$7&lt;&gt;"", BO8="")</formula>
    </cfRule>
  </conditionalFormatting>
  <conditionalFormatting sqref="BP7">
    <cfRule type="notContainsBlanks" priority="167" dxfId="7">
      <formula>LEN(TRIM(BP7))&gt;0</formula>
    </cfRule>
    <cfRule type="containsBlanks" priority="168" dxfId="8">
      <formula>LEN(TRIM(BP7))=0</formula>
    </cfRule>
  </conditionalFormatting>
  <conditionalFormatting sqref="BP8:BP2501">
    <cfRule type="expression" priority="169" dxfId="7">
      <formula>AND($BP$7&lt;&gt;"", BP8="")</formula>
    </cfRule>
  </conditionalFormatting>
  <conditionalFormatting sqref="BQ7">
    <cfRule type="notContainsBlanks" priority="170" dxfId="7">
      <formula>LEN(TRIM(BQ7))&gt;0</formula>
    </cfRule>
    <cfRule type="containsBlanks" priority="171" dxfId="8">
      <formula>LEN(TRIM(BQ7))=0</formula>
    </cfRule>
  </conditionalFormatting>
  <conditionalFormatting sqref="BQ8:BQ2501">
    <cfRule type="expression" priority="172" dxfId="7">
      <formula>AND($BQ$7&lt;&gt;"", BQ8="")</formula>
    </cfRule>
  </conditionalFormatting>
  <conditionalFormatting sqref="BR7">
    <cfRule type="notContainsBlanks" priority="173" dxfId="7">
      <formula>LEN(TRIM(BR7))&gt;0</formula>
    </cfRule>
    <cfRule type="containsBlanks" priority="174" dxfId="8">
      <formula>LEN(TRIM(BR7))=0</formula>
    </cfRule>
  </conditionalFormatting>
  <conditionalFormatting sqref="BR8:BR2501">
    <cfRule type="expression" priority="175" dxfId="7">
      <formula>AND($BR$7&lt;&gt;"", BR8="")</formula>
    </cfRule>
  </conditionalFormatting>
  <conditionalFormatting sqref="BS7">
    <cfRule type="notContainsBlanks" priority="176" dxfId="7">
      <formula>LEN(TRIM(BS7))&gt;0</formula>
    </cfRule>
    <cfRule type="containsBlanks" priority="177" dxfId="8">
      <formula>LEN(TRIM(BS7))=0</formula>
    </cfRule>
  </conditionalFormatting>
  <conditionalFormatting sqref="BS8:BS2501">
    <cfRule type="expression" priority="178" dxfId="7">
      <formula>AND($BS$7&lt;&gt;"", BS8="")</formula>
    </cfRule>
  </conditionalFormatting>
  <conditionalFormatting sqref="BT7">
    <cfRule type="notContainsBlanks" priority="179" dxfId="7">
      <formula>LEN(TRIM(BT7))&gt;0</formula>
    </cfRule>
    <cfRule type="containsBlanks" priority="180" dxfId="8">
      <formula>LEN(TRIM(BT7))=0</formula>
    </cfRule>
  </conditionalFormatting>
  <conditionalFormatting sqref="BT8:BT2501">
    <cfRule type="expression" priority="181" dxfId="7">
      <formula>AND($BT$7&lt;&gt;"", BT8="")</formula>
    </cfRule>
  </conditionalFormatting>
  <conditionalFormatting sqref="BU7">
    <cfRule type="notContainsBlanks" priority="182" dxfId="7">
      <formula>LEN(TRIM(BU7))&gt;0</formula>
    </cfRule>
    <cfRule type="containsBlanks" priority="183" dxfId="8">
      <formula>LEN(TRIM(BU7))=0</formula>
    </cfRule>
  </conditionalFormatting>
  <conditionalFormatting sqref="BU8:BU2501">
    <cfRule type="expression" priority="184" dxfId="7">
      <formula>AND($BU$7&lt;&gt;"", BU8="")</formula>
    </cfRule>
  </conditionalFormatting>
  <conditionalFormatting sqref="BV7">
    <cfRule type="notContainsBlanks" priority="185" dxfId="7">
      <formula>LEN(TRIM(BV7))&gt;0</formula>
    </cfRule>
    <cfRule type="containsBlanks" priority="186" dxfId="8">
      <formula>LEN(TRIM(BV7))=0</formula>
    </cfRule>
  </conditionalFormatting>
  <conditionalFormatting sqref="BV8:BV2501">
    <cfRule type="expression" priority="187" dxfId="7">
      <formula>AND($BV$7&lt;&gt;"", BV8="")</formula>
    </cfRule>
  </conditionalFormatting>
  <conditionalFormatting sqref="BW7">
    <cfRule type="notContainsBlanks" priority="188" dxfId="7">
      <formula>LEN(TRIM(BW7))&gt;0</formula>
    </cfRule>
    <cfRule type="containsBlanks" priority="189" dxfId="8">
      <formula>LEN(TRIM(BW7))=0</formula>
    </cfRule>
  </conditionalFormatting>
  <conditionalFormatting sqref="BW8:BW2501">
    <cfRule type="expression" priority="190" dxfId="7">
      <formula>AND($BW$7&lt;&gt;"", BW8="")</formula>
    </cfRule>
  </conditionalFormatting>
  <conditionalFormatting sqref="BX7">
    <cfRule type="notContainsBlanks" priority="191" dxfId="7">
      <formula>LEN(TRIM(BX7))&gt;0</formula>
    </cfRule>
    <cfRule type="containsBlanks" priority="192" dxfId="8">
      <formula>LEN(TRIM(BX7))=0</formula>
    </cfRule>
  </conditionalFormatting>
  <conditionalFormatting sqref="BX8:BX2501">
    <cfRule type="expression" priority="193" dxfId="7">
      <formula>AND($BX$7&lt;&gt;"", BX8="")</formula>
    </cfRule>
  </conditionalFormatting>
  <conditionalFormatting sqref="BY7">
    <cfRule type="notContainsBlanks" priority="194" dxfId="7">
      <formula>LEN(TRIM(BY7))&gt;0</formula>
    </cfRule>
    <cfRule type="containsBlanks" priority="195" dxfId="8">
      <formula>LEN(TRIM(BY7))=0</formula>
    </cfRule>
  </conditionalFormatting>
  <conditionalFormatting sqref="BY8:BY2501">
    <cfRule type="expression" priority="196" dxfId="7">
      <formula>AND($BY$7&lt;&gt;"", BY8="")</formula>
    </cfRule>
  </conditionalFormatting>
  <conditionalFormatting sqref="BZ7">
    <cfRule type="notContainsBlanks" priority="197" dxfId="7">
      <formula>LEN(TRIM(BZ7))&gt;0</formula>
    </cfRule>
    <cfRule type="containsBlanks" priority="198" dxfId="8">
      <formula>LEN(TRIM(BZ7))=0</formula>
    </cfRule>
  </conditionalFormatting>
  <conditionalFormatting sqref="BZ8:BZ2501">
    <cfRule type="expression" priority="199" dxfId="7">
      <formula>AND($BZ$7&lt;&gt;"", BZ8="")</formula>
    </cfRule>
  </conditionalFormatting>
  <conditionalFormatting sqref="CA7">
    <cfRule type="notContainsBlanks" priority="200" dxfId="7">
      <formula>LEN(TRIM(CA7))&gt;0</formula>
    </cfRule>
    <cfRule type="containsBlanks" priority="201" dxfId="8">
      <formula>LEN(TRIM(CA7))=0</formula>
    </cfRule>
  </conditionalFormatting>
  <conditionalFormatting sqref="CA8:CA2501">
    <cfRule type="expression" priority="202" dxfId="7">
      <formula>AND($CA$7&lt;&gt;"", CA8="")</formula>
    </cfRule>
  </conditionalFormatting>
  <conditionalFormatting sqref="CB7">
    <cfRule type="notContainsBlanks" priority="203" dxfId="7">
      <formula>LEN(TRIM(CB7))&gt;0</formula>
    </cfRule>
    <cfRule type="containsBlanks" priority="204" dxfId="8">
      <formula>LEN(TRIM(CB7))=0</formula>
    </cfRule>
  </conditionalFormatting>
  <conditionalFormatting sqref="CB8:CB2501">
    <cfRule type="expression" priority="205" dxfId="7">
      <formula>AND($CB$7&lt;&gt;"", CB8="")</formula>
    </cfRule>
  </conditionalFormatting>
  <conditionalFormatting sqref="CC7">
    <cfRule type="notContainsBlanks" priority="206" dxfId="7">
      <formula>LEN(TRIM(CC7))&gt;0</formula>
    </cfRule>
    <cfRule type="containsBlanks" priority="207" dxfId="8">
      <formula>LEN(TRIM(CC7))=0</formula>
    </cfRule>
  </conditionalFormatting>
  <conditionalFormatting sqref="CC8:CC2501">
    <cfRule type="expression" priority="208" dxfId="7">
      <formula>AND($CC$7&lt;&gt;"", CC8="")</formula>
    </cfRule>
  </conditionalFormatting>
  <conditionalFormatting sqref="CD7">
    <cfRule type="notContainsBlanks" priority="209" dxfId="7">
      <formula>LEN(TRIM(CD7))&gt;0</formula>
    </cfRule>
    <cfRule type="containsBlanks" priority="210" dxfId="8">
      <formula>LEN(TRIM(CD7))=0</formula>
    </cfRule>
  </conditionalFormatting>
  <conditionalFormatting sqref="CD8:CD2501">
    <cfRule type="expression" priority="211" dxfId="7">
      <formula>AND($CD$7&lt;&gt;"", CD8="")</formula>
    </cfRule>
  </conditionalFormatting>
  <conditionalFormatting sqref="CE7">
    <cfRule type="notContainsBlanks" priority="212" dxfId="7">
      <formula>LEN(TRIM(CE7))&gt;0</formula>
    </cfRule>
    <cfRule type="containsBlanks" priority="213" dxfId="8">
      <formula>LEN(TRIM(CE7))=0</formula>
    </cfRule>
  </conditionalFormatting>
  <conditionalFormatting sqref="CE8:CE2501">
    <cfRule type="expression" priority="214" dxfId="7">
      <formula>AND($CE$7&lt;&gt;"", CE8="")</formula>
    </cfRule>
  </conditionalFormatting>
  <conditionalFormatting sqref="CF7">
    <cfRule type="notContainsBlanks" priority="215" dxfId="7">
      <formula>LEN(TRIM(CF7))&gt;0</formula>
    </cfRule>
    <cfRule type="containsBlanks" priority="216" dxfId="8">
      <formula>LEN(TRIM(CF7))=0</formula>
    </cfRule>
  </conditionalFormatting>
  <conditionalFormatting sqref="CF8:CF2501">
    <cfRule type="expression" priority="217" dxfId="7">
      <formula>AND($CF$7&lt;&gt;"", CF8="")</formula>
    </cfRule>
  </conditionalFormatting>
  <conditionalFormatting sqref="CG7">
    <cfRule type="notContainsBlanks" priority="218" dxfId="7">
      <formula>LEN(TRIM(CG7))&gt;0</formula>
    </cfRule>
    <cfRule type="containsBlanks" priority="219" dxfId="8">
      <formula>LEN(TRIM(CG7))=0</formula>
    </cfRule>
  </conditionalFormatting>
  <conditionalFormatting sqref="CG8:CG2501">
    <cfRule type="expression" priority="220" dxfId="7">
      <formula>AND($CG$7&lt;&gt;"", CG8="")</formula>
    </cfRule>
  </conditionalFormatting>
  <conditionalFormatting sqref="CH7">
    <cfRule type="notContainsBlanks" priority="221" dxfId="7">
      <formula>LEN(TRIM(CH7))&gt;0</formula>
    </cfRule>
    <cfRule type="containsBlanks" priority="222" dxfId="8">
      <formula>LEN(TRIM(CH7))=0</formula>
    </cfRule>
  </conditionalFormatting>
  <conditionalFormatting sqref="CH8:CH2501">
    <cfRule type="expression" priority="223" dxfId="7">
      <formula>AND($CH$7&lt;&gt;"", CH8="")</formula>
    </cfRule>
  </conditionalFormatting>
  <conditionalFormatting sqref="CI7">
    <cfRule type="notContainsBlanks" priority="224" dxfId="7">
      <formula>LEN(TRIM(CI7))&gt;0</formula>
    </cfRule>
    <cfRule type="containsBlanks" priority="225" dxfId="8">
      <formula>LEN(TRIM(CI7))=0</formula>
    </cfRule>
  </conditionalFormatting>
  <conditionalFormatting sqref="CI8:CI2501">
    <cfRule type="expression" priority="226" dxfId="7">
      <formula>AND($CI$7&lt;&gt;"", CI8="")</formula>
    </cfRule>
  </conditionalFormatting>
  <conditionalFormatting sqref="CJ7">
    <cfRule type="notContainsBlanks" priority="227" dxfId="7">
      <formula>LEN(TRIM(CJ7))&gt;0</formula>
    </cfRule>
    <cfRule type="containsBlanks" priority="228" dxfId="8">
      <formula>LEN(TRIM(CJ7))=0</formula>
    </cfRule>
  </conditionalFormatting>
  <conditionalFormatting sqref="CJ8:CJ2501">
    <cfRule type="expression" priority="229" dxfId="7">
      <formula>AND($CJ$7&lt;&gt;"", CJ8="")</formula>
    </cfRule>
  </conditionalFormatting>
  <conditionalFormatting sqref="CK7">
    <cfRule type="notContainsBlanks" priority="230" dxfId="7">
      <formula>LEN(TRIM(CK7))&gt;0</formula>
    </cfRule>
    <cfRule type="containsBlanks" priority="231" dxfId="8">
      <formula>LEN(TRIM(CK7))=0</formula>
    </cfRule>
  </conditionalFormatting>
  <conditionalFormatting sqref="CK8:CK2501">
    <cfRule type="expression" priority="232" dxfId="7">
      <formula>AND($CK$7&lt;&gt;"", CK8="")</formula>
    </cfRule>
  </conditionalFormatting>
  <conditionalFormatting sqref="CL7">
    <cfRule type="notContainsBlanks" priority="233" dxfId="7">
      <formula>LEN(TRIM(CL7))&gt;0</formula>
    </cfRule>
    <cfRule type="containsBlanks" priority="234" dxfId="8">
      <formula>LEN(TRIM(CL7))=0</formula>
    </cfRule>
  </conditionalFormatting>
  <conditionalFormatting sqref="CL8:CL2501">
    <cfRule type="expression" priority="235" dxfId="7">
      <formula>AND($CL$7&lt;&gt;"", CL8="")</formula>
    </cfRule>
  </conditionalFormatting>
  <conditionalFormatting sqref="CM7">
    <cfRule type="notContainsBlanks" priority="236" dxfId="7">
      <formula>LEN(TRIM(CM7))&gt;0</formula>
    </cfRule>
    <cfRule type="containsBlanks" priority="237" dxfId="8">
      <formula>LEN(TRIM(CM7))=0</formula>
    </cfRule>
  </conditionalFormatting>
  <conditionalFormatting sqref="CM8:CM2501">
    <cfRule type="expression" priority="238" dxfId="7">
      <formula>AND($CM$7&lt;&gt;"", CM8="")</formula>
    </cfRule>
  </conditionalFormatting>
  <conditionalFormatting sqref="CN7">
    <cfRule type="notContainsBlanks" priority="239" dxfId="7">
      <formula>LEN(TRIM(CN7))&gt;0</formula>
    </cfRule>
    <cfRule type="containsBlanks" priority="240" dxfId="8">
      <formula>LEN(TRIM(CN7))=0</formula>
    </cfRule>
  </conditionalFormatting>
  <conditionalFormatting sqref="CN8:CN2501">
    <cfRule type="expression" priority="241" dxfId="7">
      <formula>AND($CN$7&lt;&gt;"", CN8="")</formula>
    </cfRule>
  </conditionalFormatting>
  <conditionalFormatting sqref="CO7">
    <cfRule type="notContainsBlanks" priority="242" dxfId="7">
      <formula>LEN(TRIM(CO7))&gt;0</formula>
    </cfRule>
    <cfRule type="containsBlanks" priority="243" dxfId="8">
      <formula>LEN(TRIM(CO7))=0</formula>
    </cfRule>
  </conditionalFormatting>
  <conditionalFormatting sqref="CO8:CO2501">
    <cfRule type="expression" priority="244" dxfId="7">
      <formula>AND($CO$7&lt;&gt;"", CO8="")</formula>
    </cfRule>
  </conditionalFormatting>
  <conditionalFormatting sqref="CP7">
    <cfRule type="notContainsBlanks" priority="245" dxfId="7">
      <formula>LEN(TRIM(CP7))&gt;0</formula>
    </cfRule>
    <cfRule type="containsBlanks" priority="246" dxfId="8">
      <formula>LEN(TRIM(CP7))=0</formula>
    </cfRule>
  </conditionalFormatting>
  <conditionalFormatting sqref="CP8:CP2501">
    <cfRule type="expression" priority="247" dxfId="7">
      <formula>AND($CP$7&lt;&gt;"", CP8="")</formula>
    </cfRule>
  </conditionalFormatting>
  <conditionalFormatting sqref="CQ7">
    <cfRule type="notContainsBlanks" priority="248" dxfId="7">
      <formula>LEN(TRIM(CQ7))&gt;0</formula>
    </cfRule>
    <cfRule type="containsBlanks" priority="249" dxfId="8">
      <formula>LEN(TRIM(CQ7))=0</formula>
    </cfRule>
  </conditionalFormatting>
  <conditionalFormatting sqref="CQ8:CQ2501">
    <cfRule type="expression" priority="250" dxfId="7">
      <formula>AND($CQ$7&lt;&gt;"", CQ8="")</formula>
    </cfRule>
  </conditionalFormatting>
  <conditionalFormatting sqref="CR7">
    <cfRule type="notContainsBlanks" priority="251" dxfId="7">
      <formula>LEN(TRIM(CR7))&gt;0</formula>
    </cfRule>
    <cfRule type="containsBlanks" priority="252" dxfId="8">
      <formula>LEN(TRIM(CR7))=0</formula>
    </cfRule>
  </conditionalFormatting>
  <conditionalFormatting sqref="CR8:CR2501">
    <cfRule type="expression" priority="253" dxfId="7">
      <formula>AND($CR$7&lt;&gt;"", CR8="")</formula>
    </cfRule>
  </conditionalFormatting>
  <conditionalFormatting sqref="CS7">
    <cfRule type="notContainsBlanks" priority="254" dxfId="7">
      <formula>LEN(TRIM(CS7))&gt;0</formula>
    </cfRule>
    <cfRule type="containsBlanks" priority="255" dxfId="8">
      <formula>LEN(TRIM(CS7))=0</formula>
    </cfRule>
  </conditionalFormatting>
  <conditionalFormatting sqref="CS8:CS2501">
    <cfRule type="expression" priority="256" dxfId="7">
      <formula>AND($CS$7&lt;&gt;"", CS8="")</formula>
    </cfRule>
  </conditionalFormatting>
  <conditionalFormatting sqref="CT7">
    <cfRule type="notContainsBlanks" priority="257" dxfId="7">
      <formula>LEN(TRIM(CT7))&gt;0</formula>
    </cfRule>
    <cfRule type="containsBlanks" priority="258" dxfId="8">
      <formula>LEN(TRIM(CT7))=0</formula>
    </cfRule>
  </conditionalFormatting>
  <conditionalFormatting sqref="CT8:CT2501">
    <cfRule type="expression" priority="259" dxfId="7">
      <formula>AND($CT$7&lt;&gt;"", CT8="")</formula>
    </cfRule>
  </conditionalFormatting>
  <conditionalFormatting sqref="CU7">
    <cfRule type="notContainsBlanks" priority="260" dxfId="7">
      <formula>LEN(TRIM(CU7))&gt;0</formula>
    </cfRule>
    <cfRule type="containsBlanks" priority="261" dxfId="8">
      <formula>LEN(TRIM(CU7))=0</formula>
    </cfRule>
  </conditionalFormatting>
  <conditionalFormatting sqref="CU8:CU2501">
    <cfRule type="expression" priority="262" dxfId="7">
      <formula>AND($CU$7&lt;&gt;"", CU8="")</formula>
    </cfRule>
  </conditionalFormatting>
  <conditionalFormatting sqref="CV7">
    <cfRule type="notContainsBlanks" priority="263" dxfId="7">
      <formula>LEN(TRIM(CV7))&gt;0</formula>
    </cfRule>
    <cfRule type="containsBlanks" priority="264" dxfId="8">
      <formula>LEN(TRIM(CV7))=0</formula>
    </cfRule>
  </conditionalFormatting>
  <conditionalFormatting sqref="CV8:CV2501">
    <cfRule type="expression" priority="265" dxfId="7">
      <formula>AND($CV$7&lt;&gt;"", CV8="")</formula>
    </cfRule>
  </conditionalFormatting>
  <conditionalFormatting sqref="CW7">
    <cfRule type="notContainsBlanks" priority="266" dxfId="7">
      <formula>LEN(TRIM(CW7))&gt;0</formula>
    </cfRule>
    <cfRule type="containsBlanks" priority="267" dxfId="8">
      <formula>LEN(TRIM(CW7))=0</formula>
    </cfRule>
  </conditionalFormatting>
  <conditionalFormatting sqref="CW8:CW2501">
    <cfRule type="expression" priority="268" dxfId="7">
      <formula>AND($CW$7&lt;&gt;"", CW8="")</formula>
    </cfRule>
  </conditionalFormatting>
  <conditionalFormatting sqref="CX7">
    <cfRule type="notContainsBlanks" priority="269" dxfId="7">
      <formula>LEN(TRIM(CX7))&gt;0</formula>
    </cfRule>
    <cfRule type="containsBlanks" priority="270" dxfId="8">
      <formula>LEN(TRIM(CX7))=0</formula>
    </cfRule>
  </conditionalFormatting>
  <conditionalFormatting sqref="CX8:CX2501">
    <cfRule type="expression" priority="271" dxfId="7">
      <formula>AND($CX$7&lt;&gt;"", CX8="")</formula>
    </cfRule>
  </conditionalFormatting>
  <conditionalFormatting sqref="CY7">
    <cfRule type="notContainsBlanks" priority="272" dxfId="7">
      <formula>LEN(TRIM(CY7))&gt;0</formula>
    </cfRule>
    <cfRule type="containsBlanks" priority="273" dxfId="8">
      <formula>LEN(TRIM(CY7))=0</formula>
    </cfRule>
  </conditionalFormatting>
  <conditionalFormatting sqref="CY8:CY2501">
    <cfRule type="expression" priority="274" dxfId="7">
      <formula>AND($CY$7&lt;&gt;"", CY8="")</formula>
    </cfRule>
  </conditionalFormatting>
  <conditionalFormatting sqref="CZ7">
    <cfRule type="notContainsBlanks" priority="275" dxfId="7">
      <formula>LEN(TRIM(CZ7))&gt;0</formula>
    </cfRule>
    <cfRule type="containsBlanks" priority="276" dxfId="8">
      <formula>LEN(TRIM(CZ7))=0</formula>
    </cfRule>
  </conditionalFormatting>
  <conditionalFormatting sqref="CZ8:CZ2501">
    <cfRule type="expression" priority="277" dxfId="7">
      <formula>AND($CZ$7&lt;&gt;"", CZ8="")</formula>
    </cfRule>
  </conditionalFormatting>
  <conditionalFormatting sqref="D7">
    <cfRule type="notContainsBlanks" priority="8" dxfId="7">
      <formula>LEN(TRIM(D7))&gt;0</formula>
    </cfRule>
    <cfRule type="containsBlanks" priority="9" dxfId="8">
      <formula>LEN(TRIM(D7))=0</formula>
    </cfRule>
  </conditionalFormatting>
  <conditionalFormatting sqref="D8:D2501">
    <cfRule type="expression" priority="10" dxfId="7">
      <formula>AND($D$7&lt;&gt;"", D8="")</formula>
    </cfRule>
  </conditionalFormatting>
  <conditionalFormatting sqref="DA7">
    <cfRule type="notContainsBlanks" priority="278" dxfId="7">
      <formula>LEN(TRIM(DA7))&gt;0</formula>
    </cfRule>
    <cfRule type="containsBlanks" priority="279" dxfId="8">
      <formula>LEN(TRIM(DA7))=0</formula>
    </cfRule>
  </conditionalFormatting>
  <conditionalFormatting sqref="DA8:DA2501">
    <cfRule type="expression" priority="280" dxfId="7">
      <formula>AND($DA$7&lt;&gt;"", DA8="")</formula>
    </cfRule>
  </conditionalFormatting>
  <conditionalFormatting sqref="DB7">
    <cfRule type="notContainsBlanks" priority="281" dxfId="7">
      <formula>LEN(TRIM(DB7))&gt;0</formula>
    </cfRule>
    <cfRule type="containsBlanks" priority="282" dxfId="8">
      <formula>LEN(TRIM(DB7))=0</formula>
    </cfRule>
  </conditionalFormatting>
  <conditionalFormatting sqref="DB8:DB2501">
    <cfRule type="expression" priority="283" dxfId="7">
      <formula>AND($DB$7&lt;&gt;"", DB8="")</formula>
    </cfRule>
  </conditionalFormatting>
  <conditionalFormatting sqref="DC7">
    <cfRule type="notContainsBlanks" priority="284" dxfId="7">
      <formula>LEN(TRIM(DC7))&gt;0</formula>
    </cfRule>
    <cfRule type="containsBlanks" priority="285" dxfId="8">
      <formula>LEN(TRIM(DC7))=0</formula>
    </cfRule>
  </conditionalFormatting>
  <conditionalFormatting sqref="DC8:DC2501">
    <cfRule type="expression" priority="286" dxfId="7">
      <formula>AND($DC$7&lt;&gt;"", DC8="")</formula>
    </cfRule>
  </conditionalFormatting>
  <conditionalFormatting sqref="DD7">
    <cfRule type="notContainsBlanks" priority="287" dxfId="7">
      <formula>LEN(TRIM(DD7))&gt;0</formula>
    </cfRule>
    <cfRule type="containsBlanks" priority="288" dxfId="8">
      <formula>LEN(TRIM(DD7))=0</formula>
    </cfRule>
  </conditionalFormatting>
  <conditionalFormatting sqref="DD8:DD2501">
    <cfRule type="expression" priority="289" dxfId="7">
      <formula>AND($DD$7&lt;&gt;"", DD8="")</formula>
    </cfRule>
  </conditionalFormatting>
  <conditionalFormatting sqref="DE7">
    <cfRule type="notContainsBlanks" priority="290" dxfId="7">
      <formula>LEN(TRIM(DE7))&gt;0</formula>
    </cfRule>
    <cfRule type="containsBlanks" priority="291" dxfId="8">
      <formula>LEN(TRIM(DE7))=0</formula>
    </cfRule>
  </conditionalFormatting>
  <conditionalFormatting sqref="DE8:DE2501">
    <cfRule type="expression" priority="292" dxfId="7">
      <formula>AND($DE$7&lt;&gt;"", DE8="")</formula>
    </cfRule>
  </conditionalFormatting>
  <conditionalFormatting sqref="DF7">
    <cfRule type="notContainsBlanks" priority="293" dxfId="7">
      <formula>LEN(TRIM(DF7))&gt;0</formula>
    </cfRule>
    <cfRule type="containsBlanks" priority="294" dxfId="8">
      <formula>LEN(TRIM(DF7))=0</formula>
    </cfRule>
  </conditionalFormatting>
  <conditionalFormatting sqref="DF8:DF2501">
    <cfRule type="expression" priority="295" dxfId="7">
      <formula>AND($DF$7&lt;&gt;"", DF8="")</formula>
    </cfRule>
  </conditionalFormatting>
  <conditionalFormatting sqref="DG7">
    <cfRule type="notContainsBlanks" priority="296" dxfId="7">
      <formula>LEN(TRIM(DG7))&gt;0</formula>
    </cfRule>
    <cfRule type="containsBlanks" priority="297" dxfId="8">
      <formula>LEN(TRIM(DG7))=0</formula>
    </cfRule>
  </conditionalFormatting>
  <conditionalFormatting sqref="DG8:DG2501">
    <cfRule type="expression" priority="298" dxfId="7">
      <formula>AND($DG$7&lt;&gt;"", DG8="")</formula>
    </cfRule>
  </conditionalFormatting>
  <conditionalFormatting sqref="DH7">
    <cfRule type="notContainsBlanks" priority="299" dxfId="7">
      <formula>LEN(TRIM(DH7))&gt;0</formula>
    </cfRule>
    <cfRule type="containsBlanks" priority="300" dxfId="8">
      <formula>LEN(TRIM(DH7))=0</formula>
    </cfRule>
  </conditionalFormatting>
  <conditionalFormatting sqref="DH8:DH2501">
    <cfRule type="expression" priority="301" dxfId="7">
      <formula>AND($DH$7&lt;&gt;"", DH8="")</formula>
    </cfRule>
  </conditionalFormatting>
  <conditionalFormatting sqref="DI7">
    <cfRule type="notContainsBlanks" priority="302" dxfId="7">
      <formula>LEN(TRIM(DI7))&gt;0</formula>
    </cfRule>
    <cfRule type="containsBlanks" priority="303" dxfId="8">
      <formula>LEN(TRIM(DI7))=0</formula>
    </cfRule>
  </conditionalFormatting>
  <conditionalFormatting sqref="DI8:DI2501">
    <cfRule type="expression" priority="304" dxfId="7">
      <formula>AND($DI$7&lt;&gt;"", DI8="")</formula>
    </cfRule>
  </conditionalFormatting>
  <conditionalFormatting sqref="DJ7">
    <cfRule type="notContainsBlanks" priority="305" dxfId="7">
      <formula>LEN(TRIM(DJ7))&gt;0</formula>
    </cfRule>
    <cfRule type="containsBlanks" priority="306" dxfId="8">
      <formula>LEN(TRIM(DJ7))=0</formula>
    </cfRule>
  </conditionalFormatting>
  <conditionalFormatting sqref="DJ8:DJ2501">
    <cfRule type="expression" priority="307" dxfId="7">
      <formula>AND($DJ$7&lt;&gt;"", DJ8="")</formula>
    </cfRule>
  </conditionalFormatting>
  <conditionalFormatting sqref="DK7">
    <cfRule type="notContainsBlanks" priority="308" dxfId="7">
      <formula>LEN(TRIM(DK7))&gt;0</formula>
    </cfRule>
    <cfRule type="containsBlanks" priority="309" dxfId="8">
      <formula>LEN(TRIM(DK7))=0</formula>
    </cfRule>
  </conditionalFormatting>
  <conditionalFormatting sqref="DK8:DK2501">
    <cfRule type="expression" priority="310" dxfId="7">
      <formula>AND($DK$7&lt;&gt;"", DK8="")</formula>
    </cfRule>
  </conditionalFormatting>
  <conditionalFormatting sqref="DL7">
    <cfRule type="notContainsBlanks" priority="311" dxfId="7">
      <formula>LEN(TRIM(DL7))&gt;0</formula>
    </cfRule>
    <cfRule type="containsBlanks" priority="312" dxfId="8">
      <formula>LEN(TRIM(DL7))=0</formula>
    </cfRule>
  </conditionalFormatting>
  <conditionalFormatting sqref="DL8:DL2501">
    <cfRule type="expression" priority="313" dxfId="7">
      <formula>AND($DL$7&lt;&gt;"", DL8="")</formula>
    </cfRule>
  </conditionalFormatting>
  <conditionalFormatting sqref="DM7">
    <cfRule type="notContainsBlanks" priority="314" dxfId="7">
      <formula>LEN(TRIM(DM7))&gt;0</formula>
    </cfRule>
    <cfRule type="containsBlanks" priority="315" dxfId="8">
      <formula>LEN(TRIM(DM7))=0</formula>
    </cfRule>
  </conditionalFormatting>
  <conditionalFormatting sqref="DM8:DM2501">
    <cfRule type="expression" priority="316" dxfId="7">
      <formula>AND($DM$7&lt;&gt;"", DM8="")</formula>
    </cfRule>
  </conditionalFormatting>
  <conditionalFormatting sqref="DN7">
    <cfRule type="notContainsBlanks" priority="317" dxfId="7">
      <formula>LEN(TRIM(DN7))&gt;0</formula>
    </cfRule>
    <cfRule type="containsBlanks" priority="318" dxfId="8">
      <formula>LEN(TRIM(DN7))=0</formula>
    </cfRule>
  </conditionalFormatting>
  <conditionalFormatting sqref="DN8:DN2501">
    <cfRule type="expression" priority="319" dxfId="7">
      <formula>AND($DN$7&lt;&gt;"", DN8="")</formula>
    </cfRule>
  </conditionalFormatting>
  <conditionalFormatting sqref="DO7">
    <cfRule type="notContainsBlanks" priority="320" dxfId="7">
      <formula>LEN(TRIM(DO7))&gt;0</formula>
    </cfRule>
    <cfRule type="containsBlanks" priority="321" dxfId="8">
      <formula>LEN(TRIM(DO7))=0</formula>
    </cfRule>
  </conditionalFormatting>
  <conditionalFormatting sqref="DO8:DO2501">
    <cfRule type="expression" priority="322" dxfId="7">
      <formula>AND($DO$7&lt;&gt;"", DO8="")</formula>
    </cfRule>
  </conditionalFormatting>
  <conditionalFormatting sqref="DP7">
    <cfRule type="notContainsBlanks" priority="323" dxfId="7">
      <formula>LEN(TRIM(DP7))&gt;0</formula>
    </cfRule>
    <cfRule type="containsBlanks" priority="324" dxfId="8">
      <formula>LEN(TRIM(DP7))=0</formula>
    </cfRule>
  </conditionalFormatting>
  <conditionalFormatting sqref="DP8:DP2501">
    <cfRule type="expression" priority="325" dxfId="7">
      <formula>AND($DP$7&lt;&gt;"", DP8="")</formula>
    </cfRule>
  </conditionalFormatting>
  <conditionalFormatting sqref="DQ7">
    <cfRule type="notContainsBlanks" priority="326" dxfId="7">
      <formula>LEN(TRIM(DQ7))&gt;0</formula>
    </cfRule>
    <cfRule type="containsBlanks" priority="327" dxfId="8">
      <formula>LEN(TRIM(DQ7))=0</formula>
    </cfRule>
  </conditionalFormatting>
  <conditionalFormatting sqref="DQ8:DQ2501">
    <cfRule type="expression" priority="328" dxfId="7">
      <formula>AND($DQ$7&lt;&gt;"", DQ8="")</formula>
    </cfRule>
  </conditionalFormatting>
  <conditionalFormatting sqref="DR7">
    <cfRule type="notContainsBlanks" priority="329" dxfId="7">
      <formula>LEN(TRIM(DR7))&gt;0</formula>
    </cfRule>
    <cfRule type="containsBlanks" priority="330" dxfId="8">
      <formula>LEN(TRIM(DR7))=0</formula>
    </cfRule>
  </conditionalFormatting>
  <conditionalFormatting sqref="DR8:DR2501">
    <cfRule type="expression" priority="331" dxfId="7">
      <formula>AND($DR$7&lt;&gt;"", DR8="")</formula>
    </cfRule>
  </conditionalFormatting>
  <conditionalFormatting sqref="DS7">
    <cfRule type="notContainsBlanks" priority="332" dxfId="7">
      <formula>LEN(TRIM(DS7))&gt;0</formula>
    </cfRule>
    <cfRule type="containsBlanks" priority="333" dxfId="8">
      <formula>LEN(TRIM(DS7))=0</formula>
    </cfRule>
  </conditionalFormatting>
  <conditionalFormatting sqref="DS8:DS2501">
    <cfRule type="expression" priority="334" dxfId="7">
      <formula>AND($DS$7&lt;&gt;"", DS8="")</formula>
    </cfRule>
  </conditionalFormatting>
  <conditionalFormatting sqref="DT7">
    <cfRule type="notContainsBlanks" priority="335" dxfId="7">
      <formula>LEN(TRIM(DT7))&gt;0</formula>
    </cfRule>
    <cfRule type="containsBlanks" priority="336" dxfId="8">
      <formula>LEN(TRIM(DT7))=0</formula>
    </cfRule>
  </conditionalFormatting>
  <conditionalFormatting sqref="DT8:DT2501">
    <cfRule type="expression" priority="337" dxfId="7">
      <formula>AND($DT$7&lt;&gt;"", DT8="")</formula>
    </cfRule>
  </conditionalFormatting>
  <conditionalFormatting sqref="DU7">
    <cfRule type="notContainsBlanks" priority="338" dxfId="7">
      <formula>LEN(TRIM(DU7))&gt;0</formula>
    </cfRule>
    <cfRule type="containsBlanks" priority="339" dxfId="8">
      <formula>LEN(TRIM(DU7))=0</formula>
    </cfRule>
  </conditionalFormatting>
  <conditionalFormatting sqref="DU8:DU2501">
    <cfRule type="expression" priority="340" dxfId="7">
      <formula>AND($DU$7&lt;&gt;"", DU8="")</formula>
    </cfRule>
  </conditionalFormatting>
  <conditionalFormatting sqref="DV7">
    <cfRule type="notContainsBlanks" priority="341" dxfId="7">
      <formula>LEN(TRIM(DV7))&gt;0</formula>
    </cfRule>
    <cfRule type="containsBlanks" priority="342" dxfId="8">
      <formula>LEN(TRIM(DV7))=0</formula>
    </cfRule>
  </conditionalFormatting>
  <conditionalFormatting sqref="DV8:DV2501">
    <cfRule type="expression" priority="343" dxfId="7">
      <formula>AND($DV$7&lt;&gt;"", DV8="")</formula>
    </cfRule>
  </conditionalFormatting>
  <conditionalFormatting sqref="DW7">
    <cfRule type="notContainsBlanks" priority="344" dxfId="7">
      <formula>LEN(TRIM(DW7))&gt;0</formula>
    </cfRule>
    <cfRule type="containsBlanks" priority="345" dxfId="8">
      <formula>LEN(TRIM(DW7))=0</formula>
    </cfRule>
  </conditionalFormatting>
  <conditionalFormatting sqref="DW8:DW2501">
    <cfRule type="expression" priority="346" dxfId="7">
      <formula>AND($DW$7&lt;&gt;"", DW8="")</formula>
    </cfRule>
  </conditionalFormatting>
  <conditionalFormatting sqref="DX7">
    <cfRule type="notContainsBlanks" priority="347" dxfId="7">
      <formula>LEN(TRIM(DX7))&gt;0</formula>
    </cfRule>
    <cfRule type="containsBlanks" priority="348" dxfId="8">
      <formula>LEN(TRIM(DX7))=0</formula>
    </cfRule>
  </conditionalFormatting>
  <conditionalFormatting sqref="DX8:DX2501">
    <cfRule type="expression" priority="349" dxfId="7">
      <formula>AND($DX$7&lt;&gt;"", DX8="")</formula>
    </cfRule>
  </conditionalFormatting>
  <conditionalFormatting sqref="DY7">
    <cfRule type="notContainsBlanks" priority="350" dxfId="7">
      <formula>LEN(TRIM(DY7))&gt;0</formula>
    </cfRule>
    <cfRule type="containsBlanks" priority="351" dxfId="8">
      <formula>LEN(TRIM(DY7))=0</formula>
    </cfRule>
  </conditionalFormatting>
  <conditionalFormatting sqref="DY8:DY2501">
    <cfRule type="expression" priority="352" dxfId="7">
      <formula>AND($DY$7&lt;&gt;"", DY8="")</formula>
    </cfRule>
  </conditionalFormatting>
  <conditionalFormatting sqref="DZ7">
    <cfRule type="notContainsBlanks" priority="353" dxfId="7">
      <formula>LEN(TRIM(DZ7))&gt;0</formula>
    </cfRule>
    <cfRule type="containsBlanks" priority="354" dxfId="8">
      <formula>LEN(TRIM(DZ7))=0</formula>
    </cfRule>
  </conditionalFormatting>
  <conditionalFormatting sqref="DZ8:DZ2501">
    <cfRule type="expression" priority="355" dxfId="7">
      <formula>AND($DZ$7&lt;&gt;"", DZ8="")</formula>
    </cfRule>
  </conditionalFormatting>
  <conditionalFormatting sqref="EA7">
    <cfRule type="notContainsBlanks" priority="356" dxfId="7">
      <formula>LEN(TRIM(EA7))&gt;0</formula>
    </cfRule>
    <cfRule type="containsBlanks" priority="357" dxfId="8">
      <formula>LEN(TRIM(EA7))=0</formula>
    </cfRule>
  </conditionalFormatting>
  <conditionalFormatting sqref="EA8:EA2501">
    <cfRule type="expression" priority="358" dxfId="7">
      <formula>AND($EA$7&lt;&gt;"", EA8="")</formula>
    </cfRule>
  </conditionalFormatting>
  <conditionalFormatting sqref="EB7">
    <cfRule type="notContainsBlanks" priority="359" dxfId="7">
      <formula>LEN(TRIM(EB7))&gt;0</formula>
    </cfRule>
    <cfRule type="containsBlanks" priority="360" dxfId="8">
      <formula>LEN(TRIM(EB7))=0</formula>
    </cfRule>
  </conditionalFormatting>
  <conditionalFormatting sqref="EB8:EB2501">
    <cfRule type="expression" priority="361" dxfId="7">
      <formula>AND($EB$7&lt;&gt;"", EB8="")</formula>
    </cfRule>
  </conditionalFormatting>
  <conditionalFormatting sqref="EC7">
    <cfRule type="notContainsBlanks" priority="362" dxfId="7">
      <formula>LEN(TRIM(EC7))&gt;0</formula>
    </cfRule>
    <cfRule type="containsBlanks" priority="363" dxfId="8">
      <formula>LEN(TRIM(EC7))=0</formula>
    </cfRule>
  </conditionalFormatting>
  <conditionalFormatting sqref="EC8:EC2501">
    <cfRule type="expression" priority="364" dxfId="7">
      <formula>AND($EC$7&lt;&gt;"", EC8="")</formula>
    </cfRule>
  </conditionalFormatting>
  <conditionalFormatting sqref="ED7">
    <cfRule type="notContainsBlanks" priority="365" dxfId="7">
      <formula>LEN(TRIM(ED7))&gt;0</formula>
    </cfRule>
    <cfRule type="containsBlanks" priority="366" dxfId="8">
      <formula>LEN(TRIM(ED7))=0</formula>
    </cfRule>
  </conditionalFormatting>
  <conditionalFormatting sqref="ED8:ED2501">
    <cfRule type="expression" priority="367" dxfId="7">
      <formula>AND($ED$7&lt;&gt;"", ED8="")</formula>
    </cfRule>
  </conditionalFormatting>
  <conditionalFormatting sqref="EE7">
    <cfRule type="notContainsBlanks" priority="368" dxfId="7">
      <formula>LEN(TRIM(EE7))&gt;0</formula>
    </cfRule>
    <cfRule type="containsBlanks" priority="369" dxfId="8">
      <formula>LEN(TRIM(EE7))=0</formula>
    </cfRule>
  </conditionalFormatting>
  <conditionalFormatting sqref="EE8:EE2501">
    <cfRule type="expression" priority="370" dxfId="7">
      <formula>AND($EE$7&lt;&gt;"", EE8="")</formula>
    </cfRule>
  </conditionalFormatting>
  <conditionalFormatting sqref="EF7">
    <cfRule type="notContainsBlanks" priority="371" dxfId="7">
      <formula>LEN(TRIM(EF7))&gt;0</formula>
    </cfRule>
    <cfRule type="containsBlanks" priority="372" dxfId="8">
      <formula>LEN(TRIM(EF7))=0</formula>
    </cfRule>
  </conditionalFormatting>
  <conditionalFormatting sqref="EF8:EF2501">
    <cfRule type="expression" priority="373" dxfId="7">
      <formula>AND($EF$7&lt;&gt;"", EF8="")</formula>
    </cfRule>
  </conditionalFormatting>
  <conditionalFormatting sqref="EG7">
    <cfRule type="notContainsBlanks" priority="374" dxfId="7">
      <formula>LEN(TRIM(EG7))&gt;0</formula>
    </cfRule>
    <cfRule type="containsBlanks" priority="375" dxfId="8">
      <formula>LEN(TRIM(EG7))=0</formula>
    </cfRule>
  </conditionalFormatting>
  <conditionalFormatting sqref="EG8:EG2501">
    <cfRule type="expression" priority="376" dxfId="7">
      <formula>AND($EG$7&lt;&gt;"", EG8="")</formula>
    </cfRule>
  </conditionalFormatting>
  <conditionalFormatting sqref="EH7">
    <cfRule type="notContainsBlanks" priority="377" dxfId="7">
      <formula>LEN(TRIM(EH7))&gt;0</formula>
    </cfRule>
    <cfRule type="containsBlanks" priority="378" dxfId="8">
      <formula>LEN(TRIM(EH7))=0</formula>
    </cfRule>
  </conditionalFormatting>
  <conditionalFormatting sqref="EH8:EH2501">
    <cfRule type="expression" priority="379" dxfId="7">
      <formula>AND($EH$7&lt;&gt;"", EH8="")</formula>
    </cfRule>
  </conditionalFormatting>
  <conditionalFormatting sqref="EI7">
    <cfRule type="notContainsBlanks" priority="380" dxfId="7">
      <formula>LEN(TRIM(EI7))&gt;0</formula>
    </cfRule>
    <cfRule type="containsBlanks" priority="381" dxfId="8">
      <formula>LEN(TRIM(EI7))=0</formula>
    </cfRule>
  </conditionalFormatting>
  <conditionalFormatting sqref="EI8:EI2501">
    <cfRule type="expression" priority="382" dxfId="7">
      <formula>AND($EI$7&lt;&gt;"", EI8="")</formula>
    </cfRule>
  </conditionalFormatting>
  <conditionalFormatting sqref="EJ7">
    <cfRule type="notContainsBlanks" priority="383" dxfId="7">
      <formula>LEN(TRIM(EJ7))&gt;0</formula>
    </cfRule>
    <cfRule type="containsBlanks" priority="384" dxfId="8">
      <formula>LEN(TRIM(EJ7))=0</formula>
    </cfRule>
  </conditionalFormatting>
  <conditionalFormatting sqref="EJ8:EJ2501">
    <cfRule type="expression" priority="385" dxfId="7">
      <formula>AND($EJ$7&lt;&gt;"", EJ8="")</formula>
    </cfRule>
  </conditionalFormatting>
  <conditionalFormatting sqref="EK7">
    <cfRule type="notContainsBlanks" priority="386" dxfId="7">
      <formula>LEN(TRIM(EK7))&gt;0</formula>
    </cfRule>
    <cfRule type="containsBlanks" priority="387" dxfId="8">
      <formula>LEN(TRIM(EK7))=0</formula>
    </cfRule>
  </conditionalFormatting>
  <conditionalFormatting sqref="EK8:EK2501">
    <cfRule type="expression" priority="388" dxfId="7">
      <formula>AND($EK$7&lt;&gt;"", EK8="")</formula>
    </cfRule>
  </conditionalFormatting>
  <conditionalFormatting sqref="EL7">
    <cfRule type="notContainsBlanks" priority="389" dxfId="7">
      <formula>LEN(TRIM(EL7))&gt;0</formula>
    </cfRule>
    <cfRule type="containsBlanks" priority="390" dxfId="8">
      <formula>LEN(TRIM(EL7))=0</formula>
    </cfRule>
  </conditionalFormatting>
  <conditionalFormatting sqref="EL8:EL2501">
    <cfRule type="expression" priority="391" dxfId="7">
      <formula>AND($EL$7&lt;&gt;"", EL8="")</formula>
    </cfRule>
  </conditionalFormatting>
  <conditionalFormatting sqref="EM7">
    <cfRule type="notContainsBlanks" priority="392" dxfId="7">
      <formula>LEN(TRIM(EM7))&gt;0</formula>
    </cfRule>
    <cfRule type="containsBlanks" priority="393" dxfId="8">
      <formula>LEN(TRIM(EM7))=0</formula>
    </cfRule>
  </conditionalFormatting>
  <conditionalFormatting sqref="EM8:EM2501">
    <cfRule type="expression" priority="394" dxfId="7">
      <formula>AND($EM$7&lt;&gt;"", EM8="")</formula>
    </cfRule>
  </conditionalFormatting>
  <conditionalFormatting sqref="EN7">
    <cfRule type="notContainsBlanks" priority="395" dxfId="7">
      <formula>LEN(TRIM(EN7))&gt;0</formula>
    </cfRule>
    <cfRule type="containsBlanks" priority="396" dxfId="8">
      <formula>LEN(TRIM(EN7))=0</formula>
    </cfRule>
  </conditionalFormatting>
  <conditionalFormatting sqref="EN8:EN2501">
    <cfRule type="expression" priority="397" dxfId="7">
      <formula>AND($EN$7&lt;&gt;"", EN8="")</formula>
    </cfRule>
  </conditionalFormatting>
  <conditionalFormatting sqref="EO7">
    <cfRule type="notContainsBlanks" priority="398" dxfId="7">
      <formula>LEN(TRIM(EO7))&gt;0</formula>
    </cfRule>
    <cfRule type="containsBlanks" priority="399" dxfId="8">
      <formula>LEN(TRIM(EO7))=0</formula>
    </cfRule>
  </conditionalFormatting>
  <conditionalFormatting sqref="EO8:EO2501">
    <cfRule type="expression" priority="400" dxfId="7">
      <formula>AND($EO$7&lt;&gt;"", EO8="")</formula>
    </cfRule>
  </conditionalFormatting>
  <conditionalFormatting sqref="EP7">
    <cfRule type="notContainsBlanks" priority="401" dxfId="7">
      <formula>LEN(TRIM(EP7))&gt;0</formula>
    </cfRule>
    <cfRule type="containsBlanks" priority="402" dxfId="8">
      <formula>LEN(TRIM(EP7))=0</formula>
    </cfRule>
  </conditionalFormatting>
  <conditionalFormatting sqref="EP8:EP2501">
    <cfRule type="expression" priority="403" dxfId="7">
      <formula>AND($EP$7&lt;&gt;"", EP8="")</formula>
    </cfRule>
  </conditionalFormatting>
  <conditionalFormatting sqref="EQ7">
    <cfRule type="notContainsBlanks" priority="404" dxfId="7">
      <formula>LEN(TRIM(EQ7))&gt;0</formula>
    </cfRule>
    <cfRule type="containsBlanks" priority="405" dxfId="8">
      <formula>LEN(TRIM(EQ7))=0</formula>
    </cfRule>
  </conditionalFormatting>
  <conditionalFormatting sqref="EQ8:EQ2501">
    <cfRule type="expression" priority="406" dxfId="7">
      <formula>AND($EQ$7&lt;&gt;"", EQ8="")</formula>
    </cfRule>
  </conditionalFormatting>
  <conditionalFormatting sqref="ER7">
    <cfRule type="notContainsBlanks" priority="407" dxfId="7">
      <formula>LEN(TRIM(ER7))&gt;0</formula>
    </cfRule>
    <cfRule type="containsBlanks" priority="408" dxfId="8">
      <formula>LEN(TRIM(ER7))=0</formula>
    </cfRule>
  </conditionalFormatting>
  <conditionalFormatting sqref="ER8:ER2501">
    <cfRule type="expression" priority="409" dxfId="7">
      <formula>AND($ER$7&lt;&gt;"", ER8="")</formula>
    </cfRule>
  </conditionalFormatting>
  <conditionalFormatting sqref="ES7">
    <cfRule type="notContainsBlanks" priority="410" dxfId="7">
      <formula>LEN(TRIM(ES7))&gt;0</formula>
    </cfRule>
    <cfRule type="containsBlanks" priority="411" dxfId="8">
      <formula>LEN(TRIM(ES7))=0</formula>
    </cfRule>
  </conditionalFormatting>
  <conditionalFormatting sqref="ES8:ES2501">
    <cfRule type="expression" priority="412" dxfId="7">
      <formula>AND($ES$7&lt;&gt;"", ES8="")</formula>
    </cfRule>
  </conditionalFormatting>
  <conditionalFormatting sqref="ET7">
    <cfRule type="notContainsBlanks" priority="413" dxfId="7">
      <formula>LEN(TRIM(ET7))&gt;0</formula>
    </cfRule>
    <cfRule type="containsBlanks" priority="414" dxfId="8">
      <formula>LEN(TRIM(ET7))=0</formula>
    </cfRule>
  </conditionalFormatting>
  <conditionalFormatting sqref="ET8:ET2501">
    <cfRule type="expression" priority="415" dxfId="7">
      <formula>AND($ET$7&lt;&gt;"", ET8="")</formula>
    </cfRule>
  </conditionalFormatting>
  <conditionalFormatting sqref="H7">
    <cfRule type="notContainsBlanks" priority="11" dxfId="7">
      <formula>LEN(TRIM(H7))&gt;0</formula>
    </cfRule>
    <cfRule type="containsBlanks" priority="12" dxfId="8">
      <formula>LEN(TRIM(H7))=0</formula>
    </cfRule>
  </conditionalFormatting>
  <conditionalFormatting sqref="H8:H2501">
    <cfRule type="expression" priority="13" dxfId="7">
      <formula>AND($H$7&lt;&gt;"", H8="")</formula>
    </cfRule>
  </conditionalFormatting>
  <conditionalFormatting sqref="K7">
    <cfRule type="notContainsBlanks" priority="14" dxfId="7">
      <formula>LEN(TRIM(K7))&gt;0</formula>
    </cfRule>
    <cfRule type="containsBlanks" priority="15" dxfId="8">
      <formula>LEN(TRIM(K7))=0</formula>
    </cfRule>
  </conditionalFormatting>
  <conditionalFormatting sqref="K8:K2501">
    <cfRule type="expression" priority="16" dxfId="7">
      <formula>AND($K$7&lt;&gt;"", K8="")</formula>
    </cfRule>
  </conditionalFormatting>
  <conditionalFormatting sqref="L7">
    <cfRule type="notContainsBlanks" priority="17" dxfId="7">
      <formula>LEN(TRIM(L7))&gt;0</formula>
    </cfRule>
    <cfRule type="containsBlanks" priority="18" dxfId="8">
      <formula>LEN(TRIM(L7))=0</formula>
    </cfRule>
  </conditionalFormatting>
  <conditionalFormatting sqref="L8:L2501">
    <cfRule type="expression" priority="19" dxfId="7">
      <formula>AND($L$7&lt;&gt;"", L8="")</formula>
    </cfRule>
  </conditionalFormatting>
  <conditionalFormatting sqref="M7">
    <cfRule type="notContainsBlanks" priority="20" dxfId="7">
      <formula>LEN(TRIM(M7))&gt;0</formula>
    </cfRule>
    <cfRule type="containsBlanks" priority="21" dxfId="8">
      <formula>LEN(TRIM(M7))=0</formula>
    </cfRule>
  </conditionalFormatting>
  <conditionalFormatting sqref="M8:M2501">
    <cfRule type="expression" priority="22" dxfId="7">
      <formula>AND($M$7&lt;&gt;"", M8="")</formula>
    </cfRule>
  </conditionalFormatting>
  <conditionalFormatting sqref="N7">
    <cfRule type="notContainsBlanks" priority="23" dxfId="7">
      <formula>LEN(TRIM(N7))&gt;0</formula>
    </cfRule>
    <cfRule type="containsBlanks" priority="24" dxfId="8">
      <formula>LEN(TRIM(N7))=0</formula>
    </cfRule>
  </conditionalFormatting>
  <conditionalFormatting sqref="N8:N2501">
    <cfRule type="expression" priority="25" dxfId="7">
      <formula>AND($N$7&lt;&gt;"", N8="")</formula>
    </cfRule>
  </conditionalFormatting>
  <conditionalFormatting sqref="O7">
    <cfRule type="notContainsBlanks" priority="26" dxfId="7">
      <formula>LEN(TRIM(O7))&gt;0</formula>
    </cfRule>
    <cfRule type="containsBlanks" priority="27" dxfId="8">
      <formula>LEN(TRIM(O7))=0</formula>
    </cfRule>
  </conditionalFormatting>
  <conditionalFormatting sqref="O8:O2501">
    <cfRule type="expression" priority="28" dxfId="7">
      <formula>AND($O$7&lt;&gt;"", O8="")</formula>
    </cfRule>
  </conditionalFormatting>
  <conditionalFormatting sqref="P7">
    <cfRule type="notContainsBlanks" priority="29" dxfId="7">
      <formula>LEN(TRIM(P7))&gt;0</formula>
    </cfRule>
    <cfRule type="containsBlanks" priority="30" dxfId="8">
      <formula>LEN(TRIM(P7))=0</formula>
    </cfRule>
  </conditionalFormatting>
  <conditionalFormatting sqref="P8:P2501">
    <cfRule type="expression" priority="31" dxfId="7">
      <formula>AND($P$7&lt;&gt;"", P8="")</formula>
    </cfRule>
  </conditionalFormatting>
  <conditionalFormatting sqref="Q7">
    <cfRule type="notContainsBlanks" priority="32" dxfId="7">
      <formula>LEN(TRIM(Q7))&gt;0</formula>
    </cfRule>
    <cfRule type="containsBlanks" priority="33" dxfId="8">
      <formula>LEN(TRIM(Q7))=0</formula>
    </cfRule>
  </conditionalFormatting>
  <conditionalFormatting sqref="Q8:Q2501">
    <cfRule type="expression" priority="34" dxfId="7">
      <formula>AND($Q$7&lt;&gt;"", Q8="")</formula>
    </cfRule>
  </conditionalFormatting>
  <conditionalFormatting sqref="R7">
    <cfRule type="notContainsBlanks" priority="35" dxfId="7">
      <formula>LEN(TRIM(R7))&gt;0</formula>
    </cfRule>
    <cfRule type="containsBlanks" priority="36" dxfId="8">
      <formula>LEN(TRIM(R7))=0</formula>
    </cfRule>
  </conditionalFormatting>
  <conditionalFormatting sqref="R8:R2501">
    <cfRule type="expression" priority="37" dxfId="7">
      <formula>AND($R$7&lt;&gt;"", R8="")</formula>
    </cfRule>
  </conditionalFormatting>
  <conditionalFormatting sqref="S7">
    <cfRule type="notContainsBlanks" priority="38" dxfId="7">
      <formula>LEN(TRIM(S7))&gt;0</formula>
    </cfRule>
    <cfRule type="containsBlanks" priority="39" dxfId="8">
      <formula>LEN(TRIM(S7))=0</formula>
    </cfRule>
  </conditionalFormatting>
  <conditionalFormatting sqref="S8:S2501">
    <cfRule type="expression" priority="40" dxfId="7">
      <formula>AND($S$7&lt;&gt;"", S8="")</formula>
    </cfRule>
  </conditionalFormatting>
  <conditionalFormatting sqref="T7">
    <cfRule type="notContainsBlanks" priority="41" dxfId="7">
      <formula>LEN(TRIM(T7))&gt;0</formula>
    </cfRule>
    <cfRule type="containsBlanks" priority="42" dxfId="8">
      <formula>LEN(TRIM(T7))=0</formula>
    </cfRule>
  </conditionalFormatting>
  <conditionalFormatting sqref="T8:T2501">
    <cfRule type="expression" priority="43" dxfId="7">
      <formula>AND($T$7&lt;&gt;"", T8="")</formula>
    </cfRule>
  </conditionalFormatting>
  <conditionalFormatting sqref="U7">
    <cfRule type="notContainsBlanks" priority="44" dxfId="7">
      <formula>LEN(TRIM(U7))&gt;0</formula>
    </cfRule>
    <cfRule type="containsBlanks" priority="45" dxfId="8">
      <formula>LEN(TRIM(U7))=0</formula>
    </cfRule>
  </conditionalFormatting>
  <conditionalFormatting sqref="U8:U2501">
    <cfRule type="expression" priority="46" dxfId="7">
      <formula>AND($U$7&lt;&gt;"", U8="")</formula>
    </cfRule>
  </conditionalFormatting>
  <conditionalFormatting sqref="V7">
    <cfRule type="notContainsBlanks" priority="47" dxfId="7">
      <formula>LEN(TRIM(V7))&gt;0</formula>
    </cfRule>
    <cfRule type="containsBlanks" priority="48" dxfId="8">
      <formula>LEN(TRIM(V7))=0</formula>
    </cfRule>
  </conditionalFormatting>
  <conditionalFormatting sqref="V8:V2501">
    <cfRule type="expression" priority="49" dxfId="7">
      <formula>AND($V$7&lt;&gt;"", V8="")</formula>
    </cfRule>
  </conditionalFormatting>
  <conditionalFormatting sqref="W7">
    <cfRule type="notContainsBlanks" priority="50" dxfId="7">
      <formula>LEN(TRIM(W7))&gt;0</formula>
    </cfRule>
    <cfRule type="containsBlanks" priority="51" dxfId="8">
      <formula>LEN(TRIM(W7))=0</formula>
    </cfRule>
  </conditionalFormatting>
  <conditionalFormatting sqref="W8:W2501">
    <cfRule type="expression" priority="52" dxfId="7">
      <formula>AND($W$7&lt;&gt;"", W8="")</formula>
    </cfRule>
  </conditionalFormatting>
  <conditionalFormatting sqref="X7">
    <cfRule type="notContainsBlanks" priority="53" dxfId="7">
      <formula>LEN(TRIM(X7))&gt;0</formula>
    </cfRule>
    <cfRule type="containsBlanks" priority="54" dxfId="8">
      <formula>LEN(TRIM(X7))=0</formula>
    </cfRule>
  </conditionalFormatting>
  <conditionalFormatting sqref="X8:X2501">
    <cfRule type="expression" priority="55" dxfId="7">
      <formula>AND($X$7&lt;&gt;"", X8="")</formula>
    </cfRule>
  </conditionalFormatting>
  <conditionalFormatting sqref="Y7">
    <cfRule type="notContainsBlanks" priority="56" dxfId="7">
      <formula>LEN(TRIM(Y7))&gt;0</formula>
    </cfRule>
    <cfRule type="containsBlanks" priority="57" dxfId="8">
      <formula>LEN(TRIM(Y7))=0</formula>
    </cfRule>
  </conditionalFormatting>
  <conditionalFormatting sqref="Y8:Y2501">
    <cfRule type="expression" priority="58" dxfId="7">
      <formula>AND($Y$7&lt;&gt;"", Y8="")</formula>
    </cfRule>
  </conditionalFormatting>
  <conditionalFormatting sqref="Z7">
    <cfRule type="notContainsBlanks" priority="59" dxfId="7">
      <formula>LEN(TRIM(Z7))&gt;0</formula>
    </cfRule>
    <cfRule type="containsBlanks" priority="60" dxfId="8">
      <formula>LEN(TRIM(Z7))=0</formula>
    </cfRule>
  </conditionalFormatting>
  <conditionalFormatting sqref="Z8:Z2501">
    <cfRule type="expression" priority="61" dxfId="7">
      <formula>AND($Z$7&lt;&gt;"", Z8="")</formula>
    </cfRule>
  </conditionalFormatting>
  <dataValidations count="275">
    <dataValidation sqref="B8:B2500" showDropDown="0" showInputMessage="1" showErrorMessage="1" allowBlank="1" errorTitle="Duplicate supplier part number" error="The providedsupplier part number is invalid due to having a duplicate value provided elsewhere in the sheet. Please provide a unique value here or remove the original value from the sheet." promptTitle="Supplier Part Number" prompt="Please enter Text" type="custom">
      <formula1>AND(LEN(B8)&lt;32767, IF(B8&lt;&gt;"",COUNTIF($B$8:$B$2500,B8)=1,""))</formula1>
    </dataValidation>
    <dataValidation sqref="C8:C2500" showDropDown="0" showInputMessage="1" showErrorMessage="1" allowBlank="0" errorTitle="Invalid Text" error="The value provided is not a valid Text." promptTitle="ASIN or Amazon Seller SKU" prompt="Please enter Text" type="textLength" errorStyle="warning" operator="lessThanOrEqual">
      <formula1>32767</formula1>
    </dataValidation>
    <dataValidation sqref="D8:D2500" showDropDown="0" showInputMessage="1" showErrorMessage="1" allowBlank="1" errorTitle="Invalid Brand" error="The value provided is not a valid Brand." promptTitle="Brand" prompt="Please select a valid Brand" type="list">
      <formula1>'WAYFAIR_USE_ONLY'!$BK$7:$BK7</formula1>
    </dataValidation>
    <dataValidation sqref="D7" showDropDown="0" showInputMessage="1" showErrorMessage="1" allowBlank="1" errorTitle="Invalid Brand" error="The value provided is not a valid Brand." promptTitle="" prompt="If all products in this class consistently have the same answer, you can set a default value to apply automatically. For any exceptions, you can modify the answer for specific products without changing the default." type="list">
      <formula1>'WAYFAIR_USE_ONLY'!$BK$7:$BK7</formula1>
    </dataValidation>
    <dataValidation sqref="E8:E2500" showDropDown="0" showInputMessage="1" showErrorMessage="1" allowBlank="1" errorTitle="Duplicate manufacturer part numb" error="The providedmanufacturer part number is invalid due to having a duplicate value provided elsewhere in the sheet. Please provide a unique value here or remove the original value from the sheet." promptTitle="Manufacturer Part Number" prompt="Please enter Text" type="custom">
      <formula1>AND(LEN(E8)&lt;32767, IF(E8&lt;&gt;"",COUNTIF($E$8:$E$2500,E8)=1,""))</formula1>
    </dataValidation>
    <dataValidation sqref="F8:F2500" showDropDown="0" showInputMessage="1" showErrorMessage="1" allowBlank="1" errorTitle="Duplicate universal product code" error="The provideduniversal product code is invalid due to having a duplicate value provided elsewhere in the sheet. Please provide a unique value here or remove the original value from the sheet." promptTitle="Universal Product Code" prompt="Please enter Text" type="custom">
      <formula1>AND(LEN(F8)&lt;32767, IF(F8&lt;&gt;"",COUNTIF($F$8:$F$2500,F8)=1,""))</formula1>
    </dataValidation>
    <dataValidation sqref="G8:G2500" showDropDown="0" showInputMessage="1" showErrorMessage="1" allowBlank="0" errorTitle="Invalid Text" error="The value provided is not a valid Text." promptTitle="Product Name" prompt="Please enter Text" type="textLength" errorStyle="warning" operator="lessThanOrEqual">
      <formula1>32767</formula1>
    </dataValidation>
    <dataValidation sqref="H8:H2500" showDropDown="0" showInputMessage="1" showErrorMessage="1" allowBlank="0" errorTitle="Invalid Text" error="The value provided is not a valid Text." promptTitle="Collection Name" prompt="Please enter Text" type="textLength" errorStyle="warning" operator="lessThanOrEqual">
      <formula1>32767</formula1>
    </dataValidation>
    <dataValidation sqref="H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I8:I2500" showDropDown="0" showInputMessage="1" showErrorMessage="1" allowBlank="0" errorTitle="Invalid Text" error="The value provided is not a valid Text." promptTitle="Manufacturer Product URL" prompt="Please enter Text" type="textLength" errorStyle="warning" operator="lessThanOrEqual">
      <formula1>32767</formula1>
    </dataValidation>
    <dataValidation sqref="J8:J2500" showDropDown="0" showInputMessage="1" showErrorMessage="1" allowBlank="0" errorTitle="Invalid Number" error="The value provided is not a valid Number." promptTitle="Base Cost" prompt="Please enter Number" type="textLength" errorStyle="warning" operator="lessThanOrEqual">
      <formula1>32767</formula1>
    </dataValidation>
    <dataValidation sqref="K8:K2500" showDropDown="0" showInputMessage="1" showErrorMessage="1" allowBlank="0" errorTitle="Invalid Number" error="The value provided is not a valid Number." promptTitle="Minimum Advertised Price" prompt="Please enter Number" type="textLength" errorStyle="warning" operator="lessThanOrEqual">
      <formula1>32767</formula1>
    </dataValidation>
    <dataValidation sqref="K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L8:L2500" showDropDown="0" showInputMessage="1" showErrorMessage="1" allowBlank="0" errorTitle="Invalid Number" error="The value provided is not a valid Number." promptTitle="Manufacturer Suggested Retail Pr" prompt="Please enter Number" type="textLength" errorStyle="warning" operator="lessThanOrEqual">
      <formula1>32767</formula1>
    </dataValidation>
    <dataValidation sqref="L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M8:M2500" showDropDown="0" showInputMessage="1" showErrorMessage="1" allowBlank="0" errorTitle="Invalid Text" error="The value provided is not a valid Text." promptTitle="Marketing Copy" prompt="Please enter Text" type="textLength" errorStyle="warning" operator="lessThanOrEqual">
      <formula1>32767</formula1>
    </dataValidation>
    <dataValidation sqref="M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N8:N2500"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N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O8:O2500"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O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P8:P2500"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P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Q8:Q2500"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Q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R8:R2500"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R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S8:S2500" showDropDown="0" showInputMessage="1" showErrorMessage="1" allowBlank="0" errorTitle="Invalid Whole Number" error="The value provided is not a valid Whole Number." promptTitle="Minimum Order Quantity" prompt="Please enter Whole Number" type="textLength" errorStyle="warning" operator="lessThanOrEqual">
      <formula1>32767</formula1>
    </dataValidation>
    <dataValidation sqref="S7" showDropDown="0" showInputMessage="1" showErrorMessage="1" allowBlank="0" errorTitle="Invalid Whole Number" error="The value provided is not a valid Whole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T8:T2500" showDropDown="0" showInputMessage="1" showErrorMessage="1" allowBlank="0" errorTitle="Invalid Whole Number" error="The value provided is not a valid Whole Number." promptTitle="Force Quantity Multiplier" prompt="Please enter Whole Number" type="textLength" errorStyle="warning" operator="lessThanOrEqual">
      <formula1>32767</formula1>
    </dataValidation>
    <dataValidation sqref="T7" showDropDown="0" showInputMessage="1" showErrorMessage="1" allowBlank="0" errorTitle="Invalid Whole Number" error="The value provided is not a valid Whole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U8:U2500" showDropDown="0" showInputMessage="1" showErrorMessage="1" allowBlank="0" errorTitle="Invalid Whole Number" error="The value provided is not a valid Whole Number." promptTitle="Display Set Quantity" prompt="Please enter Whole Number" type="textLength" errorStyle="warning" operator="lessThanOrEqual">
      <formula1>32767</formula1>
    </dataValidation>
    <dataValidation sqref="U7" showDropDown="0" showInputMessage="1" showErrorMessage="1" allowBlank="0" errorTitle="Invalid Whole Number" error="The value provided is not a valid Whole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V8:V2500" showDropDown="0" showInputMessage="1" showErrorMessage="1" allowBlank="0" errorTitle="Invalid Number" error="The value provided is not a valid Number." promptTitle="Product Weight" prompt="Please enter Number" type="textLength" errorStyle="warning" operator="lessThanOrEqual">
      <formula1>32767</formula1>
    </dataValidation>
    <dataValidation sqref="V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W8:W2500" showDropDown="0" showInputMessage="1" showErrorMessage="1" allowBlank="1" errorTitle="Invalid Ship Type" error="The value provided is not a valid Ship Type." promptTitle="Ship Type" prompt="Please select a valid Ship Type" type="list">
      <formula1>'WAYFAIR_USE_ONLY'!$BQ$7:$BQ9</formula1>
    </dataValidation>
    <dataValidation sqref="W7" showDropDown="0" showInputMessage="1" showErrorMessage="1" allowBlank="1" errorTitle="Invalid Ship Type" error="The value provided is not a valid Ship Type." promptTitle="" prompt="If all products in this class consistently have the same answer, you can set a default value to apply automatically. For any exceptions, you can modify the answer for specific products without changing the default." type="list">
      <formula1>'WAYFAIR_USE_ONLY'!$BQ$7:$BQ9</formula1>
    </dataValidation>
    <dataValidation sqref="X8:X2500" showDropDown="0" showInputMessage="1" showErrorMessage="1" allowBlank="1" errorTitle="Invalid Freight Class" error="The value provided is not a valid Freight Class." promptTitle="Freight Class" prompt="Please select a valid Freight Class" type="list">
      <formula1>'WAYFAIR_USE_ONLY'!$BR$7:$BR25</formula1>
    </dataValidation>
    <dataValidation sqref="X7" showDropDown="0" showInputMessage="1" showErrorMessage="1" allowBlank="1" errorTitle="Invalid Freight Class" error="The value provided is not a valid Freight Class." promptTitle="" prompt="If all products in this class consistently have the same answer, you can set a default value to apply automatically. For any exceptions, you can modify the answer for specific products without changing the default." type="list">
      <formula1>'WAYFAIR_USE_ONLY'!$BR$7:$BR25</formula1>
    </dataValidation>
    <dataValidation sqref="Y8:Y2500" showDropDown="0" showInputMessage="1" showErrorMessage="1" allowBlank="1" errorTitle="Invalid Lead Time" error="The value provided is not a valid Lead Time." promptTitle="Lead Time" prompt="Please select a valid Lead Time" type="list">
      <formula1>'WAYFAIR_USE_ONLY'!$BS$7:$BS24</formula1>
    </dataValidation>
    <dataValidation sqref="Y7" showDropDown="0" showInputMessage="1" showErrorMessage="1" allowBlank="1" errorTitle="Invalid Lead Time" error="The value provided is not a valid Lead Time." promptTitle="" prompt="If all products in this class consistently have the same answer, you can set a default value to apply automatically. For any exceptions, you can modify the answer for specific products without changing the default." type="list">
      <formula1>'WAYFAIR_USE_ONLY'!$BS$7:$BS24</formula1>
    </dataValidation>
    <dataValidation sqref="Z8:Z2500" showDropDown="0" showInputMessage="1" showErrorMessage="1" allowBlank="1" errorTitle="Invalid Replacement Lead Time" error="The value provided is not a valid Replacement Lead Time." promptTitle="Replacement Lead Time" prompt="Please select a valid Replacement Lead Time" type="list">
      <formula1>'WAYFAIR_USE_ONLY'!$BT$7:$BT13</formula1>
    </dataValidation>
    <dataValidation sqref="Z7" showDropDown="0" showInputMessage="1" showErrorMessage="1" allowBlank="1" errorTitle="Invalid Replacement Lead Time" error="The value provided is not a valid Replacement Lead Time." promptTitle="" prompt="If all products in this class consistently have the same answer, you can set a default value to apply automatically. For any exceptions, you can modify the answer for specific products without changing the default." type="list">
      <formula1>'WAYFAIR_USE_ONLY'!$BT$7:$BT13</formula1>
    </dataValidation>
    <dataValidation sqref="AA8:AA2500" showDropDown="0" showInputMessage="1" showErrorMessage="1" allowBlank="0" errorTitle="Invalid Text" error="The value provided is not a valid Text." promptTitle="National Motor Freight Class" prompt="Please enter Text" type="textLength" errorStyle="warning" operator="lessThanOrEqual">
      <formula1>32767</formula1>
    </dataValidation>
    <dataValidation sqref="AA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B8:AB2500" showDropDown="0" showInputMessage="1" showErrorMessage="1" allowBlank="1" errorTitle="Invalid Flat Pack" error="The value provided is not a valid Flat Pack." promptTitle="Flat Pack" prompt="Please select a valid Flat Pack" type="list">
      <formula1>'WAYFAIR_USE_ONLY'!$BU$7:$BU9</formula1>
    </dataValidation>
    <dataValidation sqref="AB7" showDropDown="0" showInputMessage="1" showErrorMessage="1" allowBlank="1" errorTitle="Invalid Flat Pack" error="The value provided is not a valid Flat Pack." promptTitle="" prompt="If all products in this class consistently have the same answer, you can set a default value to apply automatically. For any exceptions, you can modify the answer for specific products without changing the default." type="list">
      <formula1>'WAYFAIR_USE_ONLY'!$BU$7:$BU9</formula1>
    </dataValidation>
    <dataValidation sqref="AC8:AC2500" showDropDown="0" showInputMessage="1" showErrorMessage="1" allowBlank="1" errorTitle="Invalid Ship Palletized" error="The value provided is not a valid Ship Palletized." promptTitle="Ship Palletized" prompt="Please select a valid Ship Palletized" type="list">
      <formula1>'WAYFAIR_USE_ONLY'!$BV$7:$BV9</formula1>
    </dataValidation>
    <dataValidation sqref="AC7" showDropDown="0" showInputMessage="1" showErrorMessage="1" allowBlank="1" errorTitle="Invalid Ship Palletized" error="The value provided is not a valid Ship Palletized." promptTitle="" prompt="If all products in this class consistently have the same answer, you can set a default value to apply automatically. For any exceptions, you can modify the answer for specific products without changing the default." type="list">
      <formula1>'WAYFAIR_USE_ONLY'!$BV$7:$BV9</formula1>
    </dataValidation>
    <dataValidation sqref="AD8:AD2500" showDropDown="0" showInputMessage="1" showErrorMessage="1" allowBlank="0" errorTitle="Invalid Number" error="The value provided is not a valid Number." promptTitle="Carton Weight" prompt="Please enter Number" type="textLength" errorStyle="warning" operator="lessThanOrEqual">
      <formula1>32767</formula1>
    </dataValidation>
    <dataValidation sqref="AD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E8:AE2500" showDropDown="0" showInputMessage="1" showErrorMessage="1" allowBlank="0" errorTitle="Invalid Number" error="The value provided is not a valid Number." promptTitle="Carton Height" prompt="Please enter Number" type="textLength" errorStyle="warning" operator="lessThanOrEqual">
      <formula1>32767</formula1>
    </dataValidation>
    <dataValidation sqref="AE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F8:AF2500" showDropDown="0" showInputMessage="1" showErrorMessage="1" allowBlank="0" errorTitle="Invalid Number" error="The value provided is not a valid Number." promptTitle="Carton Width" prompt="Please enter Number" type="textLength" errorStyle="warning" operator="lessThanOrEqual">
      <formula1>32767</formula1>
    </dataValidation>
    <dataValidation sqref="AF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G8:AG2500" showDropDown="0" showInputMessage="1" showErrorMessage="1" allowBlank="0" errorTitle="Invalid Number" error="The value provided is not a valid Number." promptTitle="Carton Depth" prompt="Please enter Number" type="textLength" errorStyle="warning" operator="lessThanOrEqual">
      <formula1>32767</formula1>
    </dataValidation>
    <dataValidation sqref="AG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H8:AH2500" showDropDown="0" showInputMessage="1" showErrorMessage="1" allowBlank="1" errorTitle="Invalid Warning Required" error="The value provided is not a valid Warning Required." promptTitle="Warning Required" prompt="Please select a valid Warning Required" type="list">
      <formula1>'WAYFAIR_USE_ONLY'!$BN$7:$BN9</formula1>
    </dataValidation>
    <dataValidation sqref="AH7" showDropDown="0" showInputMessage="1" showErrorMessage="1" allowBlank="1" errorTitle="Invalid Warning Required" error="The value provided is not a valid Warning Required." promptTitle="" prompt="If all products in this class consistently have the same answer, you can set a default value to apply automatically. For any exceptions, you can modify the answer for specific products without changing the default." type="list">
      <formula1>'WAYFAIR_USE_ONLY'!$BN$7:$BN9</formula1>
    </dataValidation>
    <dataValidation sqref="AI8:AI2500" showDropDown="0" showInputMessage="1" showErrorMessage="1" allowBlank="1" errorTitle="Invalid Chemical" error="The value provided is not a valid Chemical." promptTitle="Chemical" prompt="Please select a valid Chemical" type="list">
      <formula1>'WAYFAIR_USE_ONLY'!$BO$7:$BO908</formula1>
    </dataValidation>
    <dataValidation sqref="AI7" showDropDown="0" showInputMessage="1" showErrorMessage="1" allowBlank="1" errorTitle="Invalid Chemical" error="The value provided is not a valid Chemical." promptTitle="" prompt="If all products in this class consistently have the same answer, you can set a default value to apply automatically. For any exceptions, you can modify the answer for specific products without changing the default." type="list">
      <formula1>'WAYFAIR_USE_ONLY'!$BO$7:$BO908</formula1>
    </dataValidation>
    <dataValidation sqref="AJ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AK8:AK2500" showDropDown="0" showInputMessage="1" showErrorMessage="1" allowBlank="1" errorTitle="Invalid Country Of Manufacturer" error="The value provided is not a valid Country Of Manufacturer." promptTitle="Country Of Manufacturer" prompt="Please select a valid Country Of Manufacturer" type="list">
      <formula1>'WAYFAIR_USE_ONLY'!$BP$7:$BP254</formula1>
    </dataValidation>
    <dataValidation sqref="AK7" showDropDown="0" showInputMessage="1" showErrorMessage="1" allowBlank="1" errorTitle="Invalid Country Of Manufacturer" error="The value provided is not a valid Country Of Manufacturer." promptTitle="" prompt="If all products in this class consistently have the same answer, you can set a default value to apply automatically. For any exceptions, you can modify the answer for specific products without changing the default." type="list">
      <formula1>'WAYFAIR_USE_ONLY'!$BP$7:$BP254</formula1>
    </dataValidation>
    <dataValidation sqref="AL8:AL2500"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M8:AM2500"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N8:AN2500"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O8:AO2500"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P8:AP2500"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Q8:AQ2500" showDropDown="0" showInputMessage="1" showErrorMessage="1" allowBlank="0" errorTitle="Invalid Text" error="The value provided is not a valid Text." promptTitle="Video File Name or URL" prompt="Please enter Text" type="textLength" errorStyle="warning" operator="lessThanOrEqual">
      <formula1>32767</formula1>
    </dataValidation>
    <dataValidation sqref="AR8:AR2500"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AR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S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AT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AU8:AU2500"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AU7" showDropDown="0" showInputMessage="1" showErrorMessage="1" allowBlank="1" errorTitle="Invalid Document Region" error="The value provided is not a valid Document Region." promptTitle="" prompt="If all products in this class consistently have the same answer, you can set a default value to apply automatically. For any exceptions, you can modify the answer for specific products without changing the default." type="list">
      <formula1>'WAYFAIR_USE_ONLY'!$BL$7:$BL11</formula1>
    </dataValidation>
    <dataValidation sqref="AV8:AV2500"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AV7" showDropDown="0" showInputMessage="1" showErrorMessage="1" allowBlank="1" errorTitle="Invalid Document Language" error="The value provided is not a valid Document Language." promptTitle="" prompt="If all products in this class consistently have the same answer, you can set a default value to apply automatically. For any exceptions, you can modify the answer for specific products without changing the default." type="list">
      <formula1>'WAYFAIR_USE_ONLY'!$BM$7:$BM36</formula1>
    </dataValidation>
    <dataValidation sqref="AW8:AW2500"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AW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X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AY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AZ8:AZ2500"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AZ7" showDropDown="0" showInputMessage="1" showErrorMessage="1" allowBlank="1" errorTitle="Invalid Document Region" error="The value provided is not a valid Document Region." promptTitle="" prompt="If all products in this class consistently have the same answer, you can set a default value to apply automatically. For any exceptions, you can modify the answer for specific products without changing the default." type="list">
      <formula1>'WAYFAIR_USE_ONLY'!$BL$7:$BL11</formula1>
    </dataValidation>
    <dataValidation sqref="BA8:BA2500"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A7" showDropDown="0" showInputMessage="1" showErrorMessage="1" allowBlank="1" errorTitle="Invalid Document Language" error="The value provided is not a valid Document Language." promptTitle="" prompt="If all products in this class consistently have the same answer, you can set a default value to apply automatically. For any exceptions, you can modify the answer for specific products without changing the default." type="list">
      <formula1>'WAYFAIR_USE_ONLY'!$BM$7:$BM36</formula1>
    </dataValidation>
    <dataValidation sqref="BB8:BB2500"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BB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BC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D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E8:BE2500"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BE7" showDropDown="0" showInputMessage="1" showErrorMessage="1" allowBlank="1" errorTitle="Invalid Document Region" error="The value provided is not a valid Document Region." promptTitle="" prompt="If all products in this class consistently have the same answer, you can set a default value to apply automatically. For any exceptions, you can modify the answer for specific products without changing the default." type="list">
      <formula1>'WAYFAIR_USE_ONLY'!$BL$7:$BL11</formula1>
    </dataValidation>
    <dataValidation sqref="BF8:BF2500"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F7" showDropDown="0" showInputMessage="1" showErrorMessage="1" allowBlank="1" errorTitle="Invalid Document Language" error="The value provided is not a valid Document Language." promptTitle="" prompt="If all products in this class consistently have the same answer, you can set a default value to apply automatically. For any exceptions, you can modify the answer for specific products without changing the default." type="list">
      <formula1>'WAYFAIR_USE_ONLY'!$BM$7:$BM36</formula1>
    </dataValidation>
    <dataValidation sqref="BG8:BG2500" showDropDown="0" showInputMessage="1" showErrorMessage="1" allowBlank="1" errorTitle="Invalid Product Type" error="The value provided is not a valid Product Type. Would you like to provide a custom answer?" promptTitle="Product Type" prompt="Please select a valid Product Type" type="list" errorStyle="warning">
      <formula1>'WAYFAIR_USE_ONLY'!$B$7:$B9</formula1>
    </dataValidation>
    <dataValidation sqref="BG7" showDropDown="0" showInputMessage="1" showErrorMessage="1" allowBlank="1" errorTitle="Invalid Product Type" error="The value provided is not a valid Product Type. Would you like to provide a custom answer?" promptTitle="" prompt="If all products in this class consistently have the same answer, you can set a default value to apply automatically. For any exceptions, you can modify the answer for specific products without changing the default." type="list" errorStyle="warning">
      <formula1>'WAYFAIR_USE_ONLY'!$B$7:$B9</formula1>
    </dataValidation>
    <dataValidation sqref="BH8:BH2500" showDropDown="0" showInputMessage="1" showErrorMessage="1" allowBlank="1" errorTitle="Invalid Pier / Bookcase Included" error="The value provided is not a valid Pier / Bookcase Included." promptTitle="Pier / Bookcase Included" prompt="Please select a valid Pier / Bookcase Included" type="list">
      <formula1>'WAYFAIR_USE_ONLY'!$C$7:$C10</formula1>
    </dataValidation>
    <dataValidation sqref="BH7" showDropDown="0" showInputMessage="1" showErrorMessage="1" allowBlank="1" errorTitle="Invalid Pier / Bookcase Included" error="The value provided is not a valid Pier / Bookcase Included." promptTitle="" prompt="If all products in this class consistently have the same answer, you can set a default value to apply automatically. For any exceptions, you can modify the answer for specific products without changing the default." type="list">
      <formula1>'WAYFAIR_USE_ONLY'!$C$7:$C10</formula1>
    </dataValidation>
    <dataValidation sqref="BI8:BI2500" showDropDown="0" showInputMessage="1" showErrorMessage="1" allowBlank="1" errorTitle="Invalid Drawers Included" error="The value provided is not a valid Drawers Included." promptTitle="Drawers Included" prompt="Please select a valid Drawers Included" type="list">
      <formula1>'WAYFAIR_USE_ONLY'!$D$7:$D9</formula1>
    </dataValidation>
    <dataValidation sqref="BI7" showDropDown="0" showInputMessage="1" showErrorMessage="1" allowBlank="1" errorTitle="Invalid Drawers Included" error="The value provided is not a valid Drawers Included." promptTitle="" prompt="If all products in this class consistently have the same answer, you can set a default value to apply automatically. For any exceptions, you can modify the answer for specific products without changing the default." type="list">
      <formula1>'WAYFAIR_USE_ONLY'!$D$7:$D9</formula1>
    </dataValidation>
    <dataValidation sqref="BJ8:BJ2500" showDropDown="0" showInputMessage="1" showErrorMessage="1" allowBlank="0" errorTitle="Invalid Whole Number" error="The value provided is not a valid Whole Number." promptTitle="Number of Drawers" prompt="Please enter Whole Number" type="textLength" errorStyle="warning" operator="lessThanOrEqual">
      <formula1>32767</formula1>
    </dataValidation>
    <dataValidation sqref="BJ7" showDropDown="0" showInputMessage="1" showErrorMessage="1" allowBlank="0" errorTitle="Invalid Whole Number" error="The value provided is not a valid Whole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BK8:BK2500" showDropDown="0" showInputMessage="1" showErrorMessage="1" allowBlank="1" errorTitle="Invalid Cabinets Included" error="The value provided is not a valid Cabinets Included." promptTitle="Cabinets Included" prompt="Please select a valid Cabinets Included" type="list">
      <formula1>'WAYFAIR_USE_ONLY'!$E$7:$E9</formula1>
    </dataValidation>
    <dataValidation sqref="BK7" showDropDown="0" showInputMessage="1" showErrorMessage="1" allowBlank="1" errorTitle="Invalid Cabinets Included" error="The value provided is not a valid Cabinets Included." promptTitle="" prompt="If all products in this class consistently have the same answer, you can set a default value to apply automatically. For any exceptions, you can modify the answer for specific products without changing the default." type="list">
      <formula1>'WAYFAIR_USE_ONLY'!$E$7:$E9</formula1>
    </dataValidation>
    <dataValidation sqref="BL8:BL2500" showDropDown="0" showInputMessage="1" showErrorMessage="1" allowBlank="1" errorTitle="Invalid Shelves Included" error="The value provided is not a valid Shelves Included." promptTitle="Shelves Included" prompt="Please select a valid Shelves Included" type="list">
      <formula1>'WAYFAIR_USE_ONLY'!$F$7:$F10</formula1>
    </dataValidation>
    <dataValidation sqref="BL7" showDropDown="0" showInputMessage="1" showErrorMessage="1" allowBlank="1" errorTitle="Invalid Shelves Included" error="The value provided is not a valid Shelves Included." promptTitle="" prompt="If all products in this class consistently have the same answer, you can set a default value to apply automatically. For any exceptions, you can modify the answer for specific products without changing the default." type="list">
      <formula1>'WAYFAIR_USE_ONLY'!$F$7:$F10</formula1>
    </dataValidation>
    <dataValidation sqref="BM8:BM2500" showDropDown="0" showInputMessage="1" showErrorMessage="1" allowBlank="1" errorTitle="Invalid Exterior Shelves Include" error="The value provided is not a valid Exterior Shelves Included." promptTitle="Exterior Shelves Included" prompt="Please select a valid Exterior Shelves Included" type="list">
      <formula1>'WAYFAIR_USE_ONLY'!$G$7:$G9</formula1>
    </dataValidation>
    <dataValidation sqref="BM7" showDropDown="0" showInputMessage="1" showErrorMessage="1" allowBlank="1" errorTitle="Invalid Exterior Shelves Include" error="The value provided is not a valid Exterior Shelves Included." promptTitle="" prompt="If all products in this class consistently have the same answer, you can set a default value to apply automatically. For any exceptions, you can modify the answer for specific products without changing the default." type="list">
      <formula1>'WAYFAIR_USE_ONLY'!$G$7:$G9</formula1>
    </dataValidation>
    <dataValidation sqref="BN8:BN2500" showDropDown="0" showInputMessage="1" showErrorMessage="1" allowBlank="1" errorTitle="Invalid Interior Shelves Include" error="The value provided is not a valid Interior Shelves Included." promptTitle="Interior Shelves Included" prompt="Please select a valid Interior Shelves Included" type="list">
      <formula1>'WAYFAIR_USE_ONLY'!$H$7:$H10</formula1>
    </dataValidation>
    <dataValidation sqref="BN7" showDropDown="0" showInputMessage="1" showErrorMessage="1" allowBlank="1" errorTitle="Invalid Interior Shelves Include" error="The value provided is not a valid Interior Shelves Included." promptTitle="" prompt="If all products in this class consistently have the same answer, you can set a default value to apply automatically. For any exceptions, you can modify the answer for specific products without changing the default." type="list">
      <formula1>'WAYFAIR_USE_ONLY'!$H$7:$H10</formula1>
    </dataValidation>
    <dataValidation sqref="BO8:BO2500" showDropDown="0" showInputMessage="1" showErrorMessage="1" allowBlank="1" errorTitle="Invalid Bridge Included" error="The value provided is not a valid Bridge Included." promptTitle="Bridge Included" prompt="Please select a valid Bridge Included" type="list">
      <formula1>'WAYFAIR_USE_ONLY'!$I$7:$I10</formula1>
    </dataValidation>
    <dataValidation sqref="BO7" showDropDown="0" showInputMessage="1" showErrorMessage="1" allowBlank="1" errorTitle="Invalid Bridge Included" error="The value provided is not a valid Bridge Included." promptTitle="" prompt="If all products in this class consistently have the same answer, you can set a default value to apply automatically. For any exceptions, you can modify the answer for specific products without changing the default." type="list">
      <formula1>'WAYFAIR_USE_ONLY'!$I$7:$I10</formula1>
    </dataValidation>
    <dataValidation sqref="BP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Q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R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S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T8:BT2500" showDropDown="0" showInputMessage="1" showErrorMessage="1" allowBlank="1" errorTitle="Invalid Gloss Finish" error="The value provided is not a valid Gloss Finish." promptTitle="Gloss Finish" prompt="Please select a valid Gloss Finish" type="list">
      <formula1>'WAYFAIR_USE_ONLY'!$J$7:$J10</formula1>
    </dataValidation>
    <dataValidation sqref="BT7" showDropDown="0" showInputMessage="1" showErrorMessage="1" allowBlank="1" errorTitle="Invalid Gloss Finish" error="The value provided is not a valid Gloss Finish." promptTitle="" prompt="If all products in this class consistently have the same answer, you can set a default value to apply automatically. For any exceptions, you can modify the answer for specific products without changing the default." type="list">
      <formula1>'WAYFAIR_USE_ONLY'!$J$7:$J10</formula1>
    </dataValidation>
    <dataValidation sqref="BU8:BU2500" showDropDown="0" showInputMessage="1" showErrorMessage="1" allowBlank="1" errorTitle="Invalid Mirrored" error="The value provided is not a valid Mirrored." promptTitle="Mirrored" prompt="Please select a valid Mirrored" type="list">
      <formula1>'WAYFAIR_USE_ONLY'!$K$7:$K10</formula1>
    </dataValidation>
    <dataValidation sqref="BU7" showDropDown="0" showInputMessage="1" showErrorMessage="1" allowBlank="1" errorTitle="Invalid Mirrored" error="The value provided is not a valid Mirrored." promptTitle="" prompt="If all products in this class consistently have the same answer, you can set a default value to apply automatically. For any exceptions, you can modify the answer for specific products without changing the default." type="list">
      <formula1>'WAYFAIR_USE_ONLY'!$K$7:$K10</formula1>
    </dataValidation>
    <dataValidation sqref="BV8:BV2500" showDropDown="0" showInputMessage="1" showErrorMessage="1" allowBlank="1" errorTitle="Invalid Sound Bar Shelf Included" error="The value provided is not a valid Sound Bar Shelf Included." promptTitle="Sound Bar Shelf Included" prompt="Please select a valid Sound Bar Shelf Included" type="list">
      <formula1>'WAYFAIR_USE_ONLY'!$L$7:$L10</formula1>
    </dataValidation>
    <dataValidation sqref="BV7" showDropDown="0" showInputMessage="1" showErrorMessage="1" allowBlank="1" errorTitle="Invalid Sound Bar Shelf Included" error="The value provided is not a valid Sound Bar Shelf Included." promptTitle="" prompt="If all products in this class consistently have the same answer, you can set a default value to apply automatically. For any exceptions, you can modify the answer for specific products without changing the default." type="list">
      <formula1>'WAYFAIR_USE_ONLY'!$L$7:$L10</formula1>
    </dataValidation>
    <dataValidation sqref="BW8:BW2500" showDropDown="0" showInputMessage="1" showErrorMessage="1" allowBlank="1" errorTitle="Invalid Adjustable Shelves" error="The value provided is not a valid Adjustable Shelves." promptTitle="Adjustable Shelves" prompt="Please select a valid Adjustable Shelves" type="list">
      <formula1>'WAYFAIR_USE_ONLY'!$M$7:$M10</formula1>
    </dataValidation>
    <dataValidation sqref="BW7" showDropDown="0" showInputMessage="1" showErrorMessage="1" allowBlank="1" errorTitle="Invalid Adjustable Shelves" error="The value provided is not a valid Adjustable Shelves." promptTitle="" prompt="If all products in this class consistently have the same answer, you can set a default value to apply automatically. For any exceptions, you can modify the answer for specific products without changing the default." type="list">
      <formula1>'WAYFAIR_USE_ONLY'!$M$7:$M10</formula1>
    </dataValidation>
    <dataValidation sqref="BX8:BX2500" showDropDown="0" showInputMessage="1" showErrorMessage="1" allowBlank="1" errorTitle="Invalid Media Storage Included" error="The value provided is not a valid Media Storage Included." promptTitle="Media Storage Included" prompt="Please select a valid Media Storage Included" type="list">
      <formula1>'WAYFAIR_USE_ONLY'!$N$7:$N10</formula1>
    </dataValidation>
    <dataValidation sqref="BX7" showDropDown="0" showInputMessage="1" showErrorMessage="1" allowBlank="1" errorTitle="Invalid Media Storage Included" error="The value provided is not a valid Media Storage Included." promptTitle="" prompt="If all products in this class consistently have the same answer, you can set a default value to apply automatically. For any exceptions, you can modify the answer for specific products without changing the default." type="list">
      <formula1>'WAYFAIR_USE_ONLY'!$N$7:$N10</formula1>
    </dataValidation>
    <dataValidation sqref="BY8:BY2500" showDropDown="0" showInputMessage="1" showErrorMessage="1" allowBlank="1" errorTitle="Invalid Cable Management" error="The value provided is not a valid Cable Management." promptTitle="Cable Management" prompt="Please select a valid Cable Management" type="list">
      <formula1>'WAYFAIR_USE_ONLY'!$O$7:$O10</formula1>
    </dataValidation>
    <dataValidation sqref="BY7" showDropDown="0" showInputMessage="1" showErrorMessage="1" allowBlank="1" errorTitle="Invalid Cable Management" error="The value provided is not a valid Cable Management." promptTitle="" prompt="If all products in this class consistently have the same answer, you can set a default value to apply automatically. For any exceptions, you can modify the answer for specific products without changing the default." type="list">
      <formula1>'WAYFAIR_USE_ONLY'!$O$7:$O10</formula1>
    </dataValidation>
    <dataValidation sqref="BZ8:BZ2500" showDropDown="0" showInputMessage="1" showErrorMessage="1" allowBlank="1" errorTitle="Invalid Wheels / Casters Include" error="The value provided is not a valid Wheels / Casters Included." promptTitle="Wheels / Casters Included" prompt="Please select a valid Wheels / Casters Included" type="list">
      <formula1>'WAYFAIR_USE_ONLY'!$P$7:$P9</formula1>
    </dataValidation>
    <dataValidation sqref="BZ7" showDropDown="0" showInputMessage="1" showErrorMessage="1" allowBlank="1" errorTitle="Invalid Wheels / Casters Include" error="The value provided is not a valid Wheels / Casters Included." promptTitle="" prompt="If all products in this class consistently have the same answer, you can set a default value to apply automatically. For any exceptions, you can modify the answer for specific products without changing the default." type="list">
      <formula1>'WAYFAIR_USE_ONLY'!$P$7:$P9</formula1>
    </dataValidation>
    <dataValidation sqref="CA8:CA2500" showDropDown="0" showInputMessage="1" showErrorMessage="1" allowBlank="1" errorTitle="Invalid Fireplace Included" error="The value provided is not a valid Fireplace Included." promptTitle="Fireplace Included" prompt="Please select a valid Fireplace Included" type="list">
      <formula1>'WAYFAIR_USE_ONLY'!$Q$7:$Q9</formula1>
    </dataValidation>
    <dataValidation sqref="CA7" showDropDown="0" showInputMessage="1" showErrorMessage="1" allowBlank="1" errorTitle="Invalid Fireplace Included" error="The value provided is not a valid Fireplace Included." promptTitle="" prompt="If all products in this class consistently have the same answer, you can set a default value to apply automatically. For any exceptions, you can modify the answer for specific products without changing the default." type="list">
      <formula1>'WAYFAIR_USE_ONLY'!$Q$7:$Q9</formula1>
    </dataValidation>
    <dataValidation sqref="CB8:CB2500" showDropDown="0" showInputMessage="1" showErrorMessage="1" allowBlank="1" errorTitle="Invalid Plug-In" error="The value provided is not a valid Plug-In." promptTitle="Plug-In" prompt="Please select a valid Plug-In" type="list">
      <formula1>'WAYFAIR_USE_ONLY'!$R$7:$R9</formula1>
    </dataValidation>
    <dataValidation sqref="CB7" showDropDown="0" showInputMessage="1" showErrorMessage="1" allowBlank="1" errorTitle="Invalid Plug-In" error="The value provided is not a valid Plug-In." promptTitle="" prompt="If all products in this class consistently have the same answer, you can set a default value to apply automatically. For any exceptions, you can modify the answer for specific products without changing the default." type="list">
      <formula1>'WAYFAIR_USE_ONLY'!$R$7:$R9</formula1>
    </dataValidation>
    <dataValidation sqref="CC8:CC2500" showDropDown="0" showInputMessage="1" showErrorMessage="1" allowBlank="1" errorTitle="Invalid Tipover Restraint Device" error="The value provided is not a valid Tipover Restraint Device Included." promptTitle="Tipover Restraint Device Include" prompt="Please select a valid Tipover Restraint Device Included" type="list">
      <formula1>'WAYFAIR_USE_ONLY'!$S$7:$S9</formula1>
    </dataValidation>
    <dataValidation sqref="CC7" showDropDown="0" showInputMessage="1" showErrorMessage="1" allowBlank="1" errorTitle="Invalid Tipover Restraint Device" error="The value provided is not a valid Tipover Restraint Device Included." promptTitle="" prompt="If all products in this class consistently have the same answer, you can set a default value to apply automatically. For any exceptions, you can modify the answer for specific products without changing the default." type="list">
      <formula1>'WAYFAIR_USE_ONLY'!$S$7:$S9</formula1>
    </dataValidation>
    <dataValidation sqref="CD8:CD2500" showDropDown="0" showInputMessage="1" showErrorMessage="1" allowBlank="1" errorTitle="Invalid Integrated TV Mount Incl" error="The value provided is not a valid Integrated TV Mount Included." promptTitle="Integrated TV Mount Included" prompt="Please select a valid Integrated TV Mount Included" type="list">
      <formula1>'WAYFAIR_USE_ONLY'!$T$7:$T10</formula1>
    </dataValidation>
    <dataValidation sqref="CD7" showDropDown="0" showInputMessage="1" showErrorMessage="1" allowBlank="1" errorTitle="Invalid Integrated TV Mount Incl" error="The value provided is not a valid Integrated TV Mount Included." promptTitle="" prompt="If all products in this class consistently have the same answer, you can set a default value to apply automatically. For any exceptions, you can modify the answer for specific products without changing the default." type="list">
      <formula1>'WAYFAIR_USE_ONLY'!$T$7:$T10</formula1>
    </dataValidation>
    <dataValidation sqref="CE8:CE2500" showDropDown="0" showInputMessage="1" showErrorMessage="1" allowBlank="1" errorTitle="Invalid Adjustable Height" error="The value provided is not a valid Adjustable Height." promptTitle="Adjustable Height" prompt="Please select a valid Adjustable Height" type="list">
      <formula1>'WAYFAIR_USE_ONLY'!$U$7:$U10</formula1>
    </dataValidation>
    <dataValidation sqref="CE7" showDropDown="0" showInputMessage="1" showErrorMessage="1" allowBlank="1" errorTitle="Invalid Adjustable Height" error="The value provided is not a valid Adjustable Height." promptTitle="" prompt="If all products in this class consistently have the same answer, you can set a default value to apply automatically. For any exceptions, you can modify the answer for specific products without changing the default." type="list">
      <formula1>'WAYFAIR_USE_ONLY'!$U$7:$U10</formula1>
    </dataValidation>
    <dataValidation sqref="CF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G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H8:CH2500" showDropDown="0" showInputMessage="1" showErrorMessage="1" allowBlank="1" errorTitle="Invalid Main Wood Joinery Method" error="The value provided is not a valid Main Wood Joinery Method. Would you like to provide a custom answer?" promptTitle="Main Wood Joinery Method" prompt="Please select a valid Main Wood Joinery Method" type="list" errorStyle="warning">
      <formula1>'WAYFAIR_USE_ONLY'!$V$7:$V26</formula1>
    </dataValidation>
    <dataValidation sqref="CH7" showDropDown="0" showInputMessage="1" showErrorMessage="1" allowBlank="1" errorTitle="Invalid Main Wood Joinery Method" error="The value provided is not a valid Main Wood Joinery Method. Would you like to provide a custom answer?" promptTitle="" prompt="If all products in this class consistently have the same answer, you can set a default value to apply automatically. For any exceptions, you can modify the answer for specific products without changing the default." type="list" errorStyle="warning">
      <formula1>'WAYFAIR_USE_ONLY'!$V$7:$V26</formula1>
    </dataValidation>
    <dataValidation sqref="CI8:CI2500" showDropDown="0" showInputMessage="1" showErrorMessage="1" allowBlank="1" errorTitle="Invalid Kiln-Dried Wood" error="The value provided is not a valid Kiln-Dried Wood." promptTitle="Kiln-Dried Wood" prompt="Please select a valid Kiln-Dried Wood" type="list">
      <formula1>'WAYFAIR_USE_ONLY'!$W$7:$W11</formula1>
    </dataValidation>
    <dataValidation sqref="CI7" showDropDown="0" showInputMessage="1" showErrorMessage="1" allowBlank="1" errorTitle="Invalid Kiln-Dried Wood" error="The value provided is not a valid Kiln-Dried Wood." promptTitle="" prompt="If all products in this class consistently have the same answer, you can set a default value to apply automatically. For any exceptions, you can modify the answer for specific products without changing the default." type="list">
      <formula1>'WAYFAIR_USE_ONLY'!$W$7:$W11</formula1>
    </dataValidation>
    <dataValidation sqref="CJ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K8:CK2500" showDropDown="0" showInputMessage="1" showErrorMessage="1" allowBlank="1" errorTitle="Invalid Battery or Batteries Inc" error="The value provided is not a valid Battery or Batteries Included." promptTitle="Battery or Batteries Included" prompt="Please select a valid Battery or Batteries Included" type="list">
      <formula1>'WAYFAIR_USE_ONLY'!$AE$7:$AE10</formula1>
    </dataValidation>
    <dataValidation sqref="CK7" showDropDown="0" showInputMessage="1" showErrorMessage="1" allowBlank="1" errorTitle="Invalid Battery or Batteries Inc" error="The value provided is not a valid Battery or Batteries Included." promptTitle="" prompt="If all products in this class consistently have the same answer, you can set a default value to apply automatically. For any exceptions, you can modify the answer for specific products without changing the default." type="list">
      <formula1>'WAYFAIR_USE_ONLY'!$AE$7:$AE10</formula1>
    </dataValidation>
    <dataValidation sqref="CL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CL8:CL2500" showDropDown="0" showInputMessage="1" showErrorMessage="1" allowBlank="1" errorTitle="Invalid Battery Composition" error="The value provided is not a valid Battery Composition." promptTitle="Battery Composition" prompt="Please select a valid Battery Composition" type="list">
      <formula1>'WAYFAIR_USE_ONLY'!$X$7:$X17</formula1>
    </dataValidation>
    <dataValidation sqref="CL7" showDropDown="0" showInputMessage="1" showErrorMessage="1" allowBlank="1" errorTitle="Invalid Battery Composition" error="The value provided is not a valid Battery Composition." promptTitle="" prompt="If all products in this class consistently have the same answer, you can set a default value to apply automatically. For any exceptions, you can modify the answer for specific products without changing the default." type="list">
      <formula1>'WAYFAIR_USE_ONLY'!$X$7:$X17</formula1>
    </dataValidation>
    <dataValidation sqref="CM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CM8:CM2500" showDropDown="0" showInputMessage="1" showErrorMessage="1" allowBlank="1" errorTitle="Invalid Battery Type" error="The value provided is not a valid Battery Type." promptTitle="Battery Type" prompt="Please select a valid Battery Type" type="list">
      <formula1>'WAYFAIR_USE_ONLY'!$Y$7:$Y11</formula1>
    </dataValidation>
    <dataValidation sqref="CM7" showDropDown="0" showInputMessage="1" showErrorMessage="1" allowBlank="1" errorTitle="Invalid Battery Type" error="The value provided is not a valid Battery Type." promptTitle="" prompt="If all products in this class consistently have the same answer, you can set a default value to apply automatically. For any exceptions, you can modify the answer for specific products without changing the default." type="list">
      <formula1>'WAYFAIR_USE_ONLY'!$Y$7:$Y11</formula1>
    </dataValidation>
    <dataValidation sqref="CN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CN8:CN2500" showDropDown="0" showInputMessage="1" showErrorMessage="1" allowBlank="1" errorTitle="Invalid Number of Batteries" error="The value provided is not a valid Number of Batteries. Would you like to provide a custom answer?" promptTitle="Number of Batteries" prompt="Please select a valid Number of Batteries" type="list" errorStyle="warning">
      <formula1>'WAYFAIR_USE_ONLY'!$Z$7:$Z19</formula1>
    </dataValidation>
    <dataValidation sqref="CN7" showDropDown="0" showInputMessage="1" showErrorMessage="1" allowBlank="1" errorTitle="Invalid Number of Batteries" error="The value provided is not a valid Number of Batteries. Would you like to provide a custom answer?" promptTitle="" prompt="If all products in this class consistently have the same answer, you can set a default value to apply automatically. For any exceptions, you can modify the answer for specific products without changing the default." type="list" errorStyle="warning">
      <formula1>'WAYFAIR_USE_ONLY'!$Z$7:$Z19</formula1>
    </dataValidation>
    <dataValidation sqref="CO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CO8:CO2500" showDropDown="0" showInputMessage="1" showErrorMessage="1" allowBlank="1" errorTitle="Invalid Battery Shipment" error="The value provided is not a valid Battery Shipment." promptTitle="Battery Shipment" prompt="Please select a valid Battery Shipment" type="list">
      <formula1>'WAYFAIR_USE_ONLY'!$AA$7:$AA11</formula1>
    </dataValidation>
    <dataValidation sqref="CO7" showDropDown="0" showInputMessage="1" showErrorMessage="1" allowBlank="1" errorTitle="Invalid Battery Shipment" error="The value provided is not a valid Battery Shipment." promptTitle="" prompt="If all products in this class consistently have the same answer, you can set a default value to apply automatically. For any exceptions, you can modify the answer for specific products without changing the default." type="list">
      <formula1>'WAYFAIR_USE_ONLY'!$AA$7:$AA11</formula1>
    </dataValidation>
    <dataValidation sqref="CP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CP8:CP2500" showDropDown="0" showInputMessage="1" showErrorMessage="1" allowBlank="1" errorTitle="Invalid Lithium Content" error="The value provided is not a valid Lithium Content." promptTitle="Lithium Content" prompt="Please select a valid Lithium Content" type="list">
      <formula1>'WAYFAIR_USE_ONLY'!$AB$7:$AB14</formula1>
    </dataValidation>
    <dataValidation sqref="CP7" showDropDown="0" showInputMessage="1" showErrorMessage="1" allowBlank="1" errorTitle="Invalid Lithium Content" error="The value provided is not a valid Lithium Content." promptTitle="" prompt="If all products in this class consistently have the same answer, you can set a default value to apply automatically. For any exceptions, you can modify the answer for specific products without changing the default." type="list">
      <formula1>'WAYFAIR_USE_ONLY'!$AB$7:$AB14</formula1>
    </dataValidation>
    <dataValidation sqref="CQ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CQ8:CQ2500" showDropDown="0" showInputMessage="1" showErrorMessage="1" allowBlank="1" errorTitle="Invalid Watt Rating of Cells / B" error="The value provided is not a valid Watt Rating of Cells / Battery." promptTitle="Watt Rating of Cells / Battery" prompt="Please select a valid Watt Rating of Cells / Battery" type="list">
      <formula1>'WAYFAIR_USE_ONLY'!$AC$7:$AC14</formula1>
    </dataValidation>
    <dataValidation sqref="CQ7" showDropDown="0" showInputMessage="1" showErrorMessage="1" allowBlank="1" errorTitle="Invalid Watt Rating of Cells / B" error="The value provided is not a valid Watt Rating of Cells / Battery." promptTitle="" prompt="If all products in this class consistently have the same answer, you can set a default value to apply automatically. For any exceptions, you can modify the answer for specific products without changing the default." type="list">
      <formula1>'WAYFAIR_USE_ONLY'!$AC$7:$AC14</formula1>
    </dataValidation>
    <dataValidation sqref="CR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CR8:CR2500" showDropDown="0" showInputMessage="1" showErrorMessage="1" allowBlank="1" errorTitle="Invalid Weight of Cells / Batter" error="The value provided is not a valid Weight of Cells / Battery." promptTitle="Weight of Cells / Battery" prompt="Please select a valid Weight of Cells / Battery" type="list">
      <formula1>'WAYFAIR_USE_ONLY'!$AD$7:$AD12</formula1>
    </dataValidation>
    <dataValidation sqref="CR7" showDropDown="0" showInputMessage="1" showErrorMessage="1" allowBlank="1" errorTitle="Invalid Weight of Cells / Batter" error="The value provided is not a valid Weight of Cells / Battery." promptTitle="" prompt="If all products in this class consistently have the same answer, you can set a default value to apply automatically. For any exceptions, you can modify the answer for specific products without changing the default." type="list">
      <formula1>'WAYFAIR_USE_ONLY'!$AD$7:$AD12</formula1>
    </dataValidation>
    <dataValidation sqref="CS8:CS2500" showDropDown="0" showInputMessage="1" showErrorMessage="1" allowBlank="1" errorTitle="Invalid Adjustable Temperature" error="The value provided is not a valid Adjustable Temperature." promptTitle="Adjustable Temperature" prompt="Please select a valid Adjustable Temperature" type="list">
      <formula1>'WAYFAIR_USE_ONLY'!$AF$7:$AF11</formula1>
    </dataValidation>
    <dataValidation sqref="CS7" showDropDown="0" showInputMessage="1" showErrorMessage="1" allowBlank="1" errorTitle="Invalid Adjustable Temperature" error="The value provided is not a valid Adjustable Temperature." promptTitle="" prompt="If all products in this class consistently have the same answer, you can set a default value to apply automatically. For any exceptions, you can modify the answer for specific products without changing the default." type="list">
      <formula1>'WAYFAIR_USE_ONLY'!$AF$7:$AF11</formula1>
    </dataValidation>
    <dataValidation sqref="CT8:CT2500" showDropDown="0" showInputMessage="1" showErrorMessage="1" allowBlank="1" errorTitle="Invalid Adjustable Flame" error="The value provided is not a valid Adjustable Flame." promptTitle="Adjustable Flame" prompt="Please select a valid Adjustable Flame" type="list">
      <formula1>'WAYFAIR_USE_ONLY'!$AG$7:$AG10</formula1>
    </dataValidation>
    <dataValidation sqref="CT7" showDropDown="0" showInputMessage="1" showErrorMessage="1" allowBlank="1" errorTitle="Invalid Adjustable Flame" error="The value provided is not a valid Adjustable Flame." promptTitle="" prompt="If all products in this class consistently have the same answer, you can set a default value to apply automatically. For any exceptions, you can modify the answer for specific products without changing the default." type="list">
      <formula1>'WAYFAIR_USE_ONLY'!$AG$7:$AG10</formula1>
    </dataValidation>
    <dataValidation sqref="CU8:CU2500" showDropDown="0" showInputMessage="1" showErrorMessage="1" allowBlank="0" errorTitle="Invalid Number" error="The value provided is not a valid Number." promptTitle="Weight Capacity" prompt="Please enter Number" type="textLength" errorStyle="warning" operator="lessThanOrEqual">
      <formula1>32767</formula1>
    </dataValidation>
    <dataValidation sqref="CU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CV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W8:CW2500" showDropDown="0" showInputMessage="1" showErrorMessage="1" allowBlank="1" errorTitle="Invalid Unfinished" error="The value provided is not a valid Unfinished." promptTitle="Unfinished" prompt="Please select a valid Unfinished" type="list">
      <formula1>'WAYFAIR_USE_ONLY'!$AH$7:$AH10</formula1>
    </dataValidation>
    <dataValidation sqref="CW7" showDropDown="0" showInputMessage="1" showErrorMessage="1" allowBlank="1" errorTitle="Invalid Unfinished" error="The value provided is not a valid Unfinished." promptTitle="" prompt="If all products in this class consistently have the same answer, you can set a default value to apply automatically. For any exceptions, you can modify the answer for specific products without changing the default." type="list">
      <formula1>'WAYFAIR_USE_ONLY'!$AH$7:$AH10</formula1>
    </dataValidation>
    <dataValidation sqref="CX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Y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Z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A8:DA2500" showDropDown="0" showInputMessage="1" showErrorMessage="1" allowBlank="1" errorTitle="Invalid Vent Type" error="The value provided is not a valid Vent Type." promptTitle="Vent Type" prompt="Please select a valid Vent Type" type="list">
      <formula1>'WAYFAIR_USE_ONLY'!$AI$7:$AI15</formula1>
    </dataValidation>
    <dataValidation sqref="DA7" showDropDown="0" showInputMessage="1" showErrorMessage="1" allowBlank="1" errorTitle="Invalid Vent Type" error="The value provided is not a valid Vent Type." promptTitle="" prompt="If all products in this class consistently have the same answer, you can set a default value to apply automatically. For any exceptions, you can modify the answer for specific products without changing the default." type="list">
      <formula1>'WAYFAIR_USE_ONLY'!$AI$7:$AI15</formula1>
    </dataValidation>
    <dataValidation sqref="DB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C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D8:DD2500" showDropDown="0" showInputMessage="1" showErrorMessage="1" allowBlank="1" errorTitle="Invalid Ribbed Detailing" error="The value provided is not a valid Ribbed Detailing." promptTitle="Ribbed Detailing" prompt="Please select a valid Ribbed Detailing" type="list">
      <formula1>'WAYFAIR_USE_ONLY'!$AJ$7:$AJ11</formula1>
    </dataValidation>
    <dataValidation sqref="DD7" showDropDown="0" showInputMessage="1" showErrorMessage="1" allowBlank="1" errorTitle="Invalid Ribbed Detailing" error="The value provided is not a valid Ribbed Detailing." promptTitle="" prompt="If all products in this class consistently have the same answer, you can set a default value to apply automatically. For any exceptions, you can modify the answer for specific products without changing the default." type="list">
      <formula1>'WAYFAIR_USE_ONLY'!$AJ$7:$AJ11</formula1>
    </dataValidation>
    <dataValidation sqref="DE8:DE2500" showDropDown="0" showInputMessage="1" showErrorMessage="1" allowBlank="1" errorTitle="Invalid Fluted Detailing" error="The value provided is not a valid Fluted Detailing." promptTitle="Fluted Detailing" prompt="Please select a valid Fluted Detailing" type="list">
      <formula1>'WAYFAIR_USE_ONLY'!$AK$7:$AK11</formula1>
    </dataValidation>
    <dataValidation sqref="DE7" showDropDown="0" showInputMessage="1" showErrorMessage="1" allowBlank="1" errorTitle="Invalid Fluted Detailing" error="The value provided is not a valid Fluted Detailing." promptTitle="" prompt="If all products in this class consistently have the same answer, you can set a default value to apply automatically. For any exceptions, you can modify the answer for specific products without changing the default." type="list">
      <formula1>'WAYFAIR_USE_ONLY'!$AK$7:$AK11</formula1>
    </dataValidation>
    <dataValidation sqref="DF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G8:DG2500" showDropDown="0" showInputMessage="1" showErrorMessage="1" allowBlank="0" errorTitle="Invalid Whole Number" error="The value provided is not a valid Whole Number." promptTitle="Number of Cabinets" prompt="Please enter Whole Number" type="textLength" errorStyle="warning" operator="lessThanOrEqual">
      <formula1>32767</formula1>
    </dataValidation>
    <dataValidation sqref="DG7" showDropDown="0" showInputMessage="1" showErrorMessage="1" allowBlank="0" errorTitle="Invalid Whole Number" error="The value provided is not a valid Whole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DH8:DH2500" showDropDown="0" showInputMessage="1" showErrorMessage="1" allowBlank="1" errorTitle="Invalid Drawer Safety Stop" error="The value provided is not a valid Drawer Safety Stop." promptTitle="Drawer Safety Stop" prompt="Please select a valid Drawer Safety Stop" type="list">
      <formula1>'WAYFAIR_USE_ONLY'!$AL$7:$AL11</formula1>
    </dataValidation>
    <dataValidation sqref="DH7" showDropDown="0" showInputMessage="1" showErrorMessage="1" allowBlank="1" errorTitle="Invalid Drawer Safety Stop" error="The value provided is not a valid Drawer Safety Stop." promptTitle="" prompt="If all products in this class consistently have the same answer, you can set a default value to apply automatically. For any exceptions, you can modify the answer for specific products without changing the default." type="list">
      <formula1>'WAYFAIR_USE_ONLY'!$AL$7:$AL11</formula1>
    </dataValidation>
    <dataValidation sqref="DI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J8:DJ2500" showDropDown="0" showInputMessage="1" showErrorMessage="1" allowBlank="1" errorTitle="Invalid General Certificate of C" error="The value provided is not a valid General Certificate of Conformity (GCC)." promptTitle="General Certificate of Conformit" prompt="Please select a valid General Certificate of Conformity (GCC)" type="list">
      <formula1>'WAYFAIR_USE_ONLY'!$AM$7:$AM10</formula1>
    </dataValidation>
    <dataValidation sqref="DJ7" showDropDown="0" showInputMessage="1" showErrorMessage="1" allowBlank="1" errorTitle="Invalid General Certificate of C" error="The value provided is not a valid General Certificate of Conformity (GCC)." promptTitle="" prompt="If all products in this class consistently have the same answer, you can set a default value to apply automatically. For any exceptions, you can modify the answer for specific products without changing the default." type="list">
      <formula1>'WAYFAIR_USE_ONLY'!$AM$7:$AM10</formula1>
    </dataValidation>
    <dataValidation sqref="DK8:DK2500" showDropDown="0" showInputMessage="1" showErrorMessage="1" allowBlank="1" errorTitle="Invalid Composite Wood Product (" error="The value provided is not a valid Composite Wood Product (CWP)." promptTitle="Composite Wood Product (CWP)" prompt="Please select a valid Composite Wood Product (CWP)" type="list">
      <formula1>'WAYFAIR_USE_ONLY'!$AQ$7:$AQ10</formula1>
    </dataValidation>
    <dataValidation sqref="DK7" showDropDown="0" showInputMessage="1" showErrorMessage="1" allowBlank="1" errorTitle="Invalid Composite Wood Product (" error="The value provided is not a valid Composite Wood Product (CWP)." promptTitle="" prompt="If all products in this class consistently have the same answer, you can set a default value to apply automatically. For any exceptions, you can modify the answer for specific products without changing the default." type="list">
      <formula1>'WAYFAIR_USE_ONLY'!$AQ$7:$AQ10</formula1>
    </dataValidation>
    <dataValidation sqref="DL4" showDropDown="0" showInputMessage="1" showErrorMessage="1" allowBlank="1" promptTitle="Class Specific Child Question" prompt="This Question is directly related to the tag &quot;Composite Wood Product (CWP) Your answer to the related question may influence which answers are accepted here."/>
    <dataValidation sqref="DL8:DL2500" showDropDown="0" showInputMessage="1" showErrorMessage="1" allowBlank="1" errorTitle="Invalid CARB Phase II Compliant " error="The value provided is not a valid CARB Phase II Compliant (formaldehyde emissions)." promptTitle="CARB Phase II Compliant (formald" prompt="Please select a valid CARB Phase II Compliant (formaldehyde emissions)" type="list">
      <formula1>'WAYFAIR_USE_ONLY'!$AN$7:$AN10</formula1>
    </dataValidation>
    <dataValidation sqref="DL7" showDropDown="0" showInputMessage="1" showErrorMessage="1" allowBlank="1" errorTitle="Invalid CARB Phase II Compliant " error="The value provided is not a valid CARB Phase II Compliant (formaldehyde emissions)." promptTitle="" prompt="If all products in this class consistently have the same answer, you can set a default value to apply automatically. For any exceptions, you can modify the answer for specific products without changing the default." type="list">
      <formula1>'WAYFAIR_USE_ONLY'!$AN$7:$AN10</formula1>
    </dataValidation>
    <dataValidation sqref="DM4" showDropDown="0" showInputMessage="1" showErrorMessage="1" allowBlank="1" promptTitle="Class Specific Child Question" prompt="This Question is directly related to the tag &quot;Composite Wood Product (CWP) Your answer to the related question may influence which answers are accepted here."/>
    <dataValidation sqref="DM8:DM2500" showDropDown="0" showInputMessage="1" showErrorMessage="1" allowBlank="1" errorTitle="Invalid TSCA Title VI Compliant " error="The value provided is not a valid TSCA Title VI Compliant (formaldehyde emissions)." promptTitle="TSCA Title VI Compliant (formald" prompt="Please select a valid TSCA Title VI Compliant (formaldehyde emissions)" type="list">
      <formula1>'WAYFAIR_USE_ONLY'!$AO$7:$AO10</formula1>
    </dataValidation>
    <dataValidation sqref="DM7" showDropDown="0" showInputMessage="1" showErrorMessage="1" allowBlank="1" errorTitle="Invalid TSCA Title VI Compliant " error="The value provided is not a valid TSCA Title VI Compliant (formaldehyde emissions)." promptTitle="" prompt="If all products in this class consistently have the same answer, you can set a default value to apply automatically. For any exceptions, you can modify the answer for specific products without changing the default." type="list">
      <formula1>'WAYFAIR_USE_ONLY'!$AO$7:$AO10</formula1>
    </dataValidation>
    <dataValidation sqref="DN4" showDropDown="0" showInputMessage="1" showErrorMessage="1" allowBlank="1" promptTitle="Class Specific Child Question" prompt="This Question is directly related to the tag &quot;Composite Wood Product (CWP) Your answer to the related question may influence which answers are accepted here."/>
    <dataValidation sqref="DN8:DN2500" showDropDown="0" showInputMessage="1" showErrorMessage="1" allowBlank="1" errorTitle="Invalid CANFER Compliant" error="The value provided is not a valid CANFER Compliant." promptTitle="CANFER Compliant" prompt="Please select a valid CANFER Compliant" type="list">
      <formula1>'WAYFAIR_USE_ONLY'!$AP$7:$AP11</formula1>
    </dataValidation>
    <dataValidation sqref="DN7" showDropDown="0" showInputMessage="1" showErrorMessage="1" allowBlank="1" errorTitle="Invalid CANFER Compliant" error="The value provided is not a valid CANFER Compliant." promptTitle="" prompt="If all products in this class consistently have the same answer, you can set a default value to apply automatically. For any exceptions, you can modify the answer for specific products without changing the default." type="list">
      <formula1>'WAYFAIR_USE_ONLY'!$AP$7:$AP11</formula1>
    </dataValidation>
    <dataValidation sqref="DO8:DO2500" showDropDown="0" showInputMessage="1" showErrorMessage="1" allowBlank="1" errorTitle="Invalid Uniform Packaging and La" error="The value provided is not a valid Uniform Packaging and Labeling Regulations (UPLR) Compliant." promptTitle="Uniform Packaging and Labeling R" prompt="Please select a valid Uniform Packaging and Labeling Regulations (UPLR) Compliant" type="list">
      <formula1>'WAYFAIR_USE_ONLY'!$AR$7:$AR9</formula1>
    </dataValidation>
    <dataValidation sqref="DO7" showDropDown="0" showInputMessage="1" showErrorMessage="1" allowBlank="1" errorTitle="Invalid Uniform Packaging and La" error="The value provided is not a valid Uniform Packaging and Labeling Regulations (UPLR) Compliant." promptTitle="" prompt="If all products in this class consistently have the same answer, you can set a default value to apply automatically. For any exceptions, you can modify the answer for specific products without changing the default." type="list">
      <formula1>'WAYFAIR_USE_ONLY'!$AR$7:$AR9</formula1>
    </dataValidation>
    <dataValidation sqref="DP8:DP2500" showDropDown="0" showInputMessage="1" showErrorMessage="1" allowBlank="1" errorTitle="Invalid Canada Product Restricti" error="The value provided is not a valid Canada Product Restriction." promptTitle="Canada Product Restriction" prompt="Please select a valid Canada Product Restriction" type="list">
      <formula1>'WAYFAIR_USE_ONLY'!$AS$7:$AS9</formula1>
    </dataValidation>
    <dataValidation sqref="DP7" showDropDown="0" showInputMessage="1" showErrorMessage="1" allowBlank="1" errorTitle="Invalid Canada Product Restricti" error="The value provided is not a valid Canada Product Restriction." promptTitle="" prompt="If all products in this class consistently have the same answer, you can set a default value to apply automatically. For any exceptions, you can modify the answer for specific products without changing the default." type="list">
      <formula1>'WAYFAIR_USE_ONLY'!$AS$7:$AS9</formula1>
    </dataValidation>
    <dataValidation sqref="DQ4" showDropDown="0" showInputMessage="1" showErrorMessage="1" allowBlank="1" promptTitle="Class Specific Child Question" prompt="This Question is directly related to the tag &quot;Canada Product Restriction Your answer to the related question may influence which answers are accepted here."/>
    <dataValidation sqref="DQ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R8:DR2500" showDropDown="0" showInputMessage="1" showErrorMessage="1" allowBlank="1" errorTitle="Invalid UL 1678 Listed" error="The value provided is not a valid UL 1678 Listed." promptTitle="UL 1678 Listed" prompt="Please select a valid UL 1678 Listed" type="list">
      <formula1>'WAYFAIR_USE_ONLY'!$AT$7:$AT11</formula1>
    </dataValidation>
    <dataValidation sqref="DR7" showDropDown="0" showInputMessage="1" showErrorMessage="1" allowBlank="1" errorTitle="Invalid UL 1678 Listed" error="The value provided is not a valid UL 1678 Listed." promptTitle="" prompt="If all products in this class consistently have the same answer, you can set a default value to apply automatically. For any exceptions, you can modify the answer for specific products without changing the default." type="list">
      <formula1>'WAYFAIR_USE_ONLY'!$AT$7:$AT11</formula1>
    </dataValidation>
    <dataValidation sqref="DS8:DS2500" showDropDown="0" showInputMessage="1" showErrorMessage="1" allowBlank="1" errorTitle="Invalid Hazardous Material / Dan" error="The value provided is not a valid Hazardous Material / Dangerous Goods." promptTitle="Hazardous Material / Dangerous G" prompt="Please select a valid Hazardous Material / Dangerous Goods" type="list">
      <formula1>'WAYFAIR_USE_ONLY'!$AX$7:$AX9</formula1>
    </dataValidation>
    <dataValidation sqref="DS7" showDropDown="0" showInputMessage="1" showErrorMessage="1" allowBlank="1" errorTitle="Invalid Hazardous Material / Dan" error="The value provided is not a valid Hazardous Material / Dangerous Goods." promptTitle="" prompt="If all products in this class consistently have the same answer, you can set a default value to apply automatically. For any exceptions, you can modify the answer for specific products without changing the default." type="list">
      <formula1>'WAYFAIR_USE_ONLY'!$AX$7:$AX9</formula1>
    </dataValidation>
    <dataValidation sqref="DT4" showDropDown="0" showInputMessage="1" showErrorMessage="1" allowBlank="1" promptTitle="Class Specific Child Question" prompt="This Question is directly related to the tag &quot;Hazardous Material / Dangerous Goods Your answer to the related question may influence which answers are accepted here."/>
    <dataValidation sqref="DT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U4" showDropDown="0" showInputMessage="1" showErrorMessage="1" allowBlank="1" promptTitle="Class Specific Child Question" prompt="This Question is directly related to the tag &quot;Hazardous Material / Dangerous Goods Your answer to the related question may influence which answers are accepted here."/>
    <dataValidation sqref="DU8:DU2500" showDropDown="0" showInputMessage="1" showErrorMessage="1" allowBlank="1" errorTitle="Invalid Hazard Class(es)" error="The value provided is not a valid Hazard Class(es)." promptTitle="Hazard Class(es)" prompt="Please select a valid Hazard Class(es)" type="list">
      <formula1>'WAYFAIR_USE_ONLY'!$AU$7:$AU23</formula1>
    </dataValidation>
    <dataValidation sqref="DU7" showDropDown="0" showInputMessage="1" showErrorMessage="1" allowBlank="1" errorTitle="Invalid Hazard Class(es)" error="The value provided is not a valid Hazard Class(es)." promptTitle="" prompt="If all products in this class consistently have the same answer, you can set a default value to apply automatically. For any exceptions, you can modify the answer for specific products without changing the default." type="list">
      <formula1>'WAYFAIR_USE_ONLY'!$AU$7:$AU23</formula1>
    </dataValidation>
    <dataValidation sqref="DV4" showDropDown="0" showInputMessage="1" showErrorMessage="1" allowBlank="1" promptTitle="Class Specific Child Question" prompt="This Question is directly related to the tag &quot;Hazardous Material / Dangerous Goods Your answer to the related question may influence which answers are accepted here."/>
    <dataValidation sqref="DV8:DV2500" showDropDown="0" showInputMessage="1" showErrorMessage="1" allowBlank="1" errorTitle="Invalid Packing Group" error="The value provided is not a valid Packing Group." promptTitle="Packing Group" prompt="Please select a valid Packing Group" type="list">
      <formula1>'WAYFAIR_USE_ONLY'!$AV$7:$AV12</formula1>
    </dataValidation>
    <dataValidation sqref="DV7" showDropDown="0" showInputMessage="1" showErrorMessage="1" allowBlank="1" errorTitle="Invalid Packing Group" error="The value provided is not a valid Packing Group." promptTitle="" prompt="If all products in this class consistently have the same answer, you can set a default value to apply automatically. For any exceptions, you can modify the answer for specific products without changing the default." type="list">
      <formula1>'WAYFAIR_USE_ONLY'!$AV$7:$AV12</formula1>
    </dataValidation>
    <dataValidation sqref="DW4" showDropDown="0" showInputMessage="1" showErrorMessage="1" allowBlank="1" promptTitle="Class Specific Child Question" prompt="This Question is directly related to the tag &quot;Hazardous Material / Dangerous Goods Your answer to the related question may influence which answers are accepted here."/>
    <dataValidation sqref="DW8:DW2500" showDropDown="0" showInputMessage="1" showErrorMessage="1" allowBlank="1" errorTitle="Invalid Hazardous Material Weigh" error="The value provided is not a valid Hazardous Material Weight." promptTitle="Hazardous Material Weight" prompt="Please select a valid Hazardous Material Weight" type="list">
      <formula1>'WAYFAIR_USE_ONLY'!$AW$7:$AW19</formula1>
    </dataValidation>
    <dataValidation sqref="DW7" showDropDown="0" showInputMessage="1" showErrorMessage="1" allowBlank="1" errorTitle="Invalid Hazardous Material Weigh" error="The value provided is not a valid Hazardous Material Weight." promptTitle="" prompt="If all products in this class consistently have the same answer, you can set a default value to apply automatically. For any exceptions, you can modify the answer for specific products without changing the default." type="list">
      <formula1>'WAYFAIR_USE_ONLY'!$AW$7:$AW19</formula1>
    </dataValidation>
    <dataValidation sqref="DX8:DX2500" showDropDown="0" showInputMessage="1" showErrorMessage="1" allowBlank="1" errorTitle="Invalid Energy Efficiency Regula" error="The value provided is not a valid Energy Efficiency Regulations Compliant." promptTitle="Energy Efficiency Regulations Co" prompt="Please select a valid Energy Efficiency Regulations Compliant" type="list">
      <formula1>'WAYFAIR_USE_ONLY'!$AY$7:$AY12</formula1>
    </dataValidation>
    <dataValidation sqref="DX7" showDropDown="0" showInputMessage="1" showErrorMessage="1" allowBlank="1" errorTitle="Invalid Energy Efficiency Regula" error="The value provided is not a valid Energy Efficiency Regulations Compliant." promptTitle="" prompt="If all products in this class consistently have the same answer, you can set a default value to apply automatically. For any exceptions, you can modify the answer for specific products without changing the default." type="list">
      <formula1>'WAYFAIR_USE_ONLY'!$AY$7:$AY12</formula1>
    </dataValidation>
    <dataValidation sqref="DY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Z4" showDropDown="0" showInputMessage="1" showErrorMessage="1" allowBlank="1" promptTitle="Class Specific Child Question" prompt="This Question is directly related to the tag &quot;Safety Listing(s) Your answer to the related question may influence which answers are accepted here."/>
    <dataValidation sqref="DZ8:DZ2500" showDropDown="0" showInputMessage="1" showErrorMessage="1" allowBlank="0" errorTitle="Invalid Text" error="The value provided is not a valid Text." promptTitle="Safety Listing(s) Registration N" prompt="Please enter Text" type="textLength" errorStyle="warning" operator="lessThanOrEqual">
      <formula1>32767</formula1>
    </dataValidation>
    <dataValidation sqref="DZ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EA8:EA2500" showDropDown="0" showInputMessage="1" showErrorMessage="1" allowBlank="1" errorTitle="Invalid CPSC - 16 CFR 1263 Compl" error="The value provided is not a valid CPSC - 16 CFR 1263 Compliant (Reese's Law)." promptTitle="CPSC - 16 CFR 1263 Compliant (Re" prompt="Please select a valid CPSC - 16 CFR 1263 Compliant (Reese's Law)" type="list">
      <formula1>'WAYFAIR_USE_ONLY'!$AZ$7:$AZ11</formula1>
    </dataValidation>
    <dataValidation sqref="EA7" showDropDown="0" showInputMessage="1" showErrorMessage="1" allowBlank="1" errorTitle="Invalid CPSC - 16 CFR 1263 Compl" error="The value provided is not a valid CPSC - 16 CFR 1263 Compliant (Reese's Law)." promptTitle="" prompt="If all products in this class consistently have the same answer, you can set a default value to apply automatically. For any exceptions, you can modify the answer for specific products without changing the default." type="list">
      <formula1>'WAYFAIR_USE_ONLY'!$AZ$7:$AZ11</formula1>
    </dataValidation>
    <dataValidation sqref="EB8:EB2500" showDropDown="0" showInputMessage="1" showErrorMessage="1" allowBlank="1" errorTitle="Invalid ISTA Certified" error="The value provided is not a valid ISTA Certified." promptTitle="ISTA Certified" prompt="Please select a valid ISTA Certified" type="list">
      <formula1>'WAYFAIR_USE_ONLY'!$BA$7:$BA10</formula1>
    </dataValidation>
    <dataValidation sqref="EB7" showDropDown="0" showInputMessage="1" showErrorMessage="1" allowBlank="1" errorTitle="Invalid ISTA Certified" error="The value provided is not a valid ISTA Certified." promptTitle="" prompt="If all products in this class consistently have the same answer, you can set a default value to apply automatically. For any exceptions, you can modify the answer for specific products without changing the default." type="list">
      <formula1>'WAYFAIR_USE_ONLY'!$BA$7:$BA10</formula1>
    </dataValidation>
    <dataValidation sqref="EC8:EC2500" showDropDown="0" showInputMessage="1" showErrorMessage="1" allowBlank="1" errorTitle="Invalid Sustainability &amp; Social " error="The value provided is not a valid Sustainability &amp; Social Responsibility Certifications (North America Only)." promptTitle="Sustainability &amp; Social Responsi" prompt="Please select a valid Sustainability &amp; Social Responsibility Certifications (North America Only)" type="list">
      <formula1>'WAYFAIR_USE_ONLY'!$BB$7:$BB10</formula1>
    </dataValidation>
    <dataValidation sqref="EC7" showDropDown="0" showInputMessage="1" showErrorMessage="1" allowBlank="1" errorTitle="Invalid Sustainability &amp; Social " error="The value provided is not a valid Sustainability &amp; Social Responsibility Certifications (North America Only)." promptTitle="" prompt="If all products in this class consistently have the same answer, you can set a default value to apply automatically. For any exceptions, you can modify the answer for specific products without changing the default." type="list">
      <formula1>'WAYFAIR_USE_ONLY'!$BB$7:$BB10</formula1>
    </dataValidation>
    <dataValidation sqref="ED8:ED2500" showDropDown="0" showInputMessage="1" showErrorMessage="1" allowBlank="1" errorTitle="Invalid Commercial Certification" error="The value provided is not a valid Commercial Certifications." promptTitle="Commercial Certifications" prompt="Please select a valid Commercial Certifications" type="list">
      <formula1>'WAYFAIR_USE_ONLY'!$BC$7:$BC12</formula1>
    </dataValidation>
    <dataValidation sqref="ED7" showDropDown="0" showInputMessage="1" showErrorMessage="1" allowBlank="1" errorTitle="Invalid Commercial Certification" error="The value provided is not a valid Commercial Certifications." promptTitle="" prompt="If all products in this class consistently have the same answer, you can set a default value to apply automatically. For any exceptions, you can modify the answer for specific products without changing the default." type="list">
      <formula1>'WAYFAIR_USE_ONLY'!$BC$7:$BC12</formula1>
    </dataValidation>
    <dataValidation sqref="EE8:EE2500" showDropDown="0" showInputMessage="1" showErrorMessage="1" allowBlank="0" errorTitle="Invalid Number" error="The value provided is not a valid Number." promptTitle="TV Stand Width - Side to Side" prompt="Please enter Number" type="textLength" errorStyle="warning" operator="lessThanOrEqual">
      <formula1>32767</formula1>
    </dataValidation>
    <dataValidation sqref="EE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EF8:EF2500" showDropDown="0" showInputMessage="1" showErrorMessage="1" allowBlank="0" errorTitle="Invalid Number" error="The value provided is not a valid Number." promptTitle="TV Stand Depth - Front to Back" prompt="Please enter Number" type="textLength" errorStyle="warning" operator="lessThanOrEqual">
      <formula1>32767</formula1>
    </dataValidation>
    <dataValidation sqref="EF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EG8:EG2500" showDropDown="0" showInputMessage="1" showErrorMessage="1" allowBlank="0" errorTitle="Invalid Number" error="The value provided is not a valid Number." promptTitle="Overall Entertainment Center Hei" prompt="Please enter Number" type="textLength" errorStyle="warning" operator="lessThanOrEqual">
      <formula1>32767</formula1>
    </dataValidation>
    <dataValidation sqref="EG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EH8:EH2500" showDropDown="0" showInputMessage="1" showErrorMessage="1" allowBlank="0" errorTitle="Invalid Number" error="The value provided is not a valid Number." promptTitle="Overall Entertainment Center Wid" prompt="Please enter Number" type="textLength" errorStyle="warning" operator="lessThanOrEqual">
      <formula1>32767</formula1>
    </dataValidation>
    <dataValidation sqref="EH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EI8:EI2500" showDropDown="0" showInputMessage="1" showErrorMessage="1" allowBlank="0" errorTitle="Invalid Number" error="The value provided is not a valid Number." promptTitle="Overall Entertainment Center Dep" prompt="Please enter Number" type="textLength" errorStyle="warning" operator="lessThanOrEqual">
      <formula1>32767</formula1>
    </dataValidation>
    <dataValidation sqref="EI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EJ8:EJ2500" showDropDown="0" showInputMessage="1" showErrorMessage="1" allowBlank="0" errorTitle="Invalid Number" error="The value provided is not a valid Number." promptTitle="Overall Product Weight" prompt="Please enter Number" type="textLength" errorStyle="warning" operator="lessThanOrEqual">
      <formula1>32767</formula1>
    </dataValidation>
    <dataValidation sqref="EJ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EK8:EK2500" showDropDown="0" showInputMessage="1" showErrorMessage="1" allowBlank="1" errorTitle="Invalid Maximum TV Screen Size A" error="The value provided is not a valid Maximum TV Screen Size Accommodated." promptTitle="Maximum TV Screen Size Accommoda" prompt="Please select a valid Maximum TV Screen Size Accommodated" type="list">
      <formula1>'WAYFAIR_USE_ONLY'!$BD$7:$BD26</formula1>
    </dataValidation>
    <dataValidation sqref="EK7" showDropDown="0" showInputMessage="1" showErrorMessage="1" allowBlank="1" errorTitle="Invalid Maximum TV Screen Size A" error="The value provided is not a valid Maximum TV Screen Size Accommodated." promptTitle="" prompt="If all products in this class consistently have the same answer, you can set a default value to apply automatically. For any exceptions, you can modify the answer for specific products without changing the default." type="list">
      <formula1>'WAYFAIR_USE_ONLY'!$BD$7:$BD26</formula1>
    </dataValidation>
    <dataValidation sqref="EL8:EL2500" showDropDown="0" showInputMessage="1" showErrorMessage="1" allowBlank="0" errorTitle="Invalid Number" error="The value provided is not a valid Number." promptTitle="TV Stand Overall Height - Top to" prompt="Please enter Number" type="textLength" errorStyle="warning" operator="lessThanOrEqual">
      <formula1>32767</formula1>
    </dataValidation>
    <dataValidation sqref="EL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EM8:EM2500" showDropDown="0" showInputMessage="1" showErrorMessage="1" allowBlank="1" errorTitle="Invalid Assembly Required" error="The value provided is not a valid Assembly Required." promptTitle="Assembly Required" prompt="Please select a valid Assembly Required" type="list">
      <formula1>'WAYFAIR_USE_ONLY'!$BE$7:$BE9</formula1>
    </dataValidation>
    <dataValidation sqref="EM7" showDropDown="0" showInputMessage="1" showErrorMessage="1" allowBlank="1" errorTitle="Invalid Assembly Required" error="The value provided is not a valid Assembly Required." promptTitle="" prompt="If all products in this class consistently have the same answer, you can set a default value to apply automatically. For any exceptions, you can modify the answer for specific products without changing the default." type="list">
      <formula1>'WAYFAIR_USE_ONLY'!$BE$7:$BE9</formula1>
    </dataValidation>
    <dataValidation sqref="EN8:EN2500" showDropDown="0" showInputMessage="1" showErrorMessage="1" allowBlank="1" errorTitle="Invalid Level of Assembly" error="The value provided is not a valid Level of Assembly." promptTitle="Level of Assembly" prompt="Please select a valid Level of Assembly" type="list">
      <formula1>'WAYFAIR_USE_ONLY'!$BF$7:$BF11</formula1>
    </dataValidation>
    <dataValidation sqref="EN7" showDropDown="0" showInputMessage="1" showErrorMessage="1" allowBlank="1" errorTitle="Invalid Level of Assembly" error="The value provided is not a valid Level of Assembly." promptTitle="" prompt="If all products in this class consistently have the same answer, you can set a default value to apply automatically. For any exceptions, you can modify the answer for specific products without changing the default." type="list">
      <formula1>'WAYFAIR_USE_ONLY'!$BF$7:$BF11</formula1>
    </dataValidation>
    <dataValidation sqref="EO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EP8:EP2500" showDropDown="0" showInputMessage="1" showErrorMessage="1" allowBlank="1" errorTitle="Invalid Commercial Warranty" error="The value provided is not a valid Commercial Warranty." promptTitle="Commercial Warranty" prompt="Please select a valid Commercial Warranty" type="list">
      <formula1>'WAYFAIR_USE_ONLY'!$BH$7:$BH10</formula1>
    </dataValidation>
    <dataValidation sqref="EP7" showDropDown="0" showInputMessage="1" showErrorMessage="1" allowBlank="1" errorTitle="Invalid Commercial Warranty" error="The value provided is not a valid Commercial Warranty." promptTitle="" prompt="If all products in this class consistently have the same answer, you can set a default value to apply automatically. For any exceptions, you can modify the answer for specific products without changing the default." type="list">
      <formula1>'WAYFAIR_USE_ONLY'!$BH$7:$BH10</formula1>
    </dataValidation>
    <dataValidation sqref="EQ4" showDropDown="0" showInputMessage="1" showErrorMessage="1" allowBlank="1" promptTitle="Class Specific Child Question" prompt="This Question is directly related to the tag &quot;Commercial Warranty Your answer to the related question may influence which answers are accepted here."/>
    <dataValidation sqref="EQ8:EQ2500" showDropDown="0" showInputMessage="1" showErrorMessage="1" allowBlank="1" errorTitle="Invalid Commercial Warranty Leng" error="The value provided is not a valid Commercial Warranty Length." promptTitle="Commercial Warranty Length" prompt="Please select a valid Commercial Warranty Length" type="list">
      <formula1>'WAYFAIR_USE_ONLY'!$BG$7:$BG32</formula1>
    </dataValidation>
    <dataValidation sqref="EQ7" showDropDown="0" showInputMessage="1" showErrorMessage="1" allowBlank="1" errorTitle="Invalid Commercial Warranty Leng" error="The value provided is not a valid Commercial Warranty Length." promptTitle="" prompt="If all products in this class consistently have the same answer, you can set a default value to apply automatically. For any exceptions, you can modify the answer for specific products without changing the default." type="list">
      <formula1>'WAYFAIR_USE_ONLY'!$BG$7:$BG32</formula1>
    </dataValidation>
    <dataValidation sqref="ER8:ER2500" showDropDown="0" showInputMessage="1" showErrorMessage="1" allowBlank="1" errorTitle="Invalid Product Warranty" error="The value provided is not a valid Product Warranty." promptTitle="Product Warranty" prompt="Please select a valid Product Warranty" type="list">
      <formula1>'WAYFAIR_USE_ONLY'!$BI$7:$BI9</formula1>
    </dataValidation>
    <dataValidation sqref="ER7" showDropDown="0" showInputMessage="1" showErrorMessage="1" allowBlank="1" errorTitle="Invalid Product Warranty" error="The value provided is not a valid Product Warranty." promptTitle="" prompt="If all products in this class consistently have the same answer, you can set a default value to apply automatically. For any exceptions, you can modify the answer for specific products without changing the default." type="list">
      <formula1>'WAYFAIR_USE_ONLY'!$BI$7:$BI9</formula1>
    </dataValidation>
    <dataValidation sqref="ES8:ES2500" showDropDown="0" showInputMessage="1" showErrorMessage="1" allowBlank="1" errorTitle="Invalid Full or Limited Warranty" error="The value provided is not a valid Full or Limited Warranty." promptTitle="Full or Limited Warranty" prompt="Please select a valid Full or Limited Warranty" type="list">
      <formula1>'WAYFAIR_USE_ONLY'!$BJ$7:$BJ10</formula1>
    </dataValidation>
    <dataValidation sqref="ES7" showDropDown="0" showInputMessage="1" showErrorMessage="1" allowBlank="1" errorTitle="Invalid Full or Limited Warranty" error="The value provided is not a valid Full or Limited Warranty." promptTitle="" prompt="If all products in this class consistently have the same answer, you can set a default value to apply automatically. For any exceptions, you can modify the answer for specific products without changing the default." type="list">
      <formula1>'WAYFAIR_USE_ONLY'!$BJ$7:$BJ10</formula1>
    </dataValidation>
    <dataValidation sqref="ET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s>
  <hyperlinks>
    <hyperlink ref="D6" location="'Valid Values'!A1" display="Select"/>
    <hyperlink ref="W6" location="'Valid Values'!B1" display="Select"/>
    <hyperlink ref="X6" location="'Valid Values'!C1" display="Select"/>
    <hyperlink ref="Y6" location="'Valid Values'!D1" display="Select"/>
    <hyperlink ref="Z6" location="'Valid Values'!E1" display="Select"/>
    <hyperlink ref="AI6" location="'Valid Values'!F1" display="Select"/>
    <hyperlink ref="AJ6" location="'Valid Values'!G1" display="Please choose one or more from the following, using a semicolon (;) to separate each value: Cancer; Developmental"/>
    <hyperlink ref="AK6" location="'Valid Values'!H1" display="Select"/>
    <hyperlink ref="AS6" location="'Valid Values'!I1" display="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
    <hyperlink ref="AT6" location="'Valid Values'!J1" display="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
    <hyperlink ref="AU6" location="'Valid Values'!K1" display="Select"/>
    <hyperlink ref="AV6" location="'Valid Values'!L1" display="Select"/>
    <hyperlink ref="AX6" location="'Valid Values'!I1" display="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
    <hyperlink ref="AY6" location="'Valid Values'!J1" display="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
    <hyperlink ref="AZ6" location="'Valid Values'!K1" display="Select"/>
    <hyperlink ref="BA6" location="'Valid Values'!L1" display="Select"/>
    <hyperlink ref="BC6" location="'Valid Values'!I1" display="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
    <hyperlink ref="BD6" location="'Valid Values'!J1" display="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
    <hyperlink ref="BE6" location="'Valid Values'!K1" display="Select"/>
    <hyperlink ref="BF6" location="'Valid Values'!L1" display="Select"/>
    <hyperlink ref="BG6" location="'Valid Values'!M1" display="Select"/>
    <hyperlink ref="BP6" location="'Valid Values'!N1" display="Please choose one or more from the following, using a semicolon (;) to separate each value: Cabinet/Enclosed storage; TV Stand Fireplace; Open shelving; Corner unit; Hutch; Piers; Floating mount; Standard; Demilune; Nesting; Apothecary; Multi-tiered; Floor; Corner; Basket Storage; Tabletop; Hanging; Bombe; Etagere; Wall Mounted; Double Walled; Console; Pedestal; Unavailable; Does Not Apply"/>
    <hyperlink ref="BQ6" location="'Valid Values'!O1" display="Please choose one or more from the following, using a semicolon (;) to separate each value: Glass; Stainless Steel; Cane; Raffia; Mango Wood; Aluminum; Manufactured Wood; Leather; Bamboo; Ceramic; Faux Leather; Iron; Marble / Granite; Metal; Plastic / Acrylic; Teak; Solid + Manufactured Wood; Steel; Solid Wood; Wicker; Reclaimed Wood"/>
    <hyperlink ref="BR6" location="'Valid Values'!P1" display="Please choose one or more from the following, using a semicolon (;) to separate each value: Distressed Leather; Paint Distressing; Distressed Grain Accents; Coat/Paint Distressing; Wormholes; No Natural Variation; No Distressing; Distressed Metal; Worn/Fade; Wood Scoring &amp; Rub Through; Unavailable"/>
    <hyperlink ref="BS6" location="'Valid Values'!Q1" display="Please choose one or more from the following, using a semicolon (;) to separate each value: No Natural Variation; Natural Wood Grain Color Variation; Weathered Steel; Wood Knots; Natural Stone Color Variation; Unavailable"/>
    <hyperlink ref="CC6" location="'Valid Values'!R1" display="Select"/>
    <hyperlink ref="CF6" location="'Valid Values'!S1" display="Please choose one or more from the following, using a semicolon (;) to separate each value: Non Residential Use; Residential Use"/>
    <hyperlink ref="CG6" location="'Valid Values'!T1" display="Please choose one or more from the following, using a semicolon (;) to separate each value: Made in USA; Made in USA of Imported Materials; Product of Canada; Made In Canada; Does Not Apply"/>
    <hyperlink ref="CH6" location="'Valid Values'!U1" display="Select"/>
    <hyperlink ref="CJ6" location="'Valid Values'!V1" display="Please choose one or more from the following, using a semicolon (;) to separate each value: Acacia; Alder; Ash; Bamboo; Beech; Birch; Camphor; Cedar; Cherry; Elm; Eucalyptus; Fir; Hickory; Mahogany; Mango; Maple; Oak; Pine; Poplar; Rosewood; Rubberwood; Sheesham; Spruce; Teak; Walnut; Wenge; Pecan; Shorea; Paulownia; Chestnut; Hemlock; Aspen; Mindi; Ipe; Olive; Ajo; Agarwood; Afzelia; Afrormosia; Bubinga; Brazilwood; Cumaru; Cedar, Mulanje; Cedar, Spanish; Aloewood; Lignum vitae; Mahogany, African; Mahogany, Mexican; Padauk, African; Macacauba; Ebony, Madagascar; Lignum vitae, Argentine; Gavilan; Mahogany, Honduran; Mahogany, Cuban; Stinkwood, red; Yew, Chinese; Pau rosa, Brazilian; Sandalwood, East African; Ramin; Zitan; Yew, Himalayan; Yew, Japanese; Rosewood, Siamese; Yew, Taiwan; Burlwood; Platane Wood; Sungkai; Does Not Apply"/>
    <hyperlink ref="CL6" location="'Valid Values'!W1" display="Select"/>
    <hyperlink ref="CM6" location="'Valid Values'!X1" display="Select"/>
    <hyperlink ref="CN6" location="'Valid Values'!Y1" display="Select"/>
    <hyperlink ref="CO6" location="'Valid Values'!Z1" display="Select"/>
    <hyperlink ref="CP6" location="'Valid Values'!AA1" display="Select"/>
    <hyperlink ref="CQ6" location="'Valid Values'!AB1" display="Select"/>
    <hyperlink ref="CR6" location="'Valid Values'!AC1" display="Select"/>
    <hyperlink ref="CV6" location="'Valid Values'!AD1" display="Please choose one or more from the following, using a semicolon (;) to separate each value: Hand wash recommended; Dishwasher safe; Spot clean only; Hand wash only; Delicate cycle; Commercial laundry safe; Do not use a fabric softener; Cold wash; Sweep / Dust Mop; Cut loose threads using a scissor; Clean with soap and water; Clean spills immediately; Dishwasher safe component; Lay flat to dry; Dryer safe; Warm wash; Non-Abrasive, Neutral Ph Cleaner; Commercial dishwasher safe; Vacuum with no beater bar/rotating brush; Air / Line Dry; Professional / Dry Clean Recommended; Wash With Garden Hose Or Pressure Washer; Machine washable components; Professional / Dry Clean Only; Vacuum with upholstery attachment; Vacuum with beater bar/rotating brush; Clean with bleach and water; Use product specific cleaner; Oil / seal / treat regularly; Shake to remove dust; Tumble dry; Iron safe; Wipe clean with a dry cloth; Cover when not in use; Avoid use of abrasive cleaners; Tile specific cleaner; Do not wash; Dust mop; Hose down; Towel dry immediately; Household floor cleaner; Spot clean; Wipe with wet cloth; Spot clean with water; When cushions are wet, open cushion zippers and prop up to dry in order to maintain quality; Oil 1-2 times per year; No washing / drying care; Do not bleach; Treat with wood protector; Do not dry clean; Clean with diluted vinegar and water; Store indoors or cover when not in use; Use carpet cleaner; Air dry cushions covers; Do not use bleach or bleach solutions; Rinse with water only; Dishwasher safe removable parts; Clean and re-seal with natural stone sealant; To prevent oil stains wipe with a damp cloth before using; After cleaning, use sealant; Apply oil to maintain color and prolong durability; Vacuum; Avoid direct sunlight; Dry after use; Use furniture pads; Apply epoxy clear coat once per year; Clean with cloth, mild soap, and warm water; Spot clean with mild detergent; Spot clean as needed; Automatic; Hot water extraction; Spot clean with dry cloth; Clean the product at least one time per month. We suggest the use of Rejuven"/>
    <hyperlink ref="CX6" location="'Valid Values'!AE1" display="Please choose one or more from the following, using a semicolon (;) to separate each value: Polyethylene; Steel; Wood Veneers; Polyvinyl Chloride (PVC); Polycarbonate; Stainless Steel; Marble; Solid + Manufactured Wood; Wood; Clear Glass; Stone; Glass; Melamine; Aluminum; Acrylic; Resin; Tinted Glass; Laminate; Metal; Wire; Mirrored; Plastic; Manufactured Wood; Glass / Polycarbonate; Wicker; Iron; Solid Wood; Granite; Unavailable; Does Not Apply"/>
    <hyperlink ref="CY6" location="'Valid Values'!AF1" display="Please choose one or more from the following, using a semicolon (;) to separate each value: Clear; Cream; Purple; Gold; Silver; Polished Chrome; Polished Nickel; Stainless Steel; Bronze; Chrome; Oil Rubbed Bronze; Matte Black; Satin Nickel; Brushed Nickel; Antique Brass; Antique Bronze; Copper; Antique Copper; Brushed Brass; Polished Brass; Brass; Satin Brass; Brushed Gold; Nickel; Ivory; Green; Orange; Beige; Teal; Red; Satin; Yellow; Pink; White; Brown; Blue; Satin Black; Rose Gold; Navy; Black; Tan; Gray; Brown Wood; Dark Brown Wood; Medium Yellow Wood; Espresso Wood; Medium Wood; Red Wood; Beige Wood; Natural Wood; Gray Wood; Light Yellow Wood; White Wood; Oak Wood"/>
    <hyperlink ref="CZ6" location="'Valid Values'!AG1" display="Please choose one or more from the following, using a semicolon (;) to separate each value: 0.6 Extension; Ball Bearing; Soft Close; Roller Glides; 0.75 Extension; Full Extension; Metal Slide; 0.5 Extension; Wood Slide; Center Slides; Kenlin; Side-Mounted Glides; Undermount Glides; Euro Glides; Unavailable; Does Not Apply"/>
    <hyperlink ref="DA6" location="'Valid Values'!AH1" display="Select"/>
    <hyperlink ref="DB6" location="'Valid Values'!AI1" display="Please choose one or more from the following, using a semicolon (;) to separate each value: Electric; Dual Fuel; Induction; Wood Pellets; Natural Gas; Liquid Propane; Wood Burning; Gel Fuel; Bio-Ethanol; Propane; Butane; Charcoal; Ethanol; Alcohol; Does Not Apply"/>
    <hyperlink ref="DC6" location="'Valid Values'!AJ1" display="Please choose one or more from the following, using a semicolon (;) to separate each value: Flush; Glass; Louvered; Paneled; Mirrored; Barn Doors; Frosted; Insulated; Contoured; Tinted; See Through; Double Pane; Does Not Apply"/>
    <hyperlink ref="DF6" location="'Valid Values'!AK1" display="Please choose one or more from the following, using a semicolon (;) to separate each value: Drawers; Fireplace; Hutch; Shelves; Bridge; Exterior Shelves; Fireplace Remote; Integrated TV Mount; Interior Shelves; Media Storage; Pier / Bookcase; Sound Bar Shelf; TV Anti-Tip Kit; Wheels / Casters; Cabinets; Unavailable; Does Not Apply"/>
    <hyperlink ref="DI6" location="'Valid Values'!AL1" display="Please choose one or more from the following, using a semicolon (;) to separate each value: Gel; Gas; Wood; Electric; Unavailable; Does Not Apply"/>
    <hyperlink ref="DJ6" location="'Valid Values'!AM1" display="Select"/>
    <hyperlink ref="DL6" location="'Valid Values'!AN1" display="Select"/>
    <hyperlink ref="DM6" location="'Valid Values'!AO1" display="Select"/>
    <hyperlink ref="DN6" location="'Valid Values'!AP1" display="Select"/>
    <hyperlink ref="DO6" location="'Valid Values'!AQ1" display="Select"/>
    <hyperlink ref="DQ6" location="'Valid Values'!AR1" display="Please choose one or more from the following, using a semicolon (;) to separate each value: Dual Language; Distribution Conflict; Logistics; Does Not Apply"/>
    <hyperlink ref="DR6" location="'Valid Values'!AS1" display="Select"/>
    <hyperlink ref="DT6" location="'Valid Values'!AT1" display="Please choose one or more from the following, using a semicolon (;) to separate each value: UN3091; UN3481; UN2800; UN1950; UN3496; ID8000; UN1013; UN3082; UN3077; UN3480; UN2857; UN3358; UN3090; UN1266; UN1993; UN1944; UN1070; UN1044; UN3163; UN1268; UN1760; UN1011; UN2794; UN1759; UN3171; UN1987; UN1263; UN1170; UN3265; UN3260; UN3215; UN1006; UN3175; Does Not Apply"/>
    <hyperlink ref="DU6" location="'Valid Values'!AU1" display="Select"/>
    <hyperlink ref="DV6" location="'Valid Values'!AV1" display="Select"/>
    <hyperlink ref="DW6" location="'Valid Values'!AW1" display="Select"/>
    <hyperlink ref="DX6" location="'Valid Values'!AX1" display="Select"/>
    <hyperlink ref="DY6" location="'Valid Values'!AY1" display="Please choose one or more from the following, using a semicolon (;) to separate each value: TÜV Rheinland Certified; MET Listed; AFNOR UK Ltd; BSI Assurance UK Ltd; cUL Listed; ETL Listed; DBI Certification Ltd; UL Listed; cETL Listed; CSA Certified; SGS North America Listed; Does Not Apply"/>
    <hyperlink ref="EA6" location="'Valid Values'!AZ1" display="Select"/>
    <hyperlink ref="EB6" location="'Valid Values'!BA1" display="Select"/>
    <hyperlink ref="ED6" location="'Valid Values'!BB1" display="Select"/>
    <hyperlink ref="EK6" location="'Valid Values'!BC1" display="Select"/>
    <hyperlink ref="EN6" location="'Valid Values'!BD1" display="Select"/>
    <hyperlink ref="EO6" location="'Valid Values'!BE1" display="Please choose one or more from the following, using a semicolon (;) to separate each value: All Tools Included; Tool Free Assembly; Screwdriver; Allen Wrench; Adjustable Wrench; Socket Wrench; Power Drill; Hammer; Pliers; Ratchet; Utility Saw; Saw; Measuring Tape; Mallet; Level; Box Cutter; Caulk / Adhesive; Anchors / Stakes; Clamps; Drill Bit; Gloves; Hex Key; Glass Cutter; Chop Saw; Circular Saw; Phillips Head Screwdriver; Crescent Wrench; Flat Screwdriver; Adhesive Roller / Tray; Shovel; Drill; Smoother / Squeegee; Ladder; Wire Stripper; Razor Knife; Pencil; Electric Drill; Screw Gun; Scissors; Ruler; Safety Glasses; Utility Knife; Rope; Ear Protection; Stud Finder; Wrench; Tape Measure; Screws; Wire Cap; Hammer / Mallet; Chalk Line; Landscaping Fabric; No Tools Needed; Tile Cutter; Straight Edge; Silicone; Wet Saw; Torx Bit; Unavailable; Does Not Apply"/>
    <hyperlink ref="EQ6" location="'Valid Values'!BF1" display="Select"/>
    <hyperlink ref="ES6" location="'Valid Values'!BG1" display="Select"/>
    <hyperlink ref="ET6" location="'Valid Values'!BH1" display="Please choose one or more from the following, using a semicolon (;) to separate each value: 30 Days; 60 Days; 90 Days; 6 Months; 1 Year; 2 Years; 3 Years; 5 Years; 10 Years; 20 Years; 25 Years; Lifetime; Warranty length varies by part; 15 Years; 18 Months; 12 Years; 6 Years; 4 Years; 8 Years; 7 Years; Does Not Apply"/>
  </hyperlinks>
  <pageMargins left="0.7" right="0.7" top="0.75" bottom="0.75" header="0.3" footer="0.3"/>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sheetPr>
  <dimension ref="A1:ET8"/>
  <sheetViews>
    <sheetView workbookViewId="0">
      <selection activeCell="A1" sqref="A1"/>
    </sheetView>
  </sheetViews>
  <sheetFormatPr baseColWidth="8" defaultRowHeight="15"/>
  <cols>
    <col width="25.7109375" customWidth="1" style="22" min="2" max="2"/>
    <col width="30.7109375" customWidth="1" style="22" min="3" max="3"/>
    <col width="10.7109375" customWidth="1" style="22" min="4" max="4"/>
    <col width="29.7109375" customWidth="1" style="22" min="5" max="5"/>
    <col width="27.7109375" customWidth="1" style="22" min="6" max="6"/>
    <col width="17.7109375" customWidth="1" style="22" min="7" max="7"/>
    <col width="20.7109375" customWidth="1" style="22" min="8" max="8"/>
    <col width="29.7109375" customWidth="1" style="22" min="9" max="9"/>
    <col width="14.7109375" customWidth="1" style="22" min="10" max="10"/>
    <col width="29.7109375" customWidth="1" style="22" min="11" max="11"/>
    <col width="40.7109375" customWidth="1" style="22" min="12" max="12"/>
    <col width="19.7109375" customWidth="1" style="22" min="13" max="13"/>
    <col width="21.7109375" customWidth="1" style="22" min="14" max="18"/>
    <col width="27.7109375" customWidth="1" style="22" min="19" max="19"/>
    <col width="30.7109375" customWidth="1" style="22" min="20" max="20"/>
    <col width="25.7109375" customWidth="1" style="22" min="21" max="21"/>
    <col width="19.7109375" customWidth="1" style="22" min="22" max="22"/>
    <col width="14.7109375" customWidth="1" style="22" min="23" max="23"/>
    <col width="18.7109375" customWidth="1" style="22" min="24" max="24"/>
    <col width="14.7109375" customWidth="1" style="22" min="25" max="25"/>
    <col width="26.7109375" customWidth="1" style="22" min="26" max="26"/>
    <col width="33.7109375" customWidth="1" style="22" min="27" max="27"/>
    <col width="14.7109375" customWidth="1" style="22" min="28" max="28"/>
    <col width="20.7109375" customWidth="1" style="22" min="29" max="31"/>
    <col width="19.7109375" customWidth="1" style="22" min="32" max="33"/>
    <col width="21.7109375" customWidth="1" style="22" min="34" max="34"/>
    <col width="15.7109375" customWidth="1" style="22" min="35" max="36"/>
    <col width="28.7109375" customWidth="1" style="22" min="37" max="37"/>
    <col width="29.7109375" customWidth="1" style="22" min="38" max="43"/>
    <col width="32.7109375" customWidth="1" style="22" min="44" max="44"/>
    <col width="20.7109375" customWidth="1" style="22" min="45" max="45"/>
    <col width="26.7109375" customWidth="1" style="22" min="46" max="46"/>
    <col width="22.7109375" customWidth="1" style="22" min="47" max="47"/>
    <col width="24.7109375" customWidth="1" style="22" min="48" max="48"/>
    <col width="32.7109375" customWidth="1" style="22" min="49" max="49"/>
    <col width="20.7109375" customWidth="1" style="22" min="50" max="50"/>
    <col width="26.7109375" customWidth="1" style="22" min="51" max="51"/>
    <col width="22.7109375" customWidth="1" style="22" min="52" max="52"/>
    <col width="24.7109375" customWidth="1" style="22" min="53" max="53"/>
    <col width="32.7109375" customWidth="1" style="22" min="54" max="54"/>
    <col width="20.7109375" customWidth="1" style="22" min="55" max="55"/>
    <col width="26.7109375" customWidth="1" style="22" min="56" max="56"/>
    <col width="22.7109375" customWidth="1" style="22" min="57" max="57"/>
    <col width="24.7109375" customWidth="1" style="22" min="58" max="58"/>
    <col width="17.7109375" customWidth="1" style="22" min="59" max="59"/>
    <col width="29.7109375" customWidth="1" style="22" min="60" max="60"/>
    <col width="21.7109375" customWidth="1" style="22" min="61" max="61"/>
    <col width="22.7109375" customWidth="1" style="22" min="62" max="63"/>
    <col width="21.7109375" customWidth="1" style="22" min="64" max="64"/>
    <col width="30.7109375" customWidth="1" style="22" min="65" max="66"/>
    <col width="20.7109375" customWidth="1" style="22" min="67" max="67"/>
    <col width="21.7109375" customWidth="1" style="22" min="68" max="68"/>
    <col width="13.7109375" customWidth="1" style="22" min="69" max="69"/>
    <col width="32.7109375" customWidth="1" style="22" min="70" max="70"/>
    <col width="27.7109375" customWidth="1" style="22" min="71" max="71"/>
    <col width="17.7109375" customWidth="1" style="22" min="72" max="72"/>
    <col width="13.7109375" customWidth="1" style="22" min="73" max="73"/>
    <col width="29.7109375" customWidth="1" style="22" min="74" max="74"/>
    <col width="23.7109375" customWidth="1" style="22" min="75" max="75"/>
    <col width="27.7109375" customWidth="1" style="22" min="76" max="76"/>
    <col width="21.7109375" customWidth="1" style="22" min="77" max="77"/>
    <col width="30.7109375" customWidth="1" style="22" min="78" max="78"/>
    <col width="23.7109375" customWidth="1" style="22" min="79" max="79"/>
    <col width="12.7109375" customWidth="1" style="22" min="80" max="80"/>
    <col width="38.7109375" customWidth="1" style="22" min="81" max="81"/>
    <col width="33.7109375" customWidth="1" style="22" min="82" max="82"/>
    <col width="22.7109375" customWidth="1" style="22" min="83" max="83"/>
    <col width="39.7109375" customWidth="1" style="22" min="84" max="84"/>
    <col width="43.7109375" customWidth="1" style="22" min="85" max="85"/>
    <col width="29.7109375" customWidth="1" style="22" min="86" max="86"/>
    <col width="20.7109375" customWidth="1" style="22" min="87" max="87"/>
    <col width="17.7109375" customWidth="1" style="22" min="88" max="88"/>
    <col width="34.7109375" customWidth="1" style="22" min="89" max="89"/>
    <col width="24.7109375" customWidth="1" style="22" min="90" max="90"/>
    <col width="17.7109375" customWidth="1" style="22" min="91" max="91"/>
    <col width="24.7109375" customWidth="1" style="22" min="92" max="92"/>
    <col width="21.7109375" customWidth="1" style="22" min="93" max="93"/>
    <col width="20.7109375" customWidth="1" style="22" min="94" max="94"/>
    <col width="35.7109375" customWidth="1" style="22" min="95" max="95"/>
    <col width="30.7109375" customWidth="1" style="22" min="96" max="96"/>
    <col width="27.7109375" customWidth="1" style="22" min="97" max="97"/>
    <col width="21.7109375" customWidth="1" style="22" min="98" max="98"/>
    <col width="20.7109375" customWidth="1" style="22" min="99" max="99"/>
    <col width="17.7109375" customWidth="1" style="22" min="100" max="100"/>
    <col width="15.7109375" customWidth="1" style="22" min="101" max="101"/>
    <col width="19.7109375" customWidth="1" style="22" min="102" max="103"/>
    <col width="34.7109375" customWidth="1" style="22" min="104" max="104"/>
    <col width="14.7109375" customWidth="1" style="22" min="105" max="106"/>
    <col width="16.7109375" customWidth="1" style="22" min="107" max="107"/>
    <col width="21.7109375" customWidth="1" style="22" min="108" max="109"/>
    <col width="20.7109375" customWidth="1" style="22" min="110" max="110"/>
    <col width="23.7109375" customWidth="1" style="22" min="111" max="112"/>
    <col width="19.7109375" customWidth="1" style="22" min="113" max="113"/>
    <col width="44.7109375" customWidth="1" style="22" min="114" max="114"/>
    <col width="33.7109375" customWidth="1" style="22" min="115" max="115"/>
    <col width="53.7109375" customWidth="1" style="22" min="116" max="117"/>
    <col width="21.7109375" customWidth="1" style="22" min="118" max="118"/>
    <col width="64.7109375" customWidth="1" style="22" min="119" max="119"/>
    <col width="31.7109375" customWidth="1" style="22" min="120" max="120"/>
    <col width="27.7109375" customWidth="1" style="22" min="121" max="121"/>
    <col width="19.7109375" customWidth="1" style="22" min="122" max="122"/>
    <col width="41.7109375" customWidth="1" style="22" min="123" max="123"/>
    <col width="20.7109375" customWidth="1" style="22" min="124" max="124"/>
    <col width="21.7109375" customWidth="1" style="22" min="125" max="125"/>
    <col width="18.7109375" customWidth="1" style="22" min="126" max="126"/>
    <col width="30.7109375" customWidth="1" style="22" min="127" max="127"/>
    <col width="44.7109375" customWidth="1" style="22" min="128" max="128"/>
    <col width="22.7109375" customWidth="1" style="22" min="129" max="129"/>
    <col width="42.7109375" customWidth="1" style="22" min="130" max="130"/>
    <col width="47.7109375" customWidth="1" style="22" min="131" max="131"/>
    <col width="19.7109375" customWidth="1" style="22" min="132" max="132"/>
    <col width="79.7109375" customWidth="1" style="22" min="133" max="133"/>
    <col width="30.7109375" customWidth="1" style="22" min="134" max="134"/>
    <col width="34.7109375" customWidth="1" style="22" min="135" max="135"/>
    <col width="35.7109375" customWidth="1" style="22" min="136" max="136"/>
    <col width="56.7109375" customWidth="1" style="22" min="137" max="137"/>
    <col width="54.7109375" customWidth="1" style="22" min="138" max="138"/>
    <col width="55.7109375" customWidth="1" style="22" min="139" max="139"/>
    <col width="27.7109375" customWidth="1" style="22" min="140" max="140"/>
    <col width="40.7109375" customWidth="1" style="22" min="141" max="141"/>
    <col width="44.7109375" customWidth="1" style="22" min="142" max="142"/>
    <col width="22.7109375" customWidth="1" style="22" min="143" max="144"/>
    <col width="45.7109375" customWidth="1" style="22" min="145" max="145"/>
    <col width="24.7109375" customWidth="1" style="22" min="146" max="146"/>
    <col width="31.7109375" customWidth="1" style="22" min="147" max="147"/>
    <col width="21.7109375" customWidth="1" style="22" min="148" max="148"/>
    <col width="29.7109375" customWidth="1" style="22" min="149" max="149"/>
    <col width="20.7109375" customWidth="1" style="22" min="150" max="150"/>
  </cols>
  <sheetData>
    <row r="1" hidden="1">
      <c r="B1" s="22" t="inlineStr">
        <is>
          <t>core::supplierPartNumber</t>
        </is>
      </c>
      <c r="C1" s="22" t="inlineStr">
        <is>
          <t>core::amazonStandardIdentificationNumber</t>
        </is>
      </c>
      <c r="D1" s="22" t="inlineStr">
        <is>
          <t>core::manufacturerId</t>
        </is>
      </c>
      <c r="E1" s="22" t="inlineStr">
        <is>
          <t>core::manufacturerPartNumber</t>
        </is>
      </c>
      <c r="F1" s="22" t="inlineStr">
        <is>
          <t>core::universalProductCode</t>
        </is>
      </c>
      <c r="G1" s="22" t="inlineStr">
        <is>
          <t>core::productName</t>
        </is>
      </c>
      <c r="H1" s="22" t="inlineStr">
        <is>
          <t>core::collectionName</t>
        </is>
      </c>
      <c r="I1" s="22" t="inlineStr">
        <is>
          <t>core::manufacturerProductUrl</t>
        </is>
      </c>
      <c r="J1" s="22" t="inlineStr">
        <is>
          <t>price::wholesalePrice</t>
        </is>
      </c>
      <c r="K1" s="22" t="inlineStr">
        <is>
          <t>price::minimumAdvertizedPrice</t>
        </is>
      </c>
      <c r="L1" s="22" t="inlineStr">
        <is>
          <t>price::manufacturerSuggestedRetailPrice</t>
        </is>
      </c>
      <c r="M1" s="22" t="inlineStr">
        <is>
          <t>featureDescription::romanceCopy</t>
        </is>
      </c>
      <c r="N1" s="22" t="inlineStr">
        <is>
          <t>featureDescription::genericFeatures</t>
        </is>
      </c>
      <c r="O1" s="22" t="inlineStr">
        <is>
          <t>featureDescription::genericFeatures</t>
        </is>
      </c>
      <c r="P1" s="22" t="inlineStr">
        <is>
          <t>featureDescription::genericFeatures</t>
        </is>
      </c>
      <c r="Q1" s="22" t="inlineStr">
        <is>
          <t>featureDescription::genericFeatures</t>
        </is>
      </c>
      <c r="R1" s="22" t="inlineStr">
        <is>
          <t>featureDescription::genericFeatures</t>
        </is>
      </c>
      <c r="S1" s="22" t="inlineStr">
        <is>
          <t>shippingAndFulfillment::minimumOrderQuantity</t>
        </is>
      </c>
      <c r="T1" s="22" t="inlineStr">
        <is>
          <t>shippingAndFulfillment::forceQuantityMultiplier</t>
        </is>
      </c>
      <c r="U1" s="22" t="inlineStr">
        <is>
          <t>shippingAndFulfillment::displaySetQuantity</t>
        </is>
      </c>
      <c r="V1" s="22" t="inlineStr">
        <is>
          <t>shippingAndFulfillment::productWeight</t>
        </is>
      </c>
      <c r="W1" s="22" t="inlineStr">
        <is>
          <t>shippingAndFulfillment::shipType</t>
        </is>
      </c>
      <c r="X1" s="22" t="inlineStr">
        <is>
          <t>shippingAndFulfillment::freightClass</t>
        </is>
      </c>
      <c r="Y1" s="22" t="inlineStr">
        <is>
          <t>shippingAndFulfillment::leadTime</t>
        </is>
      </c>
      <c r="Z1" s="22" t="inlineStr">
        <is>
          <t>shippingAndFulfillment::replacementLeadTime</t>
        </is>
      </c>
      <c r="AA1" s="22" t="inlineStr">
        <is>
          <t>shippingAndFulfillment::nationalMotorFreightClass</t>
        </is>
      </c>
      <c r="AB1" s="22" t="inlineStr">
        <is>
          <t>shippingAndFulfillment::flatPack</t>
        </is>
      </c>
      <c r="AC1" s="22" t="inlineStr">
        <is>
          <t>shippingAndFulfillment::shipPalletized</t>
        </is>
      </c>
      <c r="AD1" s="22" t="inlineStr">
        <is>
          <t>shippingAndFulfillment::weight</t>
        </is>
      </c>
      <c r="AE1" s="22" t="inlineStr">
        <is>
          <t>shippingAndFulfillment::height</t>
        </is>
      </c>
      <c r="AF1" s="22" t="inlineStr">
        <is>
          <t>shippingAndFulfillment::width</t>
        </is>
      </c>
      <c r="AG1" s="22" t="inlineStr">
        <is>
          <t>shippingAndFulfillment::depth</t>
        </is>
      </c>
      <c r="AH1" s="22" t="inlineStr">
        <is>
          <t>propSixtyFive::warningRequired</t>
        </is>
      </c>
      <c r="AI1" s="22" t="inlineStr">
        <is>
          <t>propSixtyFive::chemicalId</t>
        </is>
      </c>
      <c r="AJ1" s="22" t="inlineStr">
        <is>
          <t>propSixtyFive::toxicity</t>
        </is>
      </c>
      <c r="AK1" s="22" t="inlineStr">
        <is>
          <t>propSixtyFive::countryOfManufacturer</t>
        </is>
      </c>
      <c r="AL1" s="22" t="inlineStr">
        <is>
          <t>media::imageValue</t>
        </is>
      </c>
      <c r="AM1" s="22" t="inlineStr">
        <is>
          <t>media::imageValue</t>
        </is>
      </c>
      <c r="AN1" s="22" t="inlineStr">
        <is>
          <t>media::imageValue</t>
        </is>
      </c>
      <c r="AO1" s="22" t="inlineStr">
        <is>
          <t>media::imageValue</t>
        </is>
      </c>
      <c r="AP1" s="22" t="inlineStr">
        <is>
          <t>media::imageValue</t>
        </is>
      </c>
      <c r="AQ1" s="22" t="inlineStr">
        <is>
          <t>media::videoValue</t>
        </is>
      </c>
      <c r="AR1" s="22" t="inlineStr">
        <is>
          <t>media::documentValue</t>
        </is>
      </c>
      <c r="AS1" s="22" t="inlineStr">
        <is>
          <t>media::documentType</t>
        </is>
      </c>
      <c r="AT1" s="22" t="inlineStr">
        <is>
          <t>media::legalDocumentType</t>
        </is>
      </c>
      <c r="AU1" s="22" t="inlineStr">
        <is>
          <t>media::regionType</t>
        </is>
      </c>
      <c r="AV1" s="22" t="inlineStr">
        <is>
          <t>media::language</t>
        </is>
      </c>
      <c r="AW1" s="22" t="inlineStr">
        <is>
          <t>media::documentValue</t>
        </is>
      </c>
      <c r="AX1" s="22" t="inlineStr">
        <is>
          <t>media::documentType</t>
        </is>
      </c>
      <c r="AY1" s="22" t="inlineStr">
        <is>
          <t>media::legalDocumentType</t>
        </is>
      </c>
      <c r="AZ1" s="22" t="inlineStr">
        <is>
          <t>media::regionType</t>
        </is>
      </c>
      <c r="BA1" s="22" t="inlineStr">
        <is>
          <t>media::language</t>
        </is>
      </c>
      <c r="BB1" s="22" t="inlineStr">
        <is>
          <t>media::documentValue</t>
        </is>
      </c>
      <c r="BC1" s="22" t="inlineStr">
        <is>
          <t>media::documentType</t>
        </is>
      </c>
      <c r="BD1" s="22" t="inlineStr">
        <is>
          <t>media::legalDocumentType</t>
        </is>
      </c>
      <c r="BE1" s="22" t="inlineStr">
        <is>
          <t>media::regionType</t>
        </is>
      </c>
      <c r="BF1" s="22" t="inlineStr">
        <is>
          <t>media::language</t>
        </is>
      </c>
      <c r="BG1" s="22" t="inlineStr">
        <is>
          <t>5620</t>
        </is>
      </c>
      <c r="BH1" s="22" t="inlineStr">
        <is>
          <t>252622</t>
        </is>
      </c>
      <c r="BI1" s="22" t="inlineStr">
        <is>
          <t>5635</t>
        </is>
      </c>
      <c r="BJ1" s="22" t="inlineStr">
        <is>
          <t>5911</t>
        </is>
      </c>
      <c r="BK1" s="22" t="inlineStr">
        <is>
          <t>5636</t>
        </is>
      </c>
      <c r="BL1" s="22" t="inlineStr">
        <is>
          <t>382543</t>
        </is>
      </c>
      <c r="BM1" s="22" t="inlineStr">
        <is>
          <t>5634</t>
        </is>
      </c>
      <c r="BN1" s="22" t="inlineStr">
        <is>
          <t>5678</t>
        </is>
      </c>
      <c r="BO1" s="22" t="inlineStr">
        <is>
          <t>252625</t>
        </is>
      </c>
      <c r="BP1" s="22" t="inlineStr">
        <is>
          <t>5621</t>
        </is>
      </c>
      <c r="BQ1" s="22" t="inlineStr">
        <is>
          <t>5625</t>
        </is>
      </c>
      <c r="BR1" s="22" t="inlineStr">
        <is>
          <t>222860</t>
        </is>
      </c>
      <c r="BS1" s="22" t="inlineStr">
        <is>
          <t>222861</t>
        </is>
      </c>
      <c r="BT1" s="22" t="inlineStr">
        <is>
          <t>5624</t>
        </is>
      </c>
      <c r="BU1" s="22" t="inlineStr">
        <is>
          <t>220722</t>
        </is>
      </c>
      <c r="BV1" s="22" t="inlineStr">
        <is>
          <t>221251</t>
        </is>
      </c>
      <c r="BW1" s="22" t="inlineStr">
        <is>
          <t>218007</t>
        </is>
      </c>
      <c r="BX1" s="22" t="inlineStr">
        <is>
          <t>5648</t>
        </is>
      </c>
      <c r="BY1" s="22" t="inlineStr">
        <is>
          <t>5649</t>
        </is>
      </c>
      <c r="BZ1" s="22" t="inlineStr">
        <is>
          <t>5643</t>
        </is>
      </c>
      <c r="CA1" s="22" t="inlineStr">
        <is>
          <t>5645</t>
        </is>
      </c>
      <c r="CB1" s="22" t="inlineStr">
        <is>
          <t>189876</t>
        </is>
      </c>
      <c r="CC1" s="22" t="inlineStr">
        <is>
          <t>201479</t>
        </is>
      </c>
      <c r="CD1" s="22" t="inlineStr">
        <is>
          <t>5663</t>
        </is>
      </c>
      <c r="CE1" s="22" t="inlineStr">
        <is>
          <t>242478</t>
        </is>
      </c>
      <c r="CF1" s="22" t="inlineStr">
        <is>
          <t>227966</t>
        </is>
      </c>
      <c r="CG1" s="22" t="inlineStr">
        <is>
          <t>244566</t>
        </is>
      </c>
      <c r="CH1" s="22" t="inlineStr">
        <is>
          <t>293480</t>
        </is>
      </c>
      <c r="CI1" s="22" t="inlineStr">
        <is>
          <t>293547</t>
        </is>
      </c>
      <c r="CJ1" s="22" t="inlineStr">
        <is>
          <t>185254</t>
        </is>
      </c>
      <c r="CK1" s="22" t="inlineStr">
        <is>
          <t>344955</t>
        </is>
      </c>
      <c r="CL1" s="22" t="inlineStr">
        <is>
          <t>346869</t>
        </is>
      </c>
      <c r="CM1" s="22" t="inlineStr">
        <is>
          <t>351619</t>
        </is>
      </c>
      <c r="CN1" s="22" t="inlineStr">
        <is>
          <t>367149</t>
        </is>
      </c>
      <c r="CO1" s="22" t="inlineStr">
        <is>
          <t>351641</t>
        </is>
      </c>
      <c r="CP1" s="22" t="inlineStr">
        <is>
          <t>352351</t>
        </is>
      </c>
      <c r="CQ1" s="22" t="inlineStr">
        <is>
          <t>352342</t>
        </is>
      </c>
      <c r="CR1" s="22" t="inlineStr">
        <is>
          <t>351649</t>
        </is>
      </c>
      <c r="CS1" s="22" t="inlineStr">
        <is>
          <t>5949</t>
        </is>
      </c>
      <c r="CT1" s="22" t="inlineStr">
        <is>
          <t>5950</t>
        </is>
      </c>
      <c r="CU1" s="22" t="inlineStr">
        <is>
          <t>5654</t>
        </is>
      </c>
      <c r="CV1" s="22" t="inlineStr">
        <is>
          <t>368645</t>
        </is>
      </c>
      <c r="CW1" s="22" t="inlineStr">
        <is>
          <t>370848</t>
        </is>
      </c>
      <c r="CX1" s="22" t="inlineStr">
        <is>
          <t>5910</t>
        </is>
      </c>
      <c r="CY1" s="22" t="inlineStr">
        <is>
          <t>379875</t>
        </is>
      </c>
      <c r="CZ1" s="22" t="inlineStr">
        <is>
          <t>292794</t>
        </is>
      </c>
      <c r="DA1" s="22" t="inlineStr">
        <is>
          <t>220267</t>
        </is>
      </c>
      <c r="DB1" s="22" t="inlineStr">
        <is>
          <t>220265</t>
        </is>
      </c>
      <c r="DC1" s="22" t="inlineStr">
        <is>
          <t>384286</t>
        </is>
      </c>
      <c r="DD1" s="22" t="inlineStr">
        <is>
          <t>393970</t>
        </is>
      </c>
      <c r="DE1" s="22" t="inlineStr">
        <is>
          <t>400764</t>
        </is>
      </c>
      <c r="DF1" s="22" t="inlineStr">
        <is>
          <t>420139</t>
        </is>
      </c>
      <c r="DG1" s="22" t="inlineStr">
        <is>
          <t>5920</t>
        </is>
      </c>
      <c r="DH1" s="22" t="inlineStr">
        <is>
          <t>5916</t>
        </is>
      </c>
      <c r="DI1" s="22" t="inlineStr">
        <is>
          <t>5938</t>
        </is>
      </c>
      <c r="DJ1" s="22" t="inlineStr">
        <is>
          <t>5671</t>
        </is>
      </c>
      <c r="DK1" s="22" t="inlineStr">
        <is>
          <t>201426</t>
        </is>
      </c>
      <c r="DL1" s="22" t="inlineStr">
        <is>
          <t>224759</t>
        </is>
      </c>
      <c r="DM1" s="22" t="inlineStr">
        <is>
          <t>224980</t>
        </is>
      </c>
      <c r="DN1" s="22" t="inlineStr">
        <is>
          <t>364708</t>
        </is>
      </c>
      <c r="DO1" s="22" t="inlineStr">
        <is>
          <t>236083</t>
        </is>
      </c>
      <c r="DP1" s="22" t="inlineStr">
        <is>
          <t>249364</t>
        </is>
      </c>
      <c r="DQ1" s="22" t="inlineStr">
        <is>
          <t>251110</t>
        </is>
      </c>
      <c r="DR1" s="22" t="inlineStr">
        <is>
          <t>310560</t>
        </is>
      </c>
      <c r="DS1" s="22" t="inlineStr">
        <is>
          <t>339330</t>
        </is>
      </c>
      <c r="DT1" s="22" t="inlineStr">
        <is>
          <t>373560</t>
        </is>
      </c>
      <c r="DU1" s="22" t="inlineStr">
        <is>
          <t>340810</t>
        </is>
      </c>
      <c r="DV1" s="22" t="inlineStr">
        <is>
          <t>341070</t>
        </is>
      </c>
      <c r="DW1" s="22" t="inlineStr">
        <is>
          <t>369614</t>
        </is>
      </c>
      <c r="DX1" s="22" t="inlineStr">
        <is>
          <t>368262</t>
        </is>
      </c>
      <c r="DY1" s="22" t="inlineStr">
        <is>
          <t>375302</t>
        </is>
      </c>
      <c r="DZ1" s="22" t="inlineStr">
        <is>
          <t>376202</t>
        </is>
      </c>
      <c r="EA1" s="22" t="inlineStr">
        <is>
          <t>382060</t>
        </is>
      </c>
      <c r="EB1" s="22" t="inlineStr">
        <is>
          <t>385921</t>
        </is>
      </c>
      <c r="EC1" s="22" t="inlineStr">
        <is>
          <t>415242</t>
        </is>
      </c>
      <c r="ED1" s="22" t="inlineStr">
        <is>
          <t>421601</t>
        </is>
      </c>
      <c r="EE1" s="22" t="inlineStr">
        <is>
          <t>5675</t>
        </is>
      </c>
      <c r="EF1" s="22" t="inlineStr">
        <is>
          <t>5676</t>
        </is>
      </c>
      <c r="EG1" s="22" t="inlineStr">
        <is>
          <t>252485</t>
        </is>
      </c>
      <c r="EH1" s="22" t="inlineStr">
        <is>
          <t>252486</t>
        </is>
      </c>
      <c r="EI1" s="22" t="inlineStr">
        <is>
          <t>252487</t>
        </is>
      </c>
      <c r="EJ1" s="22" t="inlineStr">
        <is>
          <t>5681</t>
        </is>
      </c>
      <c r="EK1" s="22" t="inlineStr">
        <is>
          <t>217965</t>
        </is>
      </c>
      <c r="EL1" s="22" t="inlineStr">
        <is>
          <t>5674</t>
        </is>
      </c>
      <c r="EM1" s="22" t="inlineStr">
        <is>
          <t>5682</t>
        </is>
      </c>
      <c r="EN1" s="22" t="inlineStr">
        <is>
          <t>222775</t>
        </is>
      </c>
      <c r="EO1" s="22" t="inlineStr">
        <is>
          <t>222778</t>
        </is>
      </c>
      <c r="EP1" s="22" t="inlineStr">
        <is>
          <t>228934</t>
        </is>
      </c>
      <c r="EQ1" s="22" t="inlineStr">
        <is>
          <t>333812</t>
        </is>
      </c>
      <c r="ER1" s="22" t="inlineStr">
        <is>
          <t>254186</t>
        </is>
      </c>
      <c r="ES1" s="22" t="inlineStr">
        <is>
          <t>255305</t>
        </is>
      </c>
      <c r="ET1" s="22" t="inlineStr">
        <is>
          <t>256090</t>
        </is>
      </c>
    </row>
    <row r="2">
      <c r="B2" s="23" t="inlineStr">
        <is>
          <t>Basic Information</t>
        </is>
      </c>
      <c r="C2" s="40" t="n"/>
      <c r="D2" s="40" t="n"/>
      <c r="E2" s="40" t="n"/>
      <c r="F2" s="40" t="n"/>
      <c r="G2" s="40" t="n"/>
      <c r="H2" s="40" t="n"/>
      <c r="I2" s="41" t="n"/>
      <c r="J2" s="24" t="inlineStr">
        <is>
          <t>Pricing</t>
        </is>
      </c>
      <c r="K2" s="40" t="n"/>
      <c r="L2" s="41" t="n"/>
      <c r="M2" s="25" t="inlineStr">
        <is>
          <t>Marketing Information</t>
        </is>
      </c>
      <c r="N2" s="40" t="n"/>
      <c r="O2" s="40" t="n"/>
      <c r="P2" s="40" t="n"/>
      <c r="Q2" s="40" t="n"/>
      <c r="R2" s="41" t="n"/>
      <c r="S2" s="26" t="inlineStr">
        <is>
          <t>Fulfillment Information</t>
        </is>
      </c>
      <c r="T2" s="40" t="n"/>
      <c r="U2" s="40" t="n"/>
      <c r="V2" s="40" t="n"/>
      <c r="W2" s="40" t="n"/>
      <c r="X2" s="40" t="n"/>
      <c r="Y2" s="40" t="n"/>
      <c r="Z2" s="40" t="n"/>
      <c r="AA2" s="40" t="n"/>
      <c r="AB2" s="40" t="n"/>
      <c r="AC2" s="41" t="n"/>
      <c r="AD2" s="27" t="inlineStr">
        <is>
          <t>Carton Details</t>
        </is>
      </c>
      <c r="AE2" s="40" t="n"/>
      <c r="AF2" s="40" t="n"/>
      <c r="AG2" s="41" t="n"/>
      <c r="AH2" s="28" t="inlineStr">
        <is>
          <t>Compliance</t>
        </is>
      </c>
      <c r="AI2" s="40" t="n"/>
      <c r="AJ2" s="40" t="n"/>
      <c r="AK2" s="41" t="n"/>
      <c r="AL2" s="29" t="inlineStr">
        <is>
          <t>Media</t>
        </is>
      </c>
      <c r="AM2" s="40" t="n"/>
      <c r="AN2" s="40" t="n"/>
      <c r="AO2" s="40" t="n"/>
      <c r="AP2" s="40" t="n"/>
      <c r="AQ2" s="40" t="n"/>
      <c r="AR2" s="40" t="n"/>
      <c r="AS2" s="40" t="n"/>
      <c r="AT2" s="40" t="n"/>
      <c r="AU2" s="40" t="n"/>
      <c r="AV2" s="40" t="n"/>
      <c r="AW2" s="40" t="n"/>
      <c r="AX2" s="40" t="n"/>
      <c r="AY2" s="40" t="n"/>
      <c r="AZ2" s="40" t="n"/>
      <c r="BA2" s="40" t="n"/>
      <c r="BB2" s="40" t="n"/>
      <c r="BC2" s="40" t="n"/>
      <c r="BD2" s="40" t="n"/>
      <c r="BE2" s="40" t="n"/>
      <c r="BF2" s="41" t="n"/>
      <c r="BG2" s="30" t="inlineStr">
        <is>
          <t>Attributes</t>
        </is>
      </c>
      <c r="BH2" s="40" t="n"/>
      <c r="BI2" s="40" t="n"/>
      <c r="BJ2" s="40" t="n"/>
      <c r="BK2" s="40" t="n"/>
      <c r="BL2" s="40" t="n"/>
      <c r="BM2" s="40" t="n"/>
      <c r="BN2" s="40" t="n"/>
      <c r="BO2" s="40" t="n"/>
      <c r="BP2" s="40" t="n"/>
      <c r="BQ2" s="40" t="n"/>
      <c r="BR2" s="40" t="n"/>
      <c r="BS2" s="40" t="n"/>
      <c r="BT2" s="40" t="n"/>
      <c r="BU2" s="40" t="n"/>
      <c r="BV2" s="40" t="n"/>
      <c r="BW2" s="40" t="n"/>
      <c r="BX2" s="40" t="n"/>
      <c r="BY2" s="40" t="n"/>
      <c r="BZ2" s="40" t="n"/>
      <c r="CA2" s="40" t="n"/>
      <c r="CB2" s="40" t="n"/>
      <c r="CC2" s="40" t="n"/>
      <c r="CD2" s="40" t="n"/>
      <c r="CE2" s="40" t="n"/>
      <c r="CF2" s="40" t="n"/>
      <c r="CG2" s="40" t="n"/>
      <c r="CH2" s="40" t="n"/>
      <c r="CI2" s="40" t="n"/>
      <c r="CJ2" s="40" t="n"/>
      <c r="CK2" s="40" t="n"/>
      <c r="CL2" s="40" t="n"/>
      <c r="CM2" s="40" t="n"/>
      <c r="CN2" s="40" t="n"/>
      <c r="CO2" s="40" t="n"/>
      <c r="CP2" s="40" t="n"/>
      <c r="CQ2" s="40" t="n"/>
      <c r="CR2" s="40" t="n"/>
      <c r="CS2" s="40" t="n"/>
      <c r="CT2" s="40" t="n"/>
      <c r="CU2" s="40" t="n"/>
      <c r="CV2" s="40" t="n"/>
      <c r="CW2" s="40" t="n"/>
      <c r="CX2" s="40" t="n"/>
      <c r="CY2" s="40" t="n"/>
      <c r="CZ2" s="40" t="n"/>
      <c r="DA2" s="40" t="n"/>
      <c r="DB2" s="40" t="n"/>
      <c r="DC2" s="40" t="n"/>
      <c r="DD2" s="40" t="n"/>
      <c r="DE2" s="40" t="n"/>
      <c r="DF2" s="40" t="n"/>
      <c r="DG2" s="40" t="n"/>
      <c r="DH2" s="40" t="n"/>
      <c r="DI2" s="40" t="n"/>
      <c r="DJ2" s="40" t="n"/>
      <c r="DK2" s="40" t="n"/>
      <c r="DL2" s="40" t="n"/>
      <c r="DM2" s="40" t="n"/>
      <c r="DN2" s="40" t="n"/>
      <c r="DO2" s="40" t="n"/>
      <c r="DP2" s="40" t="n"/>
      <c r="DQ2" s="40" t="n"/>
      <c r="DR2" s="40" t="n"/>
      <c r="DS2" s="40" t="n"/>
      <c r="DT2" s="40" t="n"/>
      <c r="DU2" s="40" t="n"/>
      <c r="DV2" s="40" t="n"/>
      <c r="DW2" s="40" t="n"/>
      <c r="DX2" s="40" t="n"/>
      <c r="DY2" s="40" t="n"/>
      <c r="DZ2" s="40" t="n"/>
      <c r="EA2" s="40" t="n"/>
      <c r="EB2" s="40" t="n"/>
      <c r="EC2" s="40" t="n"/>
      <c r="ED2" s="40" t="n"/>
      <c r="EE2" s="40" t="n"/>
      <c r="EF2" s="40" t="n"/>
      <c r="EG2" s="40" t="n"/>
      <c r="EH2" s="40" t="n"/>
      <c r="EI2" s="40" t="n"/>
      <c r="EJ2" s="40" t="n"/>
      <c r="EK2" s="40" t="n"/>
      <c r="EL2" s="40" t="n"/>
      <c r="EM2" s="40" t="n"/>
      <c r="EN2" s="40" t="n"/>
      <c r="EO2" s="40" t="n"/>
      <c r="EP2" s="40" t="n"/>
      <c r="EQ2" s="40" t="n"/>
      <c r="ER2" s="40" t="n"/>
      <c r="ES2" s="40" t="n"/>
      <c r="ET2" s="41" t="n"/>
    </row>
    <row r="3">
      <c r="B3" s="31" t="inlineStr">
        <is>
          <t>Required</t>
        </is>
      </c>
      <c r="C3" s="31" t="inlineStr">
        <is>
          <t>Additional</t>
        </is>
      </c>
      <c r="D3" s="31" t="inlineStr">
        <is>
          <t>Required</t>
        </is>
      </c>
      <c r="E3" s="31" t="inlineStr">
        <is>
          <t>Required</t>
        </is>
      </c>
      <c r="F3" s="31" t="inlineStr">
        <is>
          <t>Recommended</t>
        </is>
      </c>
      <c r="G3" s="31" t="inlineStr">
        <is>
          <t>Required</t>
        </is>
      </c>
      <c r="H3" s="31" t="inlineStr">
        <is>
          <t>Additional</t>
        </is>
      </c>
      <c r="I3" s="31" t="inlineStr">
        <is>
          <t>Additional</t>
        </is>
      </c>
      <c r="J3" s="31" t="inlineStr">
        <is>
          <t>Required</t>
        </is>
      </c>
      <c r="K3" s="31" t="inlineStr">
        <is>
          <t>Additional</t>
        </is>
      </c>
      <c r="L3" s="31" t="inlineStr">
        <is>
          <t>Additional</t>
        </is>
      </c>
      <c r="M3" s="31" t="inlineStr">
        <is>
          <t>Conditional</t>
        </is>
      </c>
      <c r="N3" s="31" t="inlineStr">
        <is>
          <t>Conditional</t>
        </is>
      </c>
      <c r="O3" s="31" t="inlineStr">
        <is>
          <t>Conditional</t>
        </is>
      </c>
      <c r="P3" s="31" t="inlineStr">
        <is>
          <t>Conditional</t>
        </is>
      </c>
      <c r="Q3" s="31" t="inlineStr">
        <is>
          <t>Conditional</t>
        </is>
      </c>
      <c r="R3" s="31" t="inlineStr">
        <is>
          <t>Conditional</t>
        </is>
      </c>
      <c r="S3" s="31" t="inlineStr">
        <is>
          <t>Required</t>
        </is>
      </c>
      <c r="T3" s="31" t="inlineStr">
        <is>
          <t>Required</t>
        </is>
      </c>
      <c r="U3" s="31" t="inlineStr">
        <is>
          <t>Required</t>
        </is>
      </c>
      <c r="V3" s="31" t="inlineStr">
        <is>
          <t>Required</t>
        </is>
      </c>
      <c r="W3" s="31" t="inlineStr">
        <is>
          <t>Required</t>
        </is>
      </c>
      <c r="X3" s="31" t="inlineStr">
        <is>
          <t>Conditional</t>
        </is>
      </c>
      <c r="Y3" s="31" t="inlineStr">
        <is>
          <t>Required</t>
        </is>
      </c>
      <c r="Z3" s="31" t="inlineStr">
        <is>
          <t>Required</t>
        </is>
      </c>
      <c r="AA3" s="31" t="inlineStr">
        <is>
          <t>Additional</t>
        </is>
      </c>
      <c r="AB3" s="31" t="inlineStr">
        <is>
          <t>Additional</t>
        </is>
      </c>
      <c r="AC3" s="31" t="inlineStr">
        <is>
          <t>Additional</t>
        </is>
      </c>
      <c r="AD3" s="31" t="inlineStr">
        <is>
          <t>Required</t>
        </is>
      </c>
      <c r="AE3" s="31" t="inlineStr">
        <is>
          <t>Required</t>
        </is>
      </c>
      <c r="AF3" s="31" t="inlineStr">
        <is>
          <t>Required</t>
        </is>
      </c>
      <c r="AG3" s="31" t="inlineStr">
        <is>
          <t>Required</t>
        </is>
      </c>
      <c r="AH3" s="31" t="inlineStr">
        <is>
          <t>Required</t>
        </is>
      </c>
      <c r="AI3" s="31" t="inlineStr">
        <is>
          <t>Conditional</t>
        </is>
      </c>
      <c r="AJ3" s="31" t="inlineStr">
        <is>
          <t>Conditional</t>
        </is>
      </c>
      <c r="AK3" s="31" t="inlineStr">
        <is>
          <t>Required</t>
        </is>
      </c>
      <c r="AL3" s="31" t="inlineStr">
        <is>
          <t>Required</t>
        </is>
      </c>
      <c r="AM3" s="31" t="inlineStr">
        <is>
          <t>Additional</t>
        </is>
      </c>
      <c r="AN3" s="31" t="inlineStr">
        <is>
          <t>Additional</t>
        </is>
      </c>
      <c r="AO3" s="31" t="inlineStr">
        <is>
          <t>Additional</t>
        </is>
      </c>
      <c r="AP3" s="31" t="inlineStr">
        <is>
          <t>Additional</t>
        </is>
      </c>
      <c r="AQ3" s="31" t="inlineStr">
        <is>
          <t>Additional</t>
        </is>
      </c>
      <c r="AR3" s="31" t="inlineStr">
        <is>
          <t>Conditional</t>
        </is>
      </c>
      <c r="AS3" s="31" t="inlineStr">
        <is>
          <t>Conditional</t>
        </is>
      </c>
      <c r="AT3" s="31" t="inlineStr">
        <is>
          <t>Conditional</t>
        </is>
      </c>
      <c r="AU3" s="31" t="inlineStr">
        <is>
          <t>Conditional</t>
        </is>
      </c>
      <c r="AV3" s="31" t="inlineStr">
        <is>
          <t>Conditional</t>
        </is>
      </c>
      <c r="AW3" s="31" t="inlineStr">
        <is>
          <t>Conditional</t>
        </is>
      </c>
      <c r="AX3" s="31" t="inlineStr">
        <is>
          <t>Conditional</t>
        </is>
      </c>
      <c r="AY3" s="31" t="inlineStr">
        <is>
          <t>Conditional</t>
        </is>
      </c>
      <c r="AZ3" s="31" t="inlineStr">
        <is>
          <t>Conditional</t>
        </is>
      </c>
      <c r="BA3" s="31" t="inlineStr">
        <is>
          <t>Conditional</t>
        </is>
      </c>
      <c r="BB3" s="31" t="inlineStr">
        <is>
          <t>Conditional</t>
        </is>
      </c>
      <c r="BC3" s="31" t="inlineStr">
        <is>
          <t>Conditional</t>
        </is>
      </c>
      <c r="BD3" s="31" t="inlineStr">
        <is>
          <t>Conditional</t>
        </is>
      </c>
      <c r="BE3" s="31" t="inlineStr">
        <is>
          <t>Conditional</t>
        </is>
      </c>
      <c r="BF3" s="31" t="inlineStr">
        <is>
          <t>Conditional</t>
        </is>
      </c>
      <c r="BG3" s="31" t="inlineStr">
        <is>
          <t>Required</t>
        </is>
      </c>
      <c r="BH3" s="31" t="inlineStr">
        <is>
          <t>Recommended</t>
        </is>
      </c>
      <c r="BI3" s="31" t="inlineStr">
        <is>
          <t>Required</t>
        </is>
      </c>
      <c r="BJ3" s="31" t="inlineStr">
        <is>
          <t>Required</t>
        </is>
      </c>
      <c r="BK3" s="31" t="inlineStr">
        <is>
          <t>Required</t>
        </is>
      </c>
      <c r="BL3" s="31" t="inlineStr">
        <is>
          <t>Recommended</t>
        </is>
      </c>
      <c r="BM3" s="31" t="inlineStr">
        <is>
          <t>Recommended</t>
        </is>
      </c>
      <c r="BN3" s="31" t="inlineStr">
        <is>
          <t>Recommended</t>
        </is>
      </c>
      <c r="BO3" s="31" t="inlineStr">
        <is>
          <t>Recommended</t>
        </is>
      </c>
      <c r="BP3" s="31" t="inlineStr">
        <is>
          <t>Required</t>
        </is>
      </c>
      <c r="BQ3" s="31" t="inlineStr">
        <is>
          <t>Required</t>
        </is>
      </c>
      <c r="BR3" s="31" t="inlineStr">
        <is>
          <t>Recommended</t>
        </is>
      </c>
      <c r="BS3" s="31" t="inlineStr">
        <is>
          <t>Recommended</t>
        </is>
      </c>
      <c r="BT3" s="31" t="inlineStr">
        <is>
          <t>Recommended</t>
        </is>
      </c>
      <c r="BU3" s="31" t="inlineStr">
        <is>
          <t>Recommended</t>
        </is>
      </c>
      <c r="BV3" s="31" t="inlineStr">
        <is>
          <t>Recommended</t>
        </is>
      </c>
      <c r="BW3" s="31" t="inlineStr">
        <is>
          <t>Recommended</t>
        </is>
      </c>
      <c r="BX3" s="31" t="inlineStr">
        <is>
          <t>Recommended</t>
        </is>
      </c>
      <c r="BY3" s="31" t="inlineStr">
        <is>
          <t>Recommended</t>
        </is>
      </c>
      <c r="BZ3" s="31" t="inlineStr">
        <is>
          <t>Recommended</t>
        </is>
      </c>
      <c r="CA3" s="31" t="inlineStr">
        <is>
          <t>Required</t>
        </is>
      </c>
      <c r="CB3" s="31" t="inlineStr">
        <is>
          <t>Required</t>
        </is>
      </c>
      <c r="CC3" s="31" t="inlineStr">
        <is>
          <t>Required</t>
        </is>
      </c>
      <c r="CD3" s="31" t="inlineStr">
        <is>
          <t>Recommended</t>
        </is>
      </c>
      <c r="CE3" s="31" t="inlineStr">
        <is>
          <t>Recommended</t>
        </is>
      </c>
      <c r="CF3" s="31" t="inlineStr">
        <is>
          <t>Required</t>
        </is>
      </c>
      <c r="CG3" s="31" t="inlineStr">
        <is>
          <t>Additional</t>
        </is>
      </c>
      <c r="CH3" s="31" t="inlineStr">
        <is>
          <t>Recommended</t>
        </is>
      </c>
      <c r="CI3" s="31" t="inlineStr">
        <is>
          <t>Recommended</t>
        </is>
      </c>
      <c r="CJ3" s="31" t="inlineStr">
        <is>
          <t>Recommended</t>
        </is>
      </c>
      <c r="CK3" s="31" t="inlineStr">
        <is>
          <t>Required</t>
        </is>
      </c>
      <c r="CL3" s="31" t="inlineStr">
        <is>
          <t>Required</t>
        </is>
      </c>
      <c r="CM3" s="31" t="inlineStr">
        <is>
          <t>Required</t>
        </is>
      </c>
      <c r="CN3" s="31" t="inlineStr">
        <is>
          <t>Required</t>
        </is>
      </c>
      <c r="CO3" s="31" t="inlineStr">
        <is>
          <t>Additional</t>
        </is>
      </c>
      <c r="CP3" s="31" t="inlineStr">
        <is>
          <t>Additional</t>
        </is>
      </c>
      <c r="CQ3" s="31" t="inlineStr">
        <is>
          <t>Additional</t>
        </is>
      </c>
      <c r="CR3" s="31" t="inlineStr">
        <is>
          <t>Additional</t>
        </is>
      </c>
      <c r="CS3" s="31" t="inlineStr">
        <is>
          <t>Recommended</t>
        </is>
      </c>
      <c r="CT3" s="31" t="inlineStr">
        <is>
          <t>Recommended</t>
        </is>
      </c>
      <c r="CU3" s="31" t="inlineStr">
        <is>
          <t>Required</t>
        </is>
      </c>
      <c r="CV3" s="31" t="inlineStr">
        <is>
          <t>Recommended</t>
        </is>
      </c>
      <c r="CW3" s="31" t="inlineStr">
        <is>
          <t>Recommended</t>
        </is>
      </c>
      <c r="CX3" s="31" t="inlineStr">
        <is>
          <t>Recommended</t>
        </is>
      </c>
      <c r="CY3" s="31" t="inlineStr">
        <is>
          <t>Required</t>
        </is>
      </c>
      <c r="CZ3" s="31" t="inlineStr">
        <is>
          <t>Recommended</t>
        </is>
      </c>
      <c r="DA3" s="31" t="inlineStr">
        <is>
          <t>Required</t>
        </is>
      </c>
      <c r="DB3" s="31" t="inlineStr">
        <is>
          <t>Required</t>
        </is>
      </c>
      <c r="DC3" s="31" t="inlineStr">
        <is>
          <t>Recommended</t>
        </is>
      </c>
      <c r="DD3" s="31" t="inlineStr">
        <is>
          <t>Recommended</t>
        </is>
      </c>
      <c r="DE3" s="31" t="inlineStr">
        <is>
          <t>Recommended</t>
        </is>
      </c>
      <c r="DF3" s="31" t="inlineStr">
        <is>
          <t>Required</t>
        </is>
      </c>
      <c r="DG3" s="31" t="inlineStr">
        <is>
          <t>Required</t>
        </is>
      </c>
      <c r="DH3" s="31" t="inlineStr">
        <is>
          <t>Recommended</t>
        </is>
      </c>
      <c r="DI3" s="31" t="inlineStr">
        <is>
          <t>Recommended</t>
        </is>
      </c>
      <c r="DJ3" s="31" t="inlineStr">
        <is>
          <t>Required</t>
        </is>
      </c>
      <c r="DK3" s="31" t="inlineStr">
        <is>
          <t>Required</t>
        </is>
      </c>
      <c r="DL3" s="31" t="inlineStr">
        <is>
          <t>Required</t>
        </is>
      </c>
      <c r="DM3" s="31" t="inlineStr">
        <is>
          <t>Required</t>
        </is>
      </c>
      <c r="DN3" s="31" t="inlineStr">
        <is>
          <t>Required</t>
        </is>
      </c>
      <c r="DO3" s="31" t="inlineStr">
        <is>
          <t>Required</t>
        </is>
      </c>
      <c r="DP3" s="31" t="inlineStr">
        <is>
          <t>Required</t>
        </is>
      </c>
      <c r="DQ3" s="31" t="inlineStr">
        <is>
          <t>Required</t>
        </is>
      </c>
      <c r="DR3" s="31" t="inlineStr">
        <is>
          <t>Recommended</t>
        </is>
      </c>
      <c r="DS3" s="31" t="inlineStr">
        <is>
          <t>Recommended</t>
        </is>
      </c>
      <c r="DT3" s="31" t="inlineStr">
        <is>
          <t>Recommended</t>
        </is>
      </c>
      <c r="DU3" s="31" t="inlineStr">
        <is>
          <t>Recommended</t>
        </is>
      </c>
      <c r="DV3" s="31" t="inlineStr">
        <is>
          <t>Recommended</t>
        </is>
      </c>
      <c r="DW3" s="31" t="inlineStr">
        <is>
          <t>Recommended</t>
        </is>
      </c>
      <c r="DX3" s="31" t="inlineStr">
        <is>
          <t>Required</t>
        </is>
      </c>
      <c r="DY3" s="31" t="inlineStr">
        <is>
          <t>Required</t>
        </is>
      </c>
      <c r="DZ3" s="31" t="inlineStr">
        <is>
          <t>Required</t>
        </is>
      </c>
      <c r="EA3" s="31" t="inlineStr">
        <is>
          <t>Required</t>
        </is>
      </c>
      <c r="EB3" s="31" t="inlineStr">
        <is>
          <t>Recommended</t>
        </is>
      </c>
      <c r="EC3" s="31" t="inlineStr">
        <is>
          <t>Recommended</t>
        </is>
      </c>
      <c r="ED3" s="31" t="inlineStr">
        <is>
          <t>Recommended</t>
        </is>
      </c>
      <c r="EE3" s="31" t="inlineStr">
        <is>
          <t>Required</t>
        </is>
      </c>
      <c r="EF3" s="31" t="inlineStr">
        <is>
          <t>Required</t>
        </is>
      </c>
      <c r="EG3" s="31" t="inlineStr">
        <is>
          <t>Required</t>
        </is>
      </c>
      <c r="EH3" s="31" t="inlineStr">
        <is>
          <t>Required</t>
        </is>
      </c>
      <c r="EI3" s="31" t="inlineStr">
        <is>
          <t>Required</t>
        </is>
      </c>
      <c r="EJ3" s="31" t="inlineStr">
        <is>
          <t>Recommended</t>
        </is>
      </c>
      <c r="EK3" s="31" t="inlineStr">
        <is>
          <t>Required</t>
        </is>
      </c>
      <c r="EL3" s="31" t="inlineStr">
        <is>
          <t>Required</t>
        </is>
      </c>
      <c r="EM3" s="31" t="inlineStr">
        <is>
          <t>Required</t>
        </is>
      </c>
      <c r="EN3" s="31" t="inlineStr">
        <is>
          <t>Required</t>
        </is>
      </c>
      <c r="EO3" s="31" t="inlineStr">
        <is>
          <t>Recommended</t>
        </is>
      </c>
      <c r="EP3" s="31" t="inlineStr">
        <is>
          <t>Required</t>
        </is>
      </c>
      <c r="EQ3" s="31" t="inlineStr">
        <is>
          <t>Recommended</t>
        </is>
      </c>
      <c r="ER3" s="31" t="inlineStr">
        <is>
          <t>Recommended</t>
        </is>
      </c>
      <c r="ES3" s="31" t="inlineStr">
        <is>
          <t>Recommended</t>
        </is>
      </c>
      <c r="ET3" s="31" t="inlineStr">
        <is>
          <t>Recommended</t>
        </is>
      </c>
    </row>
    <row r="4" ht="50" customHeight="1">
      <c r="B4" s="19" t="inlineStr">
        <is>
          <t>Supplier Part Number</t>
        </is>
      </c>
      <c r="C4" s="19" t="inlineStr">
        <is>
          <t>ASIN or Amazon Seller SKU</t>
        </is>
      </c>
      <c r="D4" s="19" t="inlineStr">
        <is>
          <t>Brand</t>
        </is>
      </c>
      <c r="E4" s="19" t="inlineStr">
        <is>
          <t>Manufacturer Part Number</t>
        </is>
      </c>
      <c r="F4" s="19" t="inlineStr">
        <is>
          <t>Universal Product Code</t>
        </is>
      </c>
      <c r="G4" s="19" t="inlineStr">
        <is>
          <t>Product Name</t>
        </is>
      </c>
      <c r="H4" s="19" t="inlineStr">
        <is>
          <t>Collection Name</t>
        </is>
      </c>
      <c r="I4" s="19" t="inlineStr">
        <is>
          <t>Manufacturer Product URL</t>
        </is>
      </c>
      <c r="J4" s="19" t="inlineStr">
        <is>
          <t>Base Cost</t>
        </is>
      </c>
      <c r="K4" s="19" t="inlineStr">
        <is>
          <t>Minimum Advertised Price</t>
        </is>
      </c>
      <c r="L4" s="19" t="inlineStr">
        <is>
          <t>Manufacturer Suggested Retail Price</t>
        </is>
      </c>
      <c r="M4" s="19" t="inlineStr">
        <is>
          <t>Marketing Copy</t>
        </is>
      </c>
      <c r="N4" s="19" t="inlineStr">
        <is>
          <t>Feature Bullet 1</t>
        </is>
      </c>
      <c r="O4" s="19" t="inlineStr">
        <is>
          <t>Feature Bullet 2</t>
        </is>
      </c>
      <c r="P4" s="19" t="inlineStr">
        <is>
          <t>Feature Bullet 3</t>
        </is>
      </c>
      <c r="Q4" s="19" t="inlineStr">
        <is>
          <t>Feature Bullet 4</t>
        </is>
      </c>
      <c r="R4" s="19" t="inlineStr">
        <is>
          <t>Feature Bullet 5</t>
        </is>
      </c>
      <c r="S4" s="19" t="inlineStr">
        <is>
          <t>Minimum Order Quantity</t>
        </is>
      </c>
      <c r="T4" s="19" t="inlineStr">
        <is>
          <t>Force Quantity Multiplier</t>
        </is>
      </c>
      <c r="U4" s="19" t="inlineStr">
        <is>
          <t>Display Set Quantity</t>
        </is>
      </c>
      <c r="V4" s="19" t="inlineStr">
        <is>
          <t>Product Weight</t>
        </is>
      </c>
      <c r="W4" s="19" t="inlineStr">
        <is>
          <t>Ship Type</t>
        </is>
      </c>
      <c r="X4" s="19" t="inlineStr">
        <is>
          <t>Freight Class</t>
        </is>
      </c>
      <c r="Y4" s="19" t="inlineStr">
        <is>
          <t>Lead Time</t>
        </is>
      </c>
      <c r="Z4" s="19" t="inlineStr">
        <is>
          <t>Replacement Lead Time</t>
        </is>
      </c>
      <c r="AA4" s="19" t="inlineStr">
        <is>
          <t>National Motor Freight Class</t>
        </is>
      </c>
      <c r="AB4" s="19" t="inlineStr">
        <is>
          <t>Flat Pack</t>
        </is>
      </c>
      <c r="AC4" s="19" t="inlineStr">
        <is>
          <t>Ship Palletized</t>
        </is>
      </c>
      <c r="AD4" s="19" t="inlineStr">
        <is>
          <t>Carton Weight 1</t>
        </is>
      </c>
      <c r="AE4" s="19" t="inlineStr">
        <is>
          <t>Carton Height 1</t>
        </is>
      </c>
      <c r="AF4" s="19" t="inlineStr">
        <is>
          <t>Carton Width 1</t>
        </is>
      </c>
      <c r="AG4" s="19" t="inlineStr">
        <is>
          <t>Carton Depth 1</t>
        </is>
      </c>
      <c r="AH4" s="19" t="inlineStr">
        <is>
          <t>Warning Required</t>
        </is>
      </c>
      <c r="AI4" s="19" t="inlineStr">
        <is>
          <t>Chemical 1</t>
        </is>
      </c>
      <c r="AJ4" s="19" t="inlineStr">
        <is>
          <t>Toxicity 1</t>
        </is>
      </c>
      <c r="AK4" s="19" t="inlineStr">
        <is>
          <t>Country Of Manufacturer</t>
        </is>
      </c>
      <c r="AL4" s="19" t="inlineStr">
        <is>
          <t>Image File Name or URL 1</t>
        </is>
      </c>
      <c r="AM4" s="19" t="inlineStr">
        <is>
          <t>Image File Name or URL 2</t>
        </is>
      </c>
      <c r="AN4" s="19" t="inlineStr">
        <is>
          <t>Image File Name or URL 3</t>
        </is>
      </c>
      <c r="AO4" s="19" t="inlineStr">
        <is>
          <t>Image File Name or URL 4</t>
        </is>
      </c>
      <c r="AP4" s="19" t="inlineStr">
        <is>
          <t>Image File Name or URL 5</t>
        </is>
      </c>
      <c r="AQ4" s="19" t="inlineStr">
        <is>
          <t>Video File Name or URL 1</t>
        </is>
      </c>
      <c r="AR4" s="19" t="inlineStr">
        <is>
          <t>Document File Name or URL 1</t>
        </is>
      </c>
      <c r="AS4" s="19" t="inlineStr">
        <is>
          <t>Document Type 1</t>
        </is>
      </c>
      <c r="AT4" s="19" t="inlineStr">
        <is>
          <t>Legal Document Type 1</t>
        </is>
      </c>
      <c r="AU4" s="19" t="inlineStr">
        <is>
          <t>Document Region 1</t>
        </is>
      </c>
      <c r="AV4" s="19" t="inlineStr">
        <is>
          <t>Document Language 1</t>
        </is>
      </c>
      <c r="AW4" s="19" t="inlineStr">
        <is>
          <t>Document File Name or URL 2</t>
        </is>
      </c>
      <c r="AX4" s="19" t="inlineStr">
        <is>
          <t>Document Type 2</t>
        </is>
      </c>
      <c r="AY4" s="19" t="inlineStr">
        <is>
          <t>Legal Document Type 2</t>
        </is>
      </c>
      <c r="AZ4" s="19" t="inlineStr">
        <is>
          <t>Document Region 2</t>
        </is>
      </c>
      <c r="BA4" s="19" t="inlineStr">
        <is>
          <t>Document Language 2</t>
        </is>
      </c>
      <c r="BB4" s="19" t="inlineStr">
        <is>
          <t>Document File Name or URL 3</t>
        </is>
      </c>
      <c r="BC4" s="19" t="inlineStr">
        <is>
          <t>Document Type 3</t>
        </is>
      </c>
      <c r="BD4" s="19" t="inlineStr">
        <is>
          <t>Legal Document Type 3</t>
        </is>
      </c>
      <c r="BE4" s="19" t="inlineStr">
        <is>
          <t>Document Region 3</t>
        </is>
      </c>
      <c r="BF4" s="19" t="inlineStr">
        <is>
          <t>Document Language 3</t>
        </is>
      </c>
      <c r="BG4" s="19" t="inlineStr">
        <is>
          <t>Product Type</t>
        </is>
      </c>
      <c r="BH4" s="19" t="inlineStr">
        <is>
          <t>Pier / Bookcase Included</t>
        </is>
      </c>
      <c r="BI4" s="19" t="inlineStr">
        <is>
          <t>Drawers Included</t>
        </is>
      </c>
      <c r="BJ4" s="19" t="inlineStr">
        <is>
          <t>Number of Drawers</t>
        </is>
      </c>
      <c r="BK4" s="19" t="inlineStr">
        <is>
          <t>Cabinets Included</t>
        </is>
      </c>
      <c r="BL4" s="19" t="inlineStr">
        <is>
          <t>Shelves Included</t>
        </is>
      </c>
      <c r="BM4" s="19" t="inlineStr">
        <is>
          <t>Exterior Shelves Included</t>
        </is>
      </c>
      <c r="BN4" s="19" t="inlineStr">
        <is>
          <t>Interior Shelves Included</t>
        </is>
      </c>
      <c r="BO4" s="19" t="inlineStr">
        <is>
          <t>Bridge Included</t>
        </is>
      </c>
      <c r="BP4" s="19" t="inlineStr">
        <is>
          <t>Furniture Design</t>
        </is>
      </c>
      <c r="BQ4" s="19" t="inlineStr">
        <is>
          <t>Material</t>
        </is>
      </c>
      <c r="BR4" s="19" t="inlineStr">
        <is>
          <t>Purposeful Distressing Type</t>
        </is>
      </c>
      <c r="BS4" s="19" t="inlineStr">
        <is>
          <t>Natural Variation Type</t>
        </is>
      </c>
      <c r="BT4" s="19" t="inlineStr">
        <is>
          <t>Gloss Finish</t>
        </is>
      </c>
      <c r="BU4" s="19" t="inlineStr">
        <is>
          <t>Mirrored</t>
        </is>
      </c>
      <c r="BV4" s="19" t="inlineStr">
        <is>
          <t>Sound Bar Shelf Included</t>
        </is>
      </c>
      <c r="BW4" s="19" t="inlineStr">
        <is>
          <t>Adjustable Shelves</t>
        </is>
      </c>
      <c r="BX4" s="19" t="inlineStr">
        <is>
          <t>Media Storage Included</t>
        </is>
      </c>
      <c r="BY4" s="19" t="inlineStr">
        <is>
          <t>Cable Management</t>
        </is>
      </c>
      <c r="BZ4" s="19" t="inlineStr">
        <is>
          <t>Wheels / Casters Included</t>
        </is>
      </c>
      <c r="CA4" s="19" t="inlineStr">
        <is>
          <t>Fireplace Included</t>
        </is>
      </c>
      <c r="CB4" s="19" t="inlineStr">
        <is>
          <t>Plug-In</t>
        </is>
      </c>
      <c r="CC4" s="19" t="inlineStr">
        <is>
          <t>Tipover Restraint Device Included</t>
        </is>
      </c>
      <c r="CD4" s="19" t="inlineStr">
        <is>
          <t>Integrated TV Mount Included</t>
        </is>
      </c>
      <c r="CE4" s="19" t="inlineStr">
        <is>
          <t>Adjustable Height</t>
        </is>
      </c>
      <c r="CF4" s="19" t="inlineStr">
        <is>
          <t>Supplier Intended and Approved Use</t>
        </is>
      </c>
      <c r="CG4" s="19" t="inlineStr">
        <is>
          <t>Country of Origin - Additional Details</t>
        </is>
      </c>
      <c r="CH4" s="19" t="inlineStr">
        <is>
          <t>Main Wood Joinery Method</t>
        </is>
      </c>
      <c r="CI4" s="19" t="inlineStr">
        <is>
          <t>Kiln-Dried Wood</t>
        </is>
      </c>
      <c r="CJ4" s="19" t="inlineStr">
        <is>
          <t>Wood Species</t>
        </is>
      </c>
      <c r="CK4" s="32" t="inlineStr">
        <is>
          <t>Battery or Batteries Included</t>
        </is>
      </c>
      <c r="CL4" s="33" t="inlineStr">
        <is>
          <t>Battery Composition</t>
        </is>
      </c>
      <c r="CM4" s="33" t="inlineStr">
        <is>
          <t>Battery Type</t>
        </is>
      </c>
      <c r="CN4" s="33" t="inlineStr">
        <is>
          <t>Number of Batteries</t>
        </is>
      </c>
      <c r="CO4" s="33" t="inlineStr">
        <is>
          <t>Battery Shipment</t>
        </is>
      </c>
      <c r="CP4" s="33" t="inlineStr">
        <is>
          <t>Lithium Content</t>
        </is>
      </c>
      <c r="CQ4" s="33" t="inlineStr">
        <is>
          <t>Watt Rating of Cells / Battery</t>
        </is>
      </c>
      <c r="CR4" s="33" t="inlineStr">
        <is>
          <t>Weight of Cells / Battery</t>
        </is>
      </c>
      <c r="CS4" s="19" t="inlineStr">
        <is>
          <t>Adjustable Temperature</t>
        </is>
      </c>
      <c r="CT4" s="19" t="inlineStr">
        <is>
          <t>Adjustable Flame</t>
        </is>
      </c>
      <c r="CU4" s="19" t="inlineStr">
        <is>
          <t>Weight Capacity</t>
        </is>
      </c>
      <c r="CV4" s="19" t="inlineStr">
        <is>
          <t>Product Care</t>
        </is>
      </c>
      <c r="CW4" s="19" t="inlineStr">
        <is>
          <t>Unfinished</t>
        </is>
      </c>
      <c r="CX4" s="19" t="inlineStr">
        <is>
          <t>Shelf Material</t>
        </is>
      </c>
      <c r="CY4" s="19" t="inlineStr">
        <is>
          <t>Color / Finish</t>
        </is>
      </c>
      <c r="CZ4" s="19" t="inlineStr">
        <is>
          <t>Drawer Glide Type &amp; Extension</t>
        </is>
      </c>
      <c r="DA4" s="19" t="inlineStr">
        <is>
          <t>Vent Type</t>
        </is>
      </c>
      <c r="DB4" s="19" t="inlineStr">
        <is>
          <t>Fuel Type</t>
        </is>
      </c>
      <c r="DC4" s="19" t="inlineStr">
        <is>
          <t>Door Design</t>
        </is>
      </c>
      <c r="DD4" s="19" t="inlineStr">
        <is>
          <t>Ribbed Detailing</t>
        </is>
      </c>
      <c r="DE4" s="19" t="inlineStr">
        <is>
          <t>Fluted Detailing</t>
        </is>
      </c>
      <c r="DF4" s="19" t="inlineStr">
        <is>
          <t>Pieces Included</t>
        </is>
      </c>
      <c r="DG4" s="19" t="inlineStr">
        <is>
          <t>Number of Cabinets</t>
        </is>
      </c>
      <c r="DH4" s="19" t="inlineStr">
        <is>
          <t>Drawer Safety Stop</t>
        </is>
      </c>
      <c r="DI4" s="19" t="inlineStr">
        <is>
          <t>Fireplace Type</t>
        </is>
      </c>
      <c r="DJ4" s="19" t="inlineStr">
        <is>
          <t>General Certificate of Conformity (GCC)</t>
        </is>
      </c>
      <c r="DK4" s="32" t="inlineStr">
        <is>
          <t>Composite Wood Product (CWP)</t>
        </is>
      </c>
      <c r="DL4" s="33" t="inlineStr">
        <is>
          <t>CARB Phase II Compliant (formaldehyde emissions)</t>
        </is>
      </c>
      <c r="DM4" s="33" t="inlineStr">
        <is>
          <t>TSCA Title VI Compliant (formaldehyde emissions)</t>
        </is>
      </c>
      <c r="DN4" s="33" t="inlineStr">
        <is>
          <t>CANFER Compliant</t>
        </is>
      </c>
      <c r="DO4" s="19" t="inlineStr">
        <is>
          <t>Uniform Packaging and Labeling Regulations (UPLR) Compliant</t>
        </is>
      </c>
      <c r="DP4" s="32" t="inlineStr">
        <is>
          <t>Canada Product Restriction</t>
        </is>
      </c>
      <c r="DQ4" s="33" t="inlineStr">
        <is>
          <t>Reason for Restriction</t>
        </is>
      </c>
      <c r="DR4" s="19" t="inlineStr">
        <is>
          <t>UL 1678 Listed</t>
        </is>
      </c>
      <c r="DS4" s="32" t="inlineStr">
        <is>
          <t>Hazardous Material / Dangerous Goods</t>
        </is>
      </c>
      <c r="DT4" s="33" t="inlineStr">
        <is>
          <t>UN or ID number</t>
        </is>
      </c>
      <c r="DU4" s="33" t="inlineStr">
        <is>
          <t>Hazard Class(es)</t>
        </is>
      </c>
      <c r="DV4" s="33" t="inlineStr">
        <is>
          <t>Packing Group</t>
        </is>
      </c>
      <c r="DW4" s="33" t="inlineStr">
        <is>
          <t>Hazardous Material Weight</t>
        </is>
      </c>
      <c r="DX4" s="19" t="inlineStr">
        <is>
          <t>Energy Efficiency Regulations Compliant</t>
        </is>
      </c>
      <c r="DY4" s="32" t="inlineStr">
        <is>
          <t>Safety Listing(s)</t>
        </is>
      </c>
      <c r="DZ4" s="33" t="inlineStr">
        <is>
          <t>Safety Listing(s) Registration Number</t>
        </is>
      </c>
      <c r="EA4" s="19" t="inlineStr">
        <is>
          <t>CPSC - 16 CFR 1263 Compliant (Reese's Law)</t>
        </is>
      </c>
      <c r="EB4" s="19" t="inlineStr">
        <is>
          <t>ISTA Certified</t>
        </is>
      </c>
      <c r="EC4" s="19" t="inlineStr">
        <is>
          <t>Sustainability &amp; Social Responsibility Certifications (North America Only)</t>
        </is>
      </c>
      <c r="ED4" s="19" t="inlineStr">
        <is>
          <t>Commercial Certifications</t>
        </is>
      </c>
      <c r="EE4" s="19" t="inlineStr">
        <is>
          <t>TV Stand Width - Side to Side</t>
        </is>
      </c>
      <c r="EF4" s="19" t="inlineStr">
        <is>
          <t>TV Stand Depth - Front to Back</t>
        </is>
      </c>
      <c r="EG4" s="19" t="inlineStr">
        <is>
          <t>Overall Entertainment Center Height - Top to Bottom</t>
        </is>
      </c>
      <c r="EH4" s="19" t="inlineStr">
        <is>
          <t>Overall Entertainment Center Width - Side to Side</t>
        </is>
      </c>
      <c r="EI4" s="19" t="inlineStr">
        <is>
          <t>Overall Entertainment Center Depth - Front to Back</t>
        </is>
      </c>
      <c r="EJ4" s="19" t="inlineStr">
        <is>
          <t>Overall Product Weight</t>
        </is>
      </c>
      <c r="EK4" s="19" t="inlineStr">
        <is>
          <t>Maximum TV Screen Size Accommodated</t>
        </is>
      </c>
      <c r="EL4" s="19" t="inlineStr">
        <is>
          <t>TV Stand Overall Height - Top to Bottom</t>
        </is>
      </c>
      <c r="EM4" s="19" t="inlineStr">
        <is>
          <t>Assembly Required</t>
        </is>
      </c>
      <c r="EN4" s="19" t="inlineStr">
        <is>
          <t>Level of Assembly</t>
        </is>
      </c>
      <c r="EO4" s="19" t="inlineStr">
        <is>
          <t>Additional Tools Required (Not Included)</t>
        </is>
      </c>
      <c r="EP4" s="32" t="inlineStr">
        <is>
          <t>Commercial Warranty</t>
        </is>
      </c>
      <c r="EQ4" s="33" t="inlineStr">
        <is>
          <t>Commercial Warranty Length</t>
        </is>
      </c>
      <c r="ER4" s="19" t="inlineStr">
        <is>
          <t>Product Warranty</t>
        </is>
      </c>
      <c r="ES4" s="19" t="inlineStr">
        <is>
          <t>Full or Limited Warranty</t>
        </is>
      </c>
      <c r="ET4" s="19" t="inlineStr">
        <is>
          <t>Warranty Length</t>
        </is>
      </c>
    </row>
    <row r="5" ht="50" customHeight="1">
      <c r="B5" s="34" t="inlineStr">
        <is>
          <t>Must be less than 64 characters and must be a unique value (products cannot be added if they have the same part number as something you already have in your catalog). This is the supplier-specific value for the product as it appears on your Inventory Feed and Purchased Orders.</t>
        </is>
      </c>
      <c r="C5" s="34" t="inlineStr">
        <is>
          <t>The Amazon Standard Identification Number (ASIN) is a 10-character alphanumeric unique identifier assigned by Amazon.com and its partners for product identification within the Amazon organization. The Amazon Seller SKU is Amazon's identifier for your product that allows you to fulfill the product through Amazon shipping even when selling the product on other sites like Wayfair.</t>
        </is>
      </c>
      <c r="D5" s="34" t="inlineStr">
        <is>
          <t>Enter your product's brand (may be the same as the product's manufacturer). New brands must be created in the brand management tool in Partner Home before they can be selected here.</t>
        </is>
      </c>
      <c r="E5" s="34" t="inlineStr">
        <is>
          <t>Must be less than 64 characters and must be a unique value (products cannot be added if they have the same part number as something you already have in your catalog). This is the part number provided by the manufacturer.</t>
        </is>
      </c>
      <c r="F5" s="34" t="inlineStr">
        <is>
          <t>Must follow the standard UPC format and must be a unique value (products cannot be added if they have the same UPC as something you already have in your catalog).</t>
        </is>
      </c>
      <c r="G5" s="34" t="inlineStr">
        <is>
          <t>Please do not use abbreviations or exceed the 255 character limit. Wayfair may adjust the provided name based on marketing standards per class.</t>
        </is>
      </c>
      <c r="H5" s="34" t="inlineStr">
        <is>
          <t>If the product belongs to a collection of associated products that are not just product variances/options, enter the collection here. This can match with collections of products you already sell on site. For example, a collection may be a bed and nightstand that both follow a modern theme, but would not be a bed that comes in two separate colors. Products in a collection do not share the same listing on site.</t>
        </is>
      </c>
      <c r="I5" s="34" t="inlineStr">
        <is>
          <t>Enter the URL for the specific manufacturer product page of your product.</t>
        </is>
      </c>
      <c r="J5" s="34" t="inlineStr">
        <is>
          <t>Your supplier profile preference for currency is used to determine the currency of the base (wholesale) cost provided.</t>
        </is>
      </c>
      <c r="K5" s="34" t="inlineStr">
        <is>
          <t>The region selected for this sheet is used to determine the currency of the MAP provided. This may differ from the currency of your base cost.</t>
        </is>
      </c>
      <c r="L5" s="34" t="inlineStr">
        <is>
          <t>The region selected for this sheet is used to determine the currency of the MSRP provided. This may differ from the currency of your base cost.</t>
        </is>
      </c>
      <c r="M5" s="34" t="inlineStr">
        <is>
          <t>Please do not use special symbols (trademark, copyright, etc.) or extra lines/spacing. This should be a short, single paragraph product description in complete sentences highlighting details about key product information.</t>
        </is>
      </c>
      <c r="N5" s="34" t="inlineStr">
        <is>
          <t>15 words or less, describing one aspect of the product, eg., Unique aspects, benefits, use cases, technology. These provide customers with key facts at first glance and help them to decide whether they want to make the purchase. If no marketing copy is provided, then at least 3 feature bullets must be provided.</t>
        </is>
      </c>
      <c r="O5" s="34" t="inlineStr">
        <is>
          <t>15 words or less, describing one aspect of the product, eg., Unique aspects, benefits, use cases, technology. These provide customers with key facts at first glance and help them to decide whether they want to make the purchase. If no marketing copy is provided, then at least 3 feature bullets must be provided.</t>
        </is>
      </c>
      <c r="P5" s="34" t="inlineStr">
        <is>
          <t>15 words or less, describing one aspect of the product, eg., Unique aspects, benefits, use cases, technology. These provide customers with key facts at first glance and help them to decide whether they want to make the purchase. If no marketing copy is provided, then at least 3 feature bullets must be provided.</t>
        </is>
      </c>
      <c r="Q5" s="34" t="inlineStr">
        <is>
          <t>15 words or less, describing one aspect of the product, eg., Unique aspects, benefits, use cases, technology. These provide customers with key facts at first glance and help them to decide whether they want to make the purchase. If no marketing copy is provided, then at least 3 feature bullets must be provided.</t>
        </is>
      </c>
      <c r="R5" s="34" t="inlineStr">
        <is>
          <t>15 words or less, describing one aspect of the product, eg., Unique aspects, benefits, use cases, technology. These provide customers with key facts at first glance and help them to decide whether they want to make the purchase. If no marketing copy is provided, then at least 3 feature bullets must be provided.</t>
        </is>
      </c>
      <c r="S5" s="34" t="inlineStr">
        <is>
          <t>The minimum count of items a customer must choose to purchase the product.</t>
        </is>
      </c>
      <c r="T5" s="34" t="inlineStr">
        <is>
          <t>This represents how many items the customer must buy in increments of, or in addition to. For example, a multiplier of 2 would mean a custom must buy 1 quantity, 3 quantity, 5 quantity, or some other multiple of 2.</t>
        </is>
      </c>
      <c r="U5" s="34" t="inlineStr">
        <is>
          <t>Number of items represented by the part number and wholesale price. For example, if you want to sell a bundle of pillows, and the part number and wholesale cost you provided represents that full bundle of pillows, then you would answer the Display Set Quantity question with how many pillows are in the bundle.</t>
        </is>
      </c>
      <c r="V5" s="34" t="inlineStr">
        <is>
          <t>[Pounds] What is the total weight of this product once assembled? Please enter just the number (i.e. 45.5) without a unit of measurement.</t>
        </is>
      </c>
      <c r="W5" s="34" t="inlineStr">
        <is>
          <t>Enter small parcel or LTL to indicate how the product can ship based on size and weight.</t>
        </is>
      </c>
      <c r="X5" s="34" t="inlineStr">
        <is>
          <t>Each product falls into 1 of 18 classes determined by a product's 'transportability' and are crucial for calculating shipping cost. The field is required when ship type is LTL.</t>
        </is>
      </c>
      <c r="Y5" s="34" t="inlineStr">
        <is>
          <t>[Hours] This is the length of time from receipt of PO to shipment from the warehouse.</t>
        </is>
      </c>
      <c r="Z5" s="34" t="inlineStr">
        <is>
          <t>[Hours] This is length of time from receipt of a replacement PO to shipment from the warehouse</t>
        </is>
      </c>
      <c r="AA5" s="34" t="inlineStr">
        <is>
          <t>5 to 7 digit number in length (depending on any sub classification) that will identify what is shipping in the box</t>
        </is>
      </c>
      <c r="AB5" s="34" t="inlineStr">
        <is>
          <t>Also known as 'knocked down'. Select 'Yes' if this product ships disassembled in a flat pack box.</t>
        </is>
      </c>
      <c r="AC5" s="34" t="inlineStr">
        <is>
          <t>Select 'Yes' if this product ships on a pallet.</t>
        </is>
      </c>
      <c r="AD5" s="34" t="inlineStr">
        <is>
          <t>[Pounds] Enter in the shipping weight (i.e. 45.5) of the packaging used for the product.  If the product ships in more than one box, this measurement is per box.</t>
        </is>
      </c>
      <c r="AE5" s="34" t="inlineStr">
        <is>
          <t>[Inches] Enter in the shipping height (i.e. 45.5) of the packaging used for the product.  If the product ships in more than one box, this measurement is per box.</t>
        </is>
      </c>
      <c r="AF5" s="34" t="inlineStr">
        <is>
          <t>[Inches] Enter in the shipping width (i.e. 45.5) of the packaging used for the product.  If the product ships in more than one box, this measurement is per box.</t>
        </is>
      </c>
      <c r="AG5" s="34" t="inlineStr">
        <is>
          <t>[Inches] Enter in the shipping depth (i.e. 45.5) of the packaging used for the product.  If the product ships in more than one box, this measurement is per box.</t>
        </is>
      </c>
      <c r="AH5" s="34" t="inlineStr">
        <is>
          <t>If the product requires a warning for Proposition 65 compliance in California, answer 'Yes' and indicate which chemicals and toxicities are applicable.</t>
        </is>
      </c>
      <c r="AI5" s="34" t="inlineStr">
        <is>
          <t>Select the chemical that requires the Prop65 warning.</t>
        </is>
      </c>
      <c r="AJ5" s="34" t="inlineStr">
        <is>
          <t>Select the toxicity that can result from the selected chemical.</t>
        </is>
      </c>
      <c r="AK5" s="34" t="inlineStr">
        <is>
          <t>Provide only a single country of manufacture for each product.</t>
        </is>
      </c>
      <c r="AL5" s="34" t="inlineStr">
        <is>
          <t>Your first image will be set as the lead image for this listing, however, is subject to change upon Wayfair review. For each image uploaded, provide the file name with extension (e.g. PART_1.jpeg) or a direct public URL which leads to a single image (tip: to isolate the image, right click + select Open Image in New Tab). Elements like logos, buttons, etc will interfere with our ability to download the image. Do not exceed 20 images per product.</t>
        </is>
      </c>
      <c r="AM5" s="34" t="inlineStr">
        <is>
          <t>Your first image will be set as the lead image for this listing, however, is subject to change upon Wayfair review. For each image uploaded, provide the file name with extension (e.g. PART_1.jpeg) or a direct public URL which leads to a single image (tip: to isolate the image, right click + select Open Image in New Tab). Elements like logos, buttons, etc will interfere with our ability to download the image. Do not exceed 20 images per product.</t>
        </is>
      </c>
      <c r="AN5" s="34" t="inlineStr">
        <is>
          <t>Your first image will be set as the lead image for this listing, however, is subject to change upon Wayfair review. For each image uploaded, provide the file name with extension (e.g. PART_1.jpeg) or a direct public URL which leads to a single image (tip: to isolate the image, right click + select Open Image in New Tab). Elements like logos, buttons, etc will interfere with our ability to download the image. Do not exceed 20 images per product.</t>
        </is>
      </c>
      <c r="AO5" s="34" t="inlineStr">
        <is>
          <t>Your first image will be set as the lead image for this listing, however, is subject to change upon Wayfair review. For each image uploaded, provide the file name with extension (e.g. PART_1.jpeg) or a direct public URL which leads to a single image (tip: to isolate the image, right click + select Open Image in New Tab). Elements like logos, buttons, etc will interfere with our ability to download the image. Do not exceed 20 images per product.</t>
        </is>
      </c>
      <c r="AP5" s="34" t="inlineStr">
        <is>
          <t>Your first image will be set as the lead image for this listing, however, is subject to change upon Wayfair review. For each image uploaded, provide the file name with extension (e.g. PART_1.jpeg) or a direct public URL which leads to a single image (tip: to isolate the image, right click + select Open Image in New Tab). Elements like logos, buttons, etc will interfere with our ability to download the image. Do not exceed 20 images per product.</t>
        </is>
      </c>
      <c r="AQ5" s="34" t="inlineStr">
        <is>
          <t>Provide the video’s file name with extension for separate uploads or a direct public URL. Do not exceed 10 videos per product.</t>
        </is>
      </c>
      <c r="AR5" s="34" t="inlineStr">
        <is>
          <t>Provide the document’s file name with extension for separate uploads or a direct public URL. Do not exceed 10 documents per product.</t>
        </is>
      </c>
      <c r="AS5" s="34" t="inlineStr">
        <is>
          <t>Select one or more values from the provided list that best describe the document’s purpose. This classification helps customers easily find information like “Installation &amp; Assembly” guides, “Warranty Information,” or “Specifications.</t>
        </is>
      </c>
      <c r="AT5" s="34" t="inlineStr">
        <is>
          <t>If the document serves as a legal notice or certification (e.g., “ASTM F2057 - 19,” “ANSI A117.1 Compliant”), select the specific type(s) from the provided list. This is used for compliance and to display certifications to customers.</t>
        </is>
      </c>
      <c r="AU5" s="34" t="inlineStr">
        <is>
          <t>Select the country or region where this document is legally applicable. This is crucial for compliance-related documents that may differ across locations.</t>
        </is>
      </c>
      <c r="AV5" s="34" t="inlineStr">
        <is>
          <t>Select the language in which the document is written.</t>
        </is>
      </c>
      <c r="AW5" s="34" t="inlineStr">
        <is>
          <t>Provide the document’s file name with extension for separate uploads or a direct public URL. Do not exceed 10 documents per product.</t>
        </is>
      </c>
      <c r="AX5" s="34" t="inlineStr">
        <is>
          <t>Select one or more values from the provided list that best describe the document’s purpose. This classification helps customers easily find information like “Installation &amp; Assembly” guides, “Warranty Information,” or “Specifications.</t>
        </is>
      </c>
      <c r="AY5" s="34" t="inlineStr">
        <is>
          <t>If the document serves as a legal notice or certification (e.g., “ASTM F2057 - 19,” “ANSI A117.1 Compliant”), select the specific type(s) from the provided list. This is used for compliance and to display certifications to customers.</t>
        </is>
      </c>
      <c r="AZ5" s="34" t="inlineStr">
        <is>
          <t>Select the country or region where this document is legally applicable. This is crucial for compliance-related documents that may differ across locations.</t>
        </is>
      </c>
      <c r="BA5" s="34" t="inlineStr">
        <is>
          <t>Select the language in which the document is written.</t>
        </is>
      </c>
      <c r="BB5" s="34" t="inlineStr">
        <is>
          <t>Provide the document’s file name with extension for separate uploads or a direct public URL. Do not exceed 10 documents per product.</t>
        </is>
      </c>
      <c r="BC5" s="34" t="inlineStr">
        <is>
          <t>Select one or more values from the provided list that best describe the document’s purpose. This classification helps customers easily find information like “Installation &amp; Assembly” guides, “Warranty Information,” or “Specifications.</t>
        </is>
      </c>
      <c r="BD5" s="34" t="inlineStr">
        <is>
          <t>If the document serves as a legal notice or certification (e.g., “ASTM F2057 - 19,” “ANSI A117.1 Compliant”), select the specific type(s) from the provided list. This is used for compliance and to display certifications to customers.</t>
        </is>
      </c>
      <c r="BE5" s="34" t="inlineStr">
        <is>
          <t>Select the country or region where this document is legally applicable. This is crucial for compliance-related documents that may differ across locations.</t>
        </is>
      </c>
      <c r="BF5" s="34" t="inlineStr">
        <is>
          <t>Select the language in which the document is written.</t>
        </is>
      </c>
      <c r="BG5" s="34" t="inlineStr">
        <is>
          <t>What type of product is this?</t>
        </is>
      </c>
      <c r="BH5" s="34" t="inlineStr">
        <is>
          <t>Does this product have a pier / bookcase included?</t>
        </is>
      </c>
      <c r="BI5" s="34" t="inlineStr">
        <is>
          <t>Does this product have any drawers?</t>
        </is>
      </c>
      <c r="BJ5" s="34" t="inlineStr">
        <is>
          <t>How many drawers are included in this product?</t>
        </is>
      </c>
      <c r="BK5" s="34" t="inlineStr">
        <is>
          <t>Does this product include cabinets?</t>
        </is>
      </c>
      <c r="BL5" s="34" t="inlineStr">
        <is>
          <t>Does this product include shelves?</t>
        </is>
      </c>
      <c r="BM5" s="34" t="inlineStr">
        <is>
          <t>Does this product have an open space with either another shelf above it or the top surface of the product above it? We do not define the top surface of the Accent Chest/Cabinet as an exterior shelf.</t>
        </is>
      </c>
      <c r="BN5" s="34" t="inlineStr">
        <is>
          <t>Does this product have interior shelves included?</t>
        </is>
      </c>
      <c r="BO5" s="34" t="inlineStr">
        <is>
          <t>Does this product have a bridge included?</t>
        </is>
      </c>
      <c r="BP5" s="34" t="inlineStr">
        <is>
          <t>What is the design of the piece of furniture?</t>
        </is>
      </c>
      <c r="BQ5" s="34" t="inlineStr">
        <is>
          <t>What material is the product made of?</t>
        </is>
      </c>
      <c r="BR5" s="34" t="inlineStr">
        <is>
          <t>What specific type of distressing does this product have? Select all that apply.</t>
        </is>
      </c>
      <c r="BS5" s="34" t="inlineStr">
        <is>
          <t>Which of the following types of natural variation and texture does the product have? Multiple can be selected if applicable. If the product does NOT have natural variation, please select No Natural Variation.</t>
        </is>
      </c>
      <c r="BT5" s="34" t="inlineStr">
        <is>
          <t>Does this product have a shiny and sheer gloss finish over the normal painted finish?</t>
        </is>
      </c>
      <c r="BU5" s="34" t="inlineStr">
        <is>
          <t>Is the surface of the product mirrored? Please do not select “yes” if the product only features a mirror. This question refers to the surface material of the product, and if it is reflective.</t>
        </is>
      </c>
      <c r="BV5" s="34" t="inlineStr">
        <is>
          <t>Does this product have a sound bar shelf included?</t>
        </is>
      </c>
      <c r="BW5" s="34" t="inlineStr">
        <is>
          <t>Does this product have adjustable shelves?</t>
        </is>
      </c>
      <c r="BX5" s="34" t="inlineStr">
        <is>
          <t>Does this product have media storage included?</t>
        </is>
      </c>
      <c r="BY5" s="34" t="inlineStr">
        <is>
          <t>Does this product have any built-in cable or wire management, such as a hole specifically for wires (a grommet) or a tray where wires can be stored?</t>
        </is>
      </c>
      <c r="BZ5" s="34" t="inlineStr">
        <is>
          <t>Does this product have wheels or casters?</t>
        </is>
      </c>
      <c r="CA5" s="34" t="inlineStr">
        <is>
          <t>Does this product have a fireplace included?</t>
        </is>
      </c>
      <c r="CB5" s="34" t="inlineStr">
        <is>
          <t>If this product requires electricity can it be plugged into a household outlet via an integral corded plug or an AC adapter? If this product does not require electricity or if this product requires electricity but does not/cannot use household AC voltages (with or without an AC adapter) please select "No".</t>
        </is>
      </c>
      <c r="CC5" s="34" t="inlineStr">
        <is>
          <t>Does this product include a device to prevent the product from tipping over? Tipover restraint devices (TRDs) include brackets, straps, or other specialized hardware</t>
        </is>
      </c>
      <c r="CD5" s="34" t="inlineStr">
        <is>
          <t>Does this product have an integrated tv mount included?</t>
        </is>
      </c>
      <c r="CE5" s="34" t="inlineStr">
        <is>
          <t>Is the height of this product adjustable?</t>
        </is>
      </c>
      <c r="CF5" s="34" t="inlineStr">
        <is>
          <t>What type of environmental setting was this product designed and manufactured to be used in? Note: your answer indicates that Wayfair is able to market this product as being intended for use in the selected setting(s). Please select both, if both options apply.</t>
        </is>
      </c>
      <c r="CG5" s="34" t="inlineStr">
        <is>
          <t>Does this product and/or packaging have additional advertising or labeling details regarding claims about the product’s origin? Please use this field to provide a qualified or unqualified claim regarding the product origin in accordance with US Federal Trade Commission (FTC) and Canada Competition Bureau regulations. Additionally, if applicable, please use this field to communicate any appropriate qualified, comparative, or descriptive claims regarding the origin of the product. Examples include, but are not limited to, communicating relevant percentage of domestic and non-domestic content (ex: 60% U.S. Content), communicating the origin of certain components of the product (ex: "Hand carved in U.S. — Wood from Philippines"), or communicating where the product was assembled (Ex : “Assembled In Mexico”). See https://www.ftc.gov/tips-advice/business-center/guidance/complying-made-usa-standard#qualified  and https://www.competitionbureau.gc.ca/eic/site/cb-bc.nsf/eng/03169.html</t>
        </is>
      </c>
      <c r="CH5" s="34" t="inlineStr">
        <is>
          <t>Which technique was used to join together the main pieces of wood to construct the overall product?</t>
        </is>
      </c>
      <c r="CI5" s="34" t="inlineStr">
        <is>
          <t>Is the wood kiln-dried? If product is not made of wood, please select "does not apply."</t>
        </is>
      </c>
      <c r="CJ5" s="34" t="inlineStr">
        <is>
          <t>What type of wood was used to construct this product? This describes the actual materials used, not the product's appearance.</t>
        </is>
      </c>
      <c r="CK5" s="34" t="inlineStr">
        <is>
          <t>Is the product a battery or does the product include batteries?</t>
        </is>
      </c>
      <c r="CL5" s="34" t="inlineStr">
        <is>
          <t>What is the composition of the batteries included with product?</t>
        </is>
      </c>
      <c r="CM5" s="34" t="inlineStr">
        <is>
          <t>What type is the battery? Button Cell, Cell, Battery?</t>
        </is>
      </c>
      <c r="CN5" s="34" t="inlineStr">
        <is>
          <t>Confirm number of batteries in this product</t>
        </is>
      </c>
      <c r="CO5" s="34" t="inlineStr">
        <is>
          <t>Do the cells/batteries ship stand alone/packed with the equipment/ contained (installed) in the equipment?</t>
        </is>
      </c>
      <c r="CP5" s="34" t="inlineStr">
        <is>
          <t>What is the aggregate lithium content of the cell/battery?  Aggregate lithium content means the sum of the grams of lithium content contained by the cells comprising a battery.
Please note, this is the weight weight of the lithium in the cell or battery, and not the weight of the entire cell or battery.</t>
        </is>
      </c>
      <c r="CQ5" s="34" t="inlineStr">
        <is>
          <t>What is the Watt-hour(Wh) rating of the cell/battery?  The Watt-hour rating of a lithium cell or battery is calculated by multiplying the rated capacity in ampere-hours by the nominal voltage.
If only the milliampere-hours (mAh) are marked on the battery then divide that number by 1000 to get ampere-hours (Ah) (i.e. 4400 mAh / 1000 = 4.4. Ah).</t>
        </is>
      </c>
      <c r="CR5" s="34" t="inlineStr">
        <is>
          <t>What is the net weight of the cells or batteries that ship with the product in grams or kilograms.</t>
        </is>
      </c>
      <c r="CS5" s="34" t="inlineStr">
        <is>
          <t>Can the amount of heat be adjusted?</t>
        </is>
      </c>
      <c r="CT5" s="34" t="inlineStr">
        <is>
          <t>Can the brightness, size, or color of the flame be adjusted?</t>
        </is>
      </c>
      <c r="CU5" s="34" t="inlineStr">
        <is>
          <t>[Pounds] What is the maximum weight capacity of the product? Please enter just the number (i.e., 45.5).</t>
        </is>
      </c>
      <c r="CV5" s="34" t="inlineStr">
        <is>
          <t>What is the appropriate way to clean and/or care for this product? Please select as many answers as applicable.</t>
        </is>
      </c>
      <c r="CW5" s="34" t="inlineStr">
        <is>
          <t>Is this product unfinished (no paint, stain, or varnish)?</t>
        </is>
      </c>
      <c r="CX5" s="34" t="inlineStr">
        <is>
          <t>What material are the shelves made of?</t>
        </is>
      </c>
      <c r="CY5" s="34" t="inlineStr">
        <is>
          <t>What is the color or finish of the product? If your color/finish name is not listed, please type in the value.</t>
        </is>
      </c>
      <c r="CZ5" s="34" t="inlineStr">
        <is>
          <t>Please select which type of glide the drawer features and/or how far it can extend.</t>
        </is>
      </c>
      <c r="DA5" s="34" t="inlineStr">
        <is>
          <t>What type of vent does this product have?</t>
        </is>
      </c>
      <c r="DB5" s="34" t="inlineStr">
        <is>
          <t>What is the source of fuel needed in order for this product to function?</t>
        </is>
      </c>
      <c r="DC5" s="34" t="inlineStr">
        <is>
          <t>Please select the design of the product.</t>
        </is>
      </c>
      <c r="DD5" s="34" t="inlineStr">
        <is>
          <t>Is there a a raised pattern of parallel lines on a surface of this product?</t>
        </is>
      </c>
      <c r="DE5" s="34" t="inlineStr">
        <is>
          <t>Is there a a concave pattern of parallel lines on a surface of this product?</t>
        </is>
      </c>
      <c r="DF5" s="34" t="inlineStr">
        <is>
          <t>What pieces are included with this product?</t>
        </is>
      </c>
      <c r="DG5" s="34" t="inlineStr">
        <is>
          <t>How many cabinets does this product have?</t>
        </is>
      </c>
      <c r="DH5" s="34" t="inlineStr">
        <is>
          <t>Do any drawers feature safety stops (intended to keep the drawers from pulling all the way out)?</t>
        </is>
      </c>
      <c r="DI5" s="34" t="inlineStr">
        <is>
          <t>What type of Fireplace is included?</t>
        </is>
      </c>
      <c r="DJ5" s="34" t="inlineStr">
        <is>
          <t>Does this product have a General Certificate of Conformity (GCC), as required by the U.S. CPSC for certain product classes?</t>
        </is>
      </c>
      <c r="DK5" s="34" t="inlineStr">
        <is>
          <t>FOR COMPLIANCE PURPOSES. Not customer facing information. 
 Does this product include any pieces made of manufactured or composite wood products (CWP)  This includes any of the following
 1) HWPW-CC [Hardwood Plywood with Composite Core] 
 2) HWPW-VC [Hardwood Plywood with Veneer Core] 
 3) PB [Particleboard] 
 4) MDF or thin-MDF [Medium Density Fiberboard]</t>
        </is>
      </c>
      <c r="DL5" s="34" t="inlineStr">
        <is>
          <t>Is this product certified compliant for CARB ATCM Phase II formaldehyde emission standards from Composite Wood Products [California Air Resources Board (CARB)- Airborne Toxic Control Measures (ATCM) Phase II]</t>
        </is>
      </c>
      <c r="DM5" s="34" t="inlineStr">
        <is>
          <t>Is this product certified TSCA Title VI compliant regarding formaldehyde emissions from Composite Wood Products [Environmental Protection Agency (EPA)-Toxic Substance Control Act (TSCA)-Title VI]</t>
        </is>
      </c>
      <c r="DN5" s="34" t="inlineStr">
        <is>
          <t>Is this product CANFER compliant regarding formaldehyde emissions from composite wood products? [Canada Formaldehyde Emissions Regulation] NOTE: Please provide proof of certification to applicable formaldehyde emissions standards and a Declaration of Certification.
More information on the Declaration of Certification and on other requirements for CANFER compliance can be found in Health Canada's Guidance Document (https://bit.ly/3FvYK2B) or by contacting any of our Product Compliance Resources (https://bit.ly/3h8EIlw).</t>
        </is>
      </c>
      <c r="DO5" s="34" t="inlineStr">
        <is>
          <t>Does your product comply with the Uniform Packaging and Labeling Regulations, which requires product packaging to be accurate and provide adequate information as to the identity and quantity of its contents, as well as the name and address of the manufacturer and/or distributor?</t>
        </is>
      </c>
      <c r="DP5" s="34" t="inlineStr">
        <is>
          <t>Is this product legally or operationally restricted from being offered for sale to Canadian customers on Wayfair.ca or delivered to Canadian addresses? Select “Yes” only if the product cannot legally be sold or shipped to Canada. For example, if it requires a license or certification you do not hold, or if you operate through a separate Canadian entity that cannot support the listing.</t>
        </is>
      </c>
      <c r="DQ5" s="34" t="inlineStr">
        <is>
          <t>Please select the reason this product can not ship to Canada?  Please select from the options or write in a reason if not selectable</t>
        </is>
      </c>
      <c r="DR5" s="34" t="inlineStr">
        <is>
          <t>Is this product UL 1678 Listed? This means that the international standards testing company UL (Underwriters' Laboratories) has tested this product and found it to be in compliance with Category 1678 safety standards.</t>
        </is>
      </c>
      <c r="DS5" s="34" t="inlineStr">
        <is>
          <t>Is the product regulated as Hazardous Material / Dangerous Goods?
Hazardous Materials/Dangerous Goods are substances that when transported pose a risk to health, safety, property or the environment.  
These materials may include explosives, compressed gases (aerosols), flammable liquids, oxidizers, toxic/poisonous, radioactive, corrosive, batteries, etc.
An SDS is is a document that lists information relating to occupational safety and health for the use of various substances and products. 
The SDS includes information such as the properties of each chemical; the physical, health, and environmental health hazards; protective measures; and safety precautions for handling, storing, and transporting the chemical or product.</t>
        </is>
      </c>
      <c r="DT5" s="34" t="inlineStr">
        <is>
          <t>Please provide the UN or ID number. The UN or ID number is a 4 digit numeric code that identifies hazardous materials/dangerous goods, and articles in the framework of international and domestic transport. This can be found in section 14 of the Safety Data Sheet (SDS). Example - "UN3480" - Lithium Ion Batteries. If your UN number is not one of the options in the dropdown, please write this in manually.</t>
        </is>
      </c>
      <c r="DU5" s="34" t="inlineStr">
        <is>
          <t>Please provide the Hazard Class(es).  This is the category of hazard assigned to a hazardous material/dangerous goods under the definitional criteria of the transportation regulations. A material may meet the defining criteria for more than one hazard class but is assigned to only one hazard class. Hazard classes vary from 1-9.This can be found in section 14 of the Safety Data Sheet (SDS).</t>
        </is>
      </c>
      <c r="DV5" s="34" t="inlineStr">
        <is>
          <t>Please provide the packing group (if applicable).  Packing Groups I, II and III indicate the degree of danger presented by the material is great, medium or minor, respectively. Some hazardous materials/dangerous goods do not have a packing group assigned. This can be found in section 14 of the Safety Data Sheet (SDS).</t>
        </is>
      </c>
      <c r="DW5" s="34" t="inlineStr">
        <is>
          <t>Please provide the net weight or, for liquids, the net volume of hazardous material per unit of product. Provide the net weight of the hazardous materials/dangerous goods in your product in grams or kilograms.  For example -if your product is a vacuum containing a lithium ion battery, you would enter the net weight of the battery.</t>
        </is>
      </c>
      <c r="DX5" s="34" t="inlineStr">
        <is>
          <t>Is this product compliant with U.S. Energy Efficiency requirements, including those set forth in the Energy Policy and Conservation Act of 1975 (ECPA), the National Appliance Energy Conservation Act (NAECA), the Energy Policy Act of 1992 and 2005, and the Energy Independence and Security Act of 2007, as applicable?</t>
        </is>
      </c>
      <c r="DY5" s="34" t="inlineStr">
        <is>
          <t>Which of the following certification or verification marks does your product have? If the item is not certified/verified with any safety listing, please select Does Not Apply.</t>
        </is>
      </c>
      <c r="DZ5" s="34" t="inlineStr">
        <is>
          <t>In a comma separated list, please outline the registration numbers associated to the safety listings you claimed this product has, in the following structure: Safety Listing - Registration Number. Example: UL Listed - ABC1234567, TÜV Rheinland Certified - DEFGH8910. This number may be referred to as a "Certification Number", "File Number", "Model Number", "Listing Number" or "Certification ID Number" depending on where the certification is from</t>
        </is>
      </c>
      <c r="EA5" s="34" t="inlineStr">
        <is>
          <t>Is this product compliant with 16 CFR 1263, the safety standard for button cell or coin batteries adopted per the requirements under Reese's Law? Testing to ANSI/UL 4200A-2023 demonstrates compliance. Please Note: A "No" answer to this question will result in your product being restricted from sale.</t>
        </is>
      </c>
      <c r="EB5" s="34" t="inlineStr">
        <is>
          <t>Is the packaging for this SKU ISTA Certified (1A, 3A, 6A)?</t>
        </is>
      </c>
      <c r="EC5" s="34" t="inlineStr">
        <is>
          <t>Do you have any certifications or credentials related to environmental sustainability, social responsibility, or ethical sourcing (e.g.,OEKO-TEX®, GREENGUARD, GoodWeave, Fair Trade, FSC, etc.)? To see examples of certificates currently part of our Shop Sustainably program, please visit: https://www.aboutwayfair.com/shop-sustainably. Please upload all related certificates so your products can be merchandised as part of the Shop Sustainably program.</t>
        </is>
      </c>
      <c r="ED5" s="34" t="inlineStr">
        <is>
          <t>For BIFMA Accredited products, suppliers must upload an ANSI/BIFMA durability-related testing document for the product from an ISO 17025 accredited lab. For BIFMA Equivalent products, suppliers must upload an ANSI/BIFMA durability-related testing document for the product, but the lab is not required to be ISO 17025 accredited. For Contract Grade Accredited products, suppliers must upload a testing document that aligns with Wayfair’s contract grade standards, along with a signed consent letter. Reference the Contract Grade help center article or reach out to your relationship manager for more information.</t>
        </is>
      </c>
      <c r="EE5" s="34" t="inlineStr">
        <is>
          <t>[Inches] What is the overall width of the TV Stand (side to side)? Please enter just the number (i.e. 45.5). Please DO NOT duplicate this tag - any additional information can be stored in Shelf Dimensions, Cabinet Dimensions, or as a bullet.</t>
        </is>
      </c>
      <c r="EF5" s="34" t="inlineStr">
        <is>
          <t>[Inches] What is the overall depth of the TV Stand (front to back)? Please enter just the number (i.e. 45.5).</t>
        </is>
      </c>
      <c r="EG5" s="34" t="inlineStr">
        <is>
          <t>[Inches] What is the overall height of the Entertainment Center (top to bottom)? Enter just the value (i.e., 45.5).</t>
        </is>
      </c>
      <c r="EH5" s="34" t="inlineStr">
        <is>
          <t>[Inches] What is the overall width of the Entertainment Center (side to side)? Please enter just the number (i.e. 45.5). Please DO NOT duplicate this tag - any additional information can be stored in Shelf Dimensions, Cabinet Dimensions, or as a bullet.</t>
        </is>
      </c>
      <c r="EI5" s="34" t="inlineStr">
        <is>
          <t>[Inches] What is the overall depth of the Entertainment Center (front to back)? Enter just the value (i.e., 45.5).</t>
        </is>
      </c>
      <c r="EJ5" s="34" t="inlineStr">
        <is>
          <t>[Pounds] What is the total weight of this product once assembled? If this product includes multiples of the same item, add weight of one individual unit (e.g. 1 Dining Chair in a set of 2). Please enter just the number (i.e. 45.5).</t>
        </is>
      </c>
      <c r="EK5" s="34" t="inlineStr">
        <is>
          <t>What is the largest size of TV this stand can hold, in inches? The TV size is the diagonal measurement (the distance between opposite corners) of the screen in inches. Please use the following calculation, based on a standard 16:9 HDTV aspect ratio: for TV Stands, calculate TV Stand Overall Width * 1.15, and for Entertainment Centers calculate TV Opening Width * 1.15. Both calculations should be rounded down to the closest standard TV size.</t>
        </is>
      </c>
      <c r="EL5" s="34" t="inlineStr">
        <is>
          <t>[Inches] What is the overall height of the TV stand (top to bottom)? Enter just the value (i.e., 45.5).</t>
        </is>
      </c>
      <c r="EM5" s="34" t="inlineStr">
        <is>
          <t>Does the product require any form of assembly prior to use as intended?</t>
        </is>
      </c>
      <c r="EN5" s="34" t="inlineStr">
        <is>
          <t>What is the level of assembly required?</t>
        </is>
      </c>
      <c r="EO5" s="34" t="inlineStr">
        <is>
          <t>What additional tools will the customer need to set-up this product that are NOT included with purchase?</t>
        </is>
      </c>
      <c r="EP5" s="34" t="inlineStr">
        <is>
          <t>Does the manufacturer warranty cover the use of this product in a commercial environment?</t>
        </is>
      </c>
      <c r="EQ5" s="34" t="inlineStr">
        <is>
          <t>How long does the manufacturer warranty apply for the product used in a commercial (non-residential) environment? If the correct value is not found, please select the closest available answer that is shorter than the warranty length. If warranty length varies by part, please select the answer that matches the part of the product with the shortest warranty. Please use the “Warranty Details” tag for any additional details.</t>
        </is>
      </c>
      <c r="ER5" s="34" t="inlineStr">
        <is>
          <t>Please indicate if there is a warranty on this product if it were to be used in a residential setting.</t>
        </is>
      </c>
      <c r="ES5" s="34" t="inlineStr">
        <is>
          <t>Please indicate if the warranty is Full or Limited.</t>
        </is>
      </c>
      <c r="ET5" s="34" t="inlineStr">
        <is>
          <t>Please indicate the length of the warranty offered from our list if this product were to be used in a residential setting. If the correct value is not found, please indicate both the number and unit (Days, Months, Years) that is appropriate.</t>
        </is>
      </c>
    </row>
    <row r="6" ht="50" customHeight="1">
      <c r="B6" s="34" t="inlineStr">
        <is>
          <t>Text</t>
        </is>
      </c>
      <c r="C6" s="34" t="inlineStr">
        <is>
          <t>Text</t>
        </is>
      </c>
      <c r="D6" s="35" t="inlineStr">
        <is>
          <t>Select</t>
        </is>
      </c>
      <c r="E6" s="34" t="inlineStr">
        <is>
          <t>Text</t>
        </is>
      </c>
      <c r="F6" s="34" t="inlineStr">
        <is>
          <t>Text</t>
        </is>
      </c>
      <c r="G6" s="34" t="inlineStr">
        <is>
          <t>Text</t>
        </is>
      </c>
      <c r="H6" s="34" t="inlineStr">
        <is>
          <t>Text</t>
        </is>
      </c>
      <c r="I6" s="34" t="inlineStr">
        <is>
          <t>Text</t>
        </is>
      </c>
      <c r="J6" s="34" t="inlineStr">
        <is>
          <t>Number</t>
        </is>
      </c>
      <c r="K6" s="34" t="inlineStr">
        <is>
          <t>Number</t>
        </is>
      </c>
      <c r="L6" s="34" t="inlineStr">
        <is>
          <t>Number</t>
        </is>
      </c>
      <c r="M6" s="34" t="inlineStr">
        <is>
          <t>Text</t>
        </is>
      </c>
      <c r="N6" s="34" t="inlineStr">
        <is>
          <t>Text</t>
        </is>
      </c>
      <c r="O6" s="34" t="inlineStr">
        <is>
          <t>Text</t>
        </is>
      </c>
      <c r="P6" s="34" t="inlineStr">
        <is>
          <t>Text</t>
        </is>
      </c>
      <c r="Q6" s="34" t="inlineStr">
        <is>
          <t>Text</t>
        </is>
      </c>
      <c r="R6" s="34" t="inlineStr">
        <is>
          <t>Text</t>
        </is>
      </c>
      <c r="S6" s="34" t="inlineStr">
        <is>
          <t>Whole Number</t>
        </is>
      </c>
      <c r="T6" s="34" t="inlineStr">
        <is>
          <t>Whole Number</t>
        </is>
      </c>
      <c r="U6" s="34" t="inlineStr">
        <is>
          <t>Whole Number</t>
        </is>
      </c>
      <c r="V6" s="34" t="inlineStr">
        <is>
          <t>Number</t>
        </is>
      </c>
      <c r="W6" s="35" t="inlineStr">
        <is>
          <t>Select</t>
        </is>
      </c>
      <c r="X6" s="35" t="inlineStr">
        <is>
          <t>Select</t>
        </is>
      </c>
      <c r="Y6" s="35" t="inlineStr">
        <is>
          <t>Select</t>
        </is>
      </c>
      <c r="Z6" s="35" t="inlineStr">
        <is>
          <t>Select</t>
        </is>
      </c>
      <c r="AA6" s="34" t="inlineStr">
        <is>
          <t>Text</t>
        </is>
      </c>
      <c r="AB6" s="34" t="inlineStr">
        <is>
          <t>Yes or No</t>
        </is>
      </c>
      <c r="AC6" s="34" t="inlineStr">
        <is>
          <t>Yes or No</t>
        </is>
      </c>
      <c r="AD6" s="34" t="inlineStr">
        <is>
          <t>Number</t>
        </is>
      </c>
      <c r="AE6" s="34" t="inlineStr">
        <is>
          <t>Number</t>
        </is>
      </c>
      <c r="AF6" s="34" t="inlineStr">
        <is>
          <t>Number</t>
        </is>
      </c>
      <c r="AG6" s="34" t="inlineStr">
        <is>
          <t>Number</t>
        </is>
      </c>
      <c r="AH6" s="34" t="inlineStr">
        <is>
          <t>Yes or No</t>
        </is>
      </c>
      <c r="AI6" s="35" t="inlineStr">
        <is>
          <t>Select</t>
        </is>
      </c>
      <c r="AJ6" s="35" t="inlineStr">
        <is>
          <t>Please choose one or more from the following, using a semicolon (;) to separate each value: Cancer; Developmental</t>
        </is>
      </c>
      <c r="AK6" s="35" t="inlineStr">
        <is>
          <t>Select</t>
        </is>
      </c>
      <c r="AL6" s="34" t="inlineStr">
        <is>
          <t>Text</t>
        </is>
      </c>
      <c r="AM6" s="34" t="inlineStr">
        <is>
          <t>Text</t>
        </is>
      </c>
      <c r="AN6" s="34" t="inlineStr">
        <is>
          <t>Text</t>
        </is>
      </c>
      <c r="AO6" s="34" t="inlineStr">
        <is>
          <t>Text</t>
        </is>
      </c>
      <c r="AP6" s="34" t="inlineStr">
        <is>
          <t>Text</t>
        </is>
      </c>
      <c r="AQ6" s="34" t="inlineStr">
        <is>
          <t>Text</t>
        </is>
      </c>
      <c r="AR6" s="34" t="inlineStr">
        <is>
          <t>Text</t>
        </is>
      </c>
      <c r="AS6" s="35" t="inlineStr">
        <is>
          <t>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t>
        </is>
      </c>
      <c r="AT6" s="35" t="inlineStr">
        <is>
          <t>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t>
        </is>
      </c>
      <c r="AU6" s="35" t="inlineStr">
        <is>
          <t>Select</t>
        </is>
      </c>
      <c r="AV6" s="35" t="inlineStr">
        <is>
          <t>Select</t>
        </is>
      </c>
      <c r="AW6" s="34" t="inlineStr">
        <is>
          <t>Text</t>
        </is>
      </c>
      <c r="AX6" s="35" t="inlineStr">
        <is>
          <t>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t>
        </is>
      </c>
      <c r="AY6" s="35" t="inlineStr">
        <is>
          <t>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t>
        </is>
      </c>
      <c r="AZ6" s="35" t="inlineStr">
        <is>
          <t>Select</t>
        </is>
      </c>
      <c r="BA6" s="35" t="inlineStr">
        <is>
          <t>Select</t>
        </is>
      </c>
      <c r="BB6" s="34" t="inlineStr">
        <is>
          <t>Text</t>
        </is>
      </c>
      <c r="BC6" s="35" t="inlineStr">
        <is>
          <t>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t>
        </is>
      </c>
      <c r="BD6" s="35" t="inlineStr">
        <is>
          <t>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t>
        </is>
      </c>
      <c r="BE6" s="35" t="inlineStr">
        <is>
          <t>Select</t>
        </is>
      </c>
      <c r="BF6" s="35" t="inlineStr">
        <is>
          <t>Select</t>
        </is>
      </c>
      <c r="BG6" s="35" t="inlineStr">
        <is>
          <t>Select</t>
        </is>
      </c>
      <c r="BH6" s="34" t="inlineStr">
        <is>
          <t>Yes or No</t>
        </is>
      </c>
      <c r="BI6" s="34" t="inlineStr">
        <is>
          <t>Yes or No</t>
        </is>
      </c>
      <c r="BJ6" s="34" t="inlineStr">
        <is>
          <t>Whole Number</t>
        </is>
      </c>
      <c r="BK6" s="34" t="inlineStr">
        <is>
          <t>Yes or No</t>
        </is>
      </c>
      <c r="BL6" s="34" t="inlineStr">
        <is>
          <t>Yes or No</t>
        </is>
      </c>
      <c r="BM6" s="34" t="inlineStr">
        <is>
          <t>Yes or No</t>
        </is>
      </c>
      <c r="BN6" s="34" t="inlineStr">
        <is>
          <t>Yes or No</t>
        </is>
      </c>
      <c r="BO6" s="34" t="inlineStr">
        <is>
          <t>Yes or No</t>
        </is>
      </c>
      <c r="BP6" s="35" t="inlineStr">
        <is>
          <t>Please choose one or more from the following, using a semicolon (;) to separate each value: Cabinet/Enclosed storage; TV Stand Fireplace; Open shelving; Corner unit; Hutch; Piers; Floating mount; Standard; Demilune; Nesting; Apothecary; Multi-tiered; Floor; Corner; Basket Storage; Tabletop; Hanging; Bombe; Etagere; Wall Mounted; Double Walled; Console; Pedestal; Unavailable; Does Not Apply</t>
        </is>
      </c>
      <c r="BQ6" s="35" t="inlineStr">
        <is>
          <t>Please choose one or more from the following, using a semicolon (;) to separate each value: Glass; Stainless Steel; Cane; Raffia; Mango Wood; Aluminum; Manufactured Wood; Leather; Bamboo; Ceramic; Faux Leather; Iron; Marble / Granite; Metal; Plastic / Acrylic; Teak; Solid + Manufactured Wood; Steel; Solid Wood; Wicker; Reclaimed Wood</t>
        </is>
      </c>
      <c r="BR6" s="35" t="inlineStr">
        <is>
          <t>Please choose one or more from the following, using a semicolon (;) to separate each value: Distressed Leather; Paint Distressing; Distressed Grain Accents; Coat/Paint Distressing; Wormholes; No Natural Variation; No Distressing; Distressed Metal; Worn/Fade; Wood Scoring &amp; Rub Through; Unavailable</t>
        </is>
      </c>
      <c r="BS6" s="35" t="inlineStr">
        <is>
          <t>Please choose one or more from the following, using a semicolon (;) to separate each value: No Natural Variation; Natural Wood Grain Color Variation; Weathered Steel; Wood Knots; Natural Stone Color Variation; Unavailable</t>
        </is>
      </c>
      <c r="BT6" s="34" t="inlineStr">
        <is>
          <t>Yes or No</t>
        </is>
      </c>
      <c r="BU6" s="34" t="inlineStr">
        <is>
          <t>Yes or No</t>
        </is>
      </c>
      <c r="BV6" s="34" t="inlineStr">
        <is>
          <t>Yes or No</t>
        </is>
      </c>
      <c r="BW6" s="34" t="inlineStr">
        <is>
          <t>Yes or No</t>
        </is>
      </c>
      <c r="BX6" s="34" t="inlineStr">
        <is>
          <t>Yes or No</t>
        </is>
      </c>
      <c r="BY6" s="34" t="inlineStr">
        <is>
          <t>Yes or No</t>
        </is>
      </c>
      <c r="BZ6" s="34" t="inlineStr">
        <is>
          <t>Yes or No</t>
        </is>
      </c>
      <c r="CA6" s="34" t="inlineStr">
        <is>
          <t>Yes or No</t>
        </is>
      </c>
      <c r="CB6" s="34" t="inlineStr">
        <is>
          <t>Yes or No</t>
        </is>
      </c>
      <c r="CC6" s="35" t="inlineStr">
        <is>
          <t>Select</t>
        </is>
      </c>
      <c r="CD6" s="34" t="inlineStr">
        <is>
          <t>Yes or No</t>
        </is>
      </c>
      <c r="CE6" s="34" t="inlineStr">
        <is>
          <t>Yes or No</t>
        </is>
      </c>
      <c r="CF6" s="35" t="inlineStr">
        <is>
          <t>Please choose one or more from the following, using a semicolon (;) to separate each value: Non Residential Use; Residential Use</t>
        </is>
      </c>
      <c r="CG6" s="35" t="inlineStr">
        <is>
          <t>Please choose one or more from the following, using a semicolon (;) to separate each value: Made in USA; Made in USA of Imported Materials; Product of Canada; Made In Canada; Does Not Apply</t>
        </is>
      </c>
      <c r="CH6" s="35" t="inlineStr">
        <is>
          <t>Select</t>
        </is>
      </c>
      <c r="CI6" s="34" t="inlineStr">
        <is>
          <t>Yes or No</t>
        </is>
      </c>
      <c r="CJ6" s="35" t="inlineStr">
        <is>
          <t>Please choose one or more from the following, using a semicolon (;) to separate each value: Acacia; Alder; Ash; Bamboo; Beech; Birch; Camphor; Cedar; Cherry; Elm; Eucalyptus; Fir; Hickory; Mahogany; Mango; Maple; Oak; Pine; Poplar; Rosewood; Rubberwood; Sheesham; Spruce; Teak; Walnut; Wenge; Pecan; Shorea; Paulownia; Chestnut; Hemlock; Aspen; Mindi; Ipe; Olive; Ajo; Agarwood; Afzelia; Afrormosia; Bubinga; Brazilwood; Cumaru; Cedar, Mulanje; Cedar, Spanish; Aloewood; Lignum vitae; Mahogany, African; Mahogany, Mexican; Padauk, African; Macacauba; Ebony, Madagascar; Lignum vitae, Argentine; Gavilan; Mahogany, Honduran; Mahogany, Cuban; Stinkwood, red; Yew, Chinese; Pau rosa, Brazilian; Sandalwood, East African; Ramin; Zitan; Yew, Himalayan; Yew, Japanese; Rosewood, Siamese; Yew, Taiwan; Burlwood; Platane Wood; Sungkai; Does Not Apply</t>
        </is>
      </c>
      <c r="CK6" s="34" t="inlineStr">
        <is>
          <t>Yes or No</t>
        </is>
      </c>
      <c r="CL6" s="35" t="inlineStr">
        <is>
          <t>Select</t>
        </is>
      </c>
      <c r="CM6" s="35" t="inlineStr">
        <is>
          <t>Select</t>
        </is>
      </c>
      <c r="CN6" s="35" t="inlineStr">
        <is>
          <t>Select</t>
        </is>
      </c>
      <c r="CO6" s="35" t="inlineStr">
        <is>
          <t>Select</t>
        </is>
      </c>
      <c r="CP6" s="35" t="inlineStr">
        <is>
          <t>Select</t>
        </is>
      </c>
      <c r="CQ6" s="35" t="inlineStr">
        <is>
          <t>Select</t>
        </is>
      </c>
      <c r="CR6" s="35" t="inlineStr">
        <is>
          <t>Select</t>
        </is>
      </c>
      <c r="CS6" s="34" t="inlineStr">
        <is>
          <t>Yes or No</t>
        </is>
      </c>
      <c r="CT6" s="34" t="inlineStr">
        <is>
          <t>Yes or No</t>
        </is>
      </c>
      <c r="CU6" s="34" t="inlineStr">
        <is>
          <t>Number</t>
        </is>
      </c>
      <c r="CV6" s="35" t="inlineStr">
        <is>
          <t>Please choose one or more from the following, using a semicolon (;) to separate each value: Hand wash recommended; Dishwasher safe; Spot clean only; Hand wash only; Delicate cycle; Commercial laundry safe; Do not use a fabric softener; Cold wash; Sweep / Dust Mop; Cut loose threads using a scissor; Clean with soap and water; Clean spills immediately; Dishwasher safe component; Lay flat to dry; Dryer safe; Warm wash; Non-Abrasive, Neutral Ph Cleaner; Commercial dishwasher safe; Vacuum with no beater bar/rotating brush; Air / Line Dry; Professional / Dry Clean Recommended; Wash With Garden Hose Or Pressure Washer; Machine washable components; Professional / Dry Clean Only; Vacuum with upholstery attachment; Vacuum with beater bar/rotating brush; Clean with bleach and water; Use product specific cleaner; Oil / seal / treat regularly; Shake to remove dust; Tumble dry; Iron safe; Wipe clean with a dry cloth; Cover when not in use; Avoid use of abrasive cleaners; Tile specific cleaner; Do not wash; Dust mop; Hose down; Towel dry immediately; Household floor cleaner; Spot clean; Wipe with wet cloth; Spot clean with water; When cushions are wet, open cushion zippers and prop up to dry in order to maintain quality; Oil 1-2 times per year; No washing / drying care; Do not bleach; Treat with wood protector; Do not dry clean; Clean with diluted vinegar and water; Store indoors or cover when not in use; Use carpet cleaner; Air dry cushions covers; Do not use bleach or bleach solutions; Rinse with water only; Dishwasher safe removable parts; Clean and re-seal with natural stone sealant; To prevent oil stains wipe with a damp cloth before using; After cleaning, use sealant; Apply oil to maintain color and prolong durability; Vacuum; Avoid direct sunlight; Dry after use; Use furniture pads; Apply epoxy clear coat once per year; Clean with cloth, mild soap, and warm water; Spot clean with mild detergent; Spot clean as needed; Automatic; Hot water extraction; Spot clean with dry cloth; Clean the product at least one time per month. We suggest the use of Rejuven</t>
        </is>
      </c>
      <c r="CW6" s="34" t="inlineStr">
        <is>
          <t>Yes or No</t>
        </is>
      </c>
      <c r="CX6" s="35" t="inlineStr">
        <is>
          <t>Please choose one or more from the following, using a semicolon (;) to separate each value: Polyethylene; Steel; Wood Veneers; Polyvinyl Chloride (PVC); Polycarbonate; Stainless Steel; Marble; Solid + Manufactured Wood; Wood; Clear Glass; Stone; Glass; Melamine; Aluminum; Acrylic; Resin; Tinted Glass; Laminate; Metal; Wire; Mirrored; Plastic; Manufactured Wood; Glass / Polycarbonate; Wicker; Iron; Solid Wood; Granite; Unavailable; Does Not Apply</t>
        </is>
      </c>
      <c r="CY6" s="35" t="inlineStr">
        <is>
          <t>Please choose one or more from the following, using a semicolon (;) to separate each value: Clear; Cream; Purple; Gold; Silver; Polished Chrome; Polished Nickel; Stainless Steel; Bronze; Chrome; Oil Rubbed Bronze; Matte Black; Satin Nickel; Brushed Nickel; Antique Brass; Antique Bronze; Copper; Antique Copper; Brushed Brass; Polished Brass; Brass; Satin Brass; Brushed Gold; Nickel; Ivory; Green; Orange; Beige; Teal; Red; Satin; Yellow; Pink; White; Brown; Blue; Satin Black; Rose Gold; Navy; Black; Tan; Gray; Brown Wood; Dark Brown Wood; Medium Yellow Wood; Espresso Wood; Medium Wood; Red Wood; Beige Wood; Natural Wood; Gray Wood; Light Yellow Wood; White Wood; Oak Wood</t>
        </is>
      </c>
      <c r="CZ6" s="35" t="inlineStr">
        <is>
          <t>Please choose one or more from the following, using a semicolon (;) to separate each value: 0.6 Extension; Ball Bearing; Soft Close; Roller Glides; 0.75 Extension; Full Extension; Metal Slide; 0.5 Extension; Wood Slide; Center Slides; Kenlin; Side-Mounted Glides; Undermount Glides; Euro Glides; Unavailable; Does Not Apply</t>
        </is>
      </c>
      <c r="DA6" s="35" t="inlineStr">
        <is>
          <t>Select</t>
        </is>
      </c>
      <c r="DB6" s="35" t="inlineStr">
        <is>
          <t>Please choose one or more from the following, using a semicolon (;) to separate each value: Electric; Dual Fuel; Induction; Wood Pellets; Natural Gas; Liquid Propane; Wood Burning; Gel Fuel; Bio-Ethanol; Propane; Butane; Charcoal; Ethanol; Alcohol; Does Not Apply</t>
        </is>
      </c>
      <c r="DC6" s="35" t="inlineStr">
        <is>
          <t>Please choose one or more from the following, using a semicolon (;) to separate each value: Flush; Glass; Louvered; Paneled; Mirrored; Barn Doors; Frosted; Insulated; Contoured; Tinted; See Through; Double Pane; Does Not Apply</t>
        </is>
      </c>
      <c r="DD6" s="34" t="inlineStr">
        <is>
          <t>Yes or No</t>
        </is>
      </c>
      <c r="DE6" s="34" t="inlineStr">
        <is>
          <t>Yes or No</t>
        </is>
      </c>
      <c r="DF6" s="35" t="inlineStr">
        <is>
          <t>Please choose one or more from the following, using a semicolon (;) to separate each value: Drawers; Fireplace; Hutch; Shelves; Bridge; Exterior Shelves; Fireplace Remote; Integrated TV Mount; Interior Shelves; Media Storage; Pier / Bookcase; Sound Bar Shelf; TV Anti-Tip Kit; Wheels / Casters; Cabinets; Unavailable; Does Not Apply</t>
        </is>
      </c>
      <c r="DG6" s="34" t="inlineStr">
        <is>
          <t>Whole Number</t>
        </is>
      </c>
      <c r="DH6" s="34" t="inlineStr">
        <is>
          <t>Yes or No</t>
        </is>
      </c>
      <c r="DI6" s="35" t="inlineStr">
        <is>
          <t>Please choose one or more from the following, using a semicolon (;) to separate each value: Gel; Gas; Wood; Electric; Unavailable; Does Not Apply</t>
        </is>
      </c>
      <c r="DJ6" s="35" t="inlineStr">
        <is>
          <t>Select</t>
        </is>
      </c>
      <c r="DK6" s="34" t="inlineStr">
        <is>
          <t>Yes or No</t>
        </is>
      </c>
      <c r="DL6" s="35" t="inlineStr">
        <is>
          <t>Select</t>
        </is>
      </c>
      <c r="DM6" s="35" t="inlineStr">
        <is>
          <t>Select</t>
        </is>
      </c>
      <c r="DN6" s="35" t="inlineStr">
        <is>
          <t>Select</t>
        </is>
      </c>
      <c r="DO6" s="35" t="inlineStr">
        <is>
          <t>Select</t>
        </is>
      </c>
      <c r="DP6" s="34" t="inlineStr">
        <is>
          <t>Yes or No</t>
        </is>
      </c>
      <c r="DQ6" s="35" t="inlineStr">
        <is>
          <t>Please choose one or more from the following, using a semicolon (;) to separate each value: Dual Language; Distribution Conflict; Logistics; Does Not Apply</t>
        </is>
      </c>
      <c r="DR6" s="35" t="inlineStr">
        <is>
          <t>Select</t>
        </is>
      </c>
      <c r="DS6" s="34" t="inlineStr">
        <is>
          <t>Yes or No</t>
        </is>
      </c>
      <c r="DT6" s="35" t="inlineStr">
        <is>
          <t>Please choose one or more from the following, using a semicolon (;) to separate each value: UN3091; UN3481; UN2800; UN1950; UN3496; ID8000; UN1013; UN3082; UN3077; UN3480; UN2857; UN3358; UN3090; UN1266; UN1993; UN1944; UN1070; UN1044; UN3163; UN1268; UN1760; UN1011; UN2794; UN1759; UN3171; UN1987; UN1263; UN1170; UN3265; UN3260; UN3215; UN1006; UN3175; Does Not Apply</t>
        </is>
      </c>
      <c r="DU6" s="35" t="inlineStr">
        <is>
          <t>Select</t>
        </is>
      </c>
      <c r="DV6" s="35" t="inlineStr">
        <is>
          <t>Select</t>
        </is>
      </c>
      <c r="DW6" s="35" t="inlineStr">
        <is>
          <t>Select</t>
        </is>
      </c>
      <c r="DX6" s="35" t="inlineStr">
        <is>
          <t>Select</t>
        </is>
      </c>
      <c r="DY6" s="35" t="inlineStr">
        <is>
          <t>Please choose one or more from the following, using a semicolon (;) to separate each value: TÜV Rheinland Certified; MET Listed; AFNOR UK Ltd; BSI Assurance UK Ltd; cUL Listed; ETL Listed; DBI Certification Ltd; UL Listed; cETL Listed; CSA Certified; SGS North America Listed; Does Not Apply</t>
        </is>
      </c>
      <c r="DZ6" s="34" t="inlineStr">
        <is>
          <t>Text</t>
        </is>
      </c>
      <c r="EA6" s="35" t="inlineStr">
        <is>
          <t>Select</t>
        </is>
      </c>
      <c r="EB6" s="35" t="inlineStr">
        <is>
          <t>Select</t>
        </is>
      </c>
      <c r="EC6" s="34" t="inlineStr">
        <is>
          <t>Yes or No</t>
        </is>
      </c>
      <c r="ED6" s="35" t="inlineStr">
        <is>
          <t>Select</t>
        </is>
      </c>
      <c r="EE6" s="34" t="inlineStr">
        <is>
          <t>Number</t>
        </is>
      </c>
      <c r="EF6" s="34" t="inlineStr">
        <is>
          <t>Number</t>
        </is>
      </c>
      <c r="EG6" s="34" t="inlineStr">
        <is>
          <t>Number</t>
        </is>
      </c>
      <c r="EH6" s="34" t="inlineStr">
        <is>
          <t>Number</t>
        </is>
      </c>
      <c r="EI6" s="34" t="inlineStr">
        <is>
          <t>Number</t>
        </is>
      </c>
      <c r="EJ6" s="34" t="inlineStr">
        <is>
          <t>Number</t>
        </is>
      </c>
      <c r="EK6" s="35" t="inlineStr">
        <is>
          <t>Select</t>
        </is>
      </c>
      <c r="EL6" s="34" t="inlineStr">
        <is>
          <t>Number</t>
        </is>
      </c>
      <c r="EM6" s="34" t="inlineStr">
        <is>
          <t>Yes or No</t>
        </is>
      </c>
      <c r="EN6" s="35" t="inlineStr">
        <is>
          <t>Select</t>
        </is>
      </c>
      <c r="EO6" s="35" t="inlineStr">
        <is>
          <t>Please choose one or more from the following, using a semicolon (;) to separate each value: All Tools Included; Tool Free Assembly; Screwdriver; Allen Wrench; Adjustable Wrench; Socket Wrench; Power Drill; Hammer; Pliers; Ratchet; Utility Saw; Saw; Measuring Tape; Mallet; Level; Box Cutter; Caulk / Adhesive; Anchors / Stakes; Clamps; Drill Bit; Gloves; Hex Key; Glass Cutter; Chop Saw; Circular Saw; Phillips Head Screwdriver; Crescent Wrench; Flat Screwdriver; Adhesive Roller / Tray; Shovel; Drill; Smoother / Squeegee; Ladder; Wire Stripper; Razor Knife; Pencil; Electric Drill; Screw Gun; Scissors; Ruler; Safety Glasses; Utility Knife; Rope; Ear Protection; Stud Finder; Wrench; Tape Measure; Screws; Wire Cap; Hammer / Mallet; Chalk Line; Landscaping Fabric; No Tools Needed; Tile Cutter; Straight Edge; Silicone; Wet Saw; Torx Bit; Unavailable; Does Not Apply</t>
        </is>
      </c>
      <c r="EP6" s="34" t="inlineStr">
        <is>
          <t>Yes or No</t>
        </is>
      </c>
      <c r="EQ6" s="35" t="inlineStr">
        <is>
          <t>Select</t>
        </is>
      </c>
      <c r="ER6" s="34" t="inlineStr">
        <is>
          <t>Yes or No</t>
        </is>
      </c>
      <c r="ES6" s="35" t="inlineStr">
        <is>
          <t>Select</t>
        </is>
      </c>
      <c r="ET6" s="35" t="inlineStr">
        <is>
          <t>Please choose one or more from the following, using a semicolon (;) to separate each value: 30 Days; 60 Days; 90 Days; 6 Months; 1 Year; 2 Years; 3 Years; 5 Years; 10 Years; 20 Years; 25 Years; Lifetime; Warranty length varies by part; 15 Years; 18 Months; 12 Years; 6 Years; 4 Years; 8 Years; 7 Years; Does Not Apply</t>
        </is>
      </c>
    </row>
    <row r="7">
      <c r="B7" s="36" t="inlineStr">
        <is>
          <t>Default Row:</t>
        </is>
      </c>
      <c r="C7" s="36" t="inlineStr">
        <is>
          <t>N/A</t>
        </is>
      </c>
      <c r="D7" s="37" t="n"/>
      <c r="E7" s="36" t="inlineStr">
        <is>
          <t>N/A</t>
        </is>
      </c>
      <c r="F7" s="36" t="inlineStr">
        <is>
          <t>N/A</t>
        </is>
      </c>
      <c r="G7" s="36" t="inlineStr">
        <is>
          <t>N/A</t>
        </is>
      </c>
      <c r="H7" s="37" t="n"/>
      <c r="I7" s="36" t="inlineStr">
        <is>
          <t>N/A</t>
        </is>
      </c>
      <c r="J7" s="36" t="inlineStr">
        <is>
          <t>N/A</t>
        </is>
      </c>
      <c r="K7" s="37" t="n"/>
      <c r="L7" s="37" t="n"/>
      <c r="M7" s="37" t="n"/>
      <c r="N7" s="37" t="n"/>
      <c r="O7" s="37" t="n"/>
      <c r="P7" s="37" t="n"/>
      <c r="Q7" s="37" t="n"/>
      <c r="R7" s="37" t="n"/>
      <c r="S7" s="37" t="n"/>
      <c r="T7" s="37" t="n"/>
      <c r="U7" s="37" t="n"/>
      <c r="V7" s="37" t="n"/>
      <c r="W7" s="37" t="n"/>
      <c r="X7" s="37" t="n"/>
      <c r="Y7" s="37" t="n"/>
      <c r="Z7" s="37" t="n"/>
      <c r="AA7" s="37" t="n"/>
      <c r="AB7" s="37" t="n"/>
      <c r="AC7" s="37" t="n"/>
      <c r="AD7" s="37" t="n"/>
      <c r="AE7" s="37" t="n"/>
      <c r="AF7" s="37" t="n"/>
      <c r="AG7" s="37" t="n"/>
      <c r="AH7" s="37" t="n"/>
      <c r="AI7" s="37" t="n"/>
      <c r="AJ7" s="37" t="n"/>
      <c r="AK7" s="37" t="n"/>
      <c r="AL7" s="36" t="inlineStr">
        <is>
          <t>N/A</t>
        </is>
      </c>
      <c r="AM7" s="36" t="inlineStr">
        <is>
          <t>N/A</t>
        </is>
      </c>
      <c r="AN7" s="36" t="inlineStr">
        <is>
          <t>N/A</t>
        </is>
      </c>
      <c r="AO7" s="36" t="inlineStr">
        <is>
          <t>N/A</t>
        </is>
      </c>
      <c r="AP7" s="36" t="inlineStr">
        <is>
          <t>N/A</t>
        </is>
      </c>
      <c r="AQ7" s="36" t="inlineStr">
        <is>
          <t>N/A</t>
        </is>
      </c>
      <c r="AR7" s="37" t="n"/>
      <c r="AS7" s="37" t="n"/>
      <c r="AT7" s="37" t="n"/>
      <c r="AU7" s="37" t="n"/>
      <c r="AV7" s="37" t="n"/>
      <c r="AW7" s="37" t="n"/>
      <c r="AX7" s="37" t="n"/>
      <c r="AY7" s="37" t="n"/>
      <c r="AZ7" s="37" t="n"/>
      <c r="BA7" s="37" t="n"/>
      <c r="BB7" s="37" t="n"/>
      <c r="BC7" s="37" t="n"/>
      <c r="BD7" s="37" t="n"/>
      <c r="BE7" s="37" t="n"/>
      <c r="BF7" s="37" t="n"/>
      <c r="BG7" s="37" t="n"/>
      <c r="BH7" s="37" t="n"/>
      <c r="BI7" s="37" t="n"/>
      <c r="BJ7" s="37" t="n"/>
      <c r="BK7" s="37" t="n"/>
      <c r="BL7" s="37" t="n"/>
      <c r="BM7" s="37" t="n"/>
      <c r="BN7" s="37" t="n"/>
      <c r="BO7" s="37" t="n"/>
      <c r="BP7" s="37" t="n"/>
      <c r="BQ7" s="37" t="n"/>
      <c r="BR7" s="37" t="n"/>
      <c r="BS7" s="37" t="n"/>
      <c r="BT7" s="37" t="n"/>
      <c r="BU7" s="37" t="n"/>
      <c r="BV7" s="37" t="n"/>
      <c r="BW7" s="37" t="n"/>
      <c r="BX7" s="37" t="n"/>
      <c r="BY7" s="37" t="n"/>
      <c r="BZ7" s="37" t="n"/>
      <c r="CA7" s="37" t="n"/>
      <c r="CB7" s="37" t="n"/>
      <c r="CC7" s="37" t="n"/>
      <c r="CD7" s="37" t="n"/>
      <c r="CE7" s="37" t="n"/>
      <c r="CF7" s="37" t="n"/>
      <c r="CG7" s="37" t="n"/>
      <c r="CH7" s="37" t="n"/>
      <c r="CI7" s="37" t="n"/>
      <c r="CJ7" s="37" t="n"/>
      <c r="CK7" s="37" t="n"/>
      <c r="CL7" s="37" t="n"/>
      <c r="CM7" s="37" t="n"/>
      <c r="CN7" s="37" t="n"/>
      <c r="CO7" s="37" t="n"/>
      <c r="CP7" s="37" t="n"/>
      <c r="CQ7" s="37" t="n"/>
      <c r="CR7" s="37" t="n"/>
      <c r="CS7" s="37" t="n"/>
      <c r="CT7" s="37" t="n"/>
      <c r="CU7" s="37" t="n"/>
      <c r="CV7" s="37" t="n"/>
      <c r="CW7" s="37" t="n"/>
      <c r="CX7" s="37" t="n"/>
      <c r="CY7" s="37" t="n"/>
      <c r="CZ7" s="37" t="n"/>
      <c r="DA7" s="37" t="n"/>
      <c r="DB7" s="37" t="n"/>
      <c r="DC7" s="37" t="n"/>
      <c r="DD7" s="37" t="n"/>
      <c r="DE7" s="37" t="n"/>
      <c r="DF7" s="37" t="n"/>
      <c r="DG7" s="37" t="n"/>
      <c r="DH7" s="37" t="n"/>
      <c r="DI7" s="37" t="n"/>
      <c r="DJ7" s="37" t="n"/>
      <c r="DK7" s="37" t="n"/>
      <c r="DL7" s="37" t="n"/>
      <c r="DM7" s="37" t="n"/>
      <c r="DN7" s="37" t="n"/>
      <c r="DO7" s="37" t="n"/>
      <c r="DP7" s="37" t="n"/>
      <c r="DQ7" s="37" t="n"/>
      <c r="DR7" s="37" t="n"/>
      <c r="DS7" s="37" t="n"/>
      <c r="DT7" s="37" t="n"/>
      <c r="DU7" s="37" t="n"/>
      <c r="DV7" s="37" t="n"/>
      <c r="DW7" s="37" t="n"/>
      <c r="DX7" s="37" t="n"/>
      <c r="DY7" s="37" t="n"/>
      <c r="DZ7" s="37" t="n"/>
      <c r="EA7" s="37" t="n"/>
      <c r="EB7" s="37" t="n"/>
      <c r="EC7" s="37" t="n"/>
      <c r="ED7" s="37" t="n"/>
      <c r="EE7" s="37" t="n"/>
      <c r="EF7" s="37" t="n"/>
      <c r="EG7" s="37" t="n"/>
      <c r="EH7" s="37" t="n"/>
      <c r="EI7" s="37" t="n"/>
      <c r="EJ7" s="37" t="n"/>
      <c r="EK7" s="37" t="n"/>
      <c r="EL7" s="37" t="n"/>
      <c r="EM7" s="37" t="n"/>
      <c r="EN7" s="37" t="n"/>
      <c r="EO7" s="37" t="n"/>
      <c r="EP7" s="37" t="n"/>
      <c r="EQ7" s="37" t="n"/>
      <c r="ER7" s="37" t="n"/>
      <c r="ES7" s="37" t="n"/>
      <c r="ET7" s="37" t="n"/>
    </row>
    <row r="8">
      <c r="A8">
        <f t="array" ref="A8">_xlfn.BYROW(B8:EU507, _xlfn.LAMBDA(_xlpm.r, _xlfn.LET(_xlpm.high_priority, IFERROR(INDEX(_xlpm.r, MATCH(TRUE, (_xlpm.r &lt;&gt; "") * ((LEFT(_xlpm.r, 2) = "1:") + (LEFT(_xlpm.r, 2) = "3:")) &gt; 0, 0)), ""), IF(_xlpm.high_priority &lt;&gt; "", _xlpm.high_priority, IFERROR(INDEX(_xlpm.r, MATCH(TRUE, (_xlpm.r &lt;&gt; "") * (LEFT(_xlpm.r, 2) = "4:") &gt; 0, 0)), "")))))</f>
        <v/>
      </c>
      <c r="B8" s="22">
        <f t="array" ref="B8">_xlfn.MAP('6 - TV Stands &amp; Enterta'!B8:B507, '6 - TV Stands &amp; Enterta'!B8:B507, _xlfn.LAMBDA(_xlpm.part, _xlpm.val, IF(_xlpm.part = "", "", _xlfn.LET(_xlpm.check1, IF(OR(ISNUMBER(SEARCH({","}, _xlpm.val))), "1:Please enter a single value with no commas for the Supplier Part Number column", ""), IF(LEN(_xlpm.check1) &gt; 0, _xlpm.check1, _xlfn.LET(_xlpm.check2, IF(OR(ISNUMBER(SEARCH({"&lt;","&gt;","^","Ø","•","‣","⁃","⁌","™","∙","⌀","◦"}, _xlpm.val))), "1:Supplier Part Number cannot contain special characters ([™Ø⌀•‣◦⁃⁌⁍∙&lt;&gt;])", ""), IF(LEN(_xlpm.check2) &gt; 0, _xlpm.check2, IF(AND(_xlpm.val = "", B$3="Required"), IF(OR('6 - TV Stands &amp; Enterta'!B$7 = "", '6 - TV Stands &amp; Enterta'!B$7 = "N/A"), "3:Supplier Part Number - Value is required", ""), ""))))))))</f>
        <v/>
      </c>
      <c r="C8" s="22">
        <f t="array" ref="C8">_xlfn.MAP('6 - TV Stands &amp; Enterta'!B8:B507, '6 - TV Stands &amp; Enterta'!C8:C507, _xlfn.LAMBDA(_xlpm.part, _xlpm.val, IF(_xlpm.part = "", "", IF(AND(_xlpm.val = "", C$3="Required"), IF(OR('6 - TV Stands &amp; Enterta'!C$7 = "", '6 - TV Stands &amp; Enterta'!C$7 = "N/A"), "3:ASIN or Amazon Seller SKU - Value is required", ""), ""))))</f>
        <v/>
      </c>
      <c r="D8" s="22">
        <f t="array" ref="D8">_xlfn.MAP('6 - TV Stands &amp; Enterta'!B8:B507, '6 - TV Stands &amp; Enterta'!D8:D507, _xlfn.LAMBDA(_xlpm.part, _xlpm.val, IF(_xlpm.part = "", "", IF(AND(_xlpm.val = "", D$3="Required"), IF(OR('6 - TV Stands &amp; Enterta'!D$7 = "", '6 - TV Stands &amp; Enterta'!D$7 = "N/A"), "3:Brand - Value is required", ""), ""))))</f>
        <v/>
      </c>
      <c r="E8" s="22">
        <f t="array" ref="E8">_xlfn.MAP('6 - TV Stands &amp; Enterta'!B8:B507, '6 - TV Stands &amp; Enterta'!E8:E507, _xlfn.LAMBDA(_xlpm.part, _xlpm.val, IF(_xlpm.part = "", "", _xlfn.LET(_xlpm.check1, IF(OR(ISNUMBER(SEARCH({","}, _xlpm.val))), "1:Please enter a single value with no commas for the Manufacturer Part Number column", ""), IF(LEN(_xlpm.check1) &gt; 0, _xlpm.check1, _xlfn.LET(_xlpm.check2, IF(OR(ISNUMBER(SEARCH({"&lt;","&gt;","^","Ø","•","‣","⁃","⁌","™","∙","⌀","◦"}, _xlpm.val))), "1:Manufacturer Part Number cannot contain special characters ([™Ø⌀•‣◦⁃⁌⁍∙&lt;&gt;])", ""), IF(LEN(_xlpm.check2) &gt; 0, _xlpm.check2, _xlfn.LET(_xlpm.check3, IF(AND(_xlpm.val &lt;&gt; "" ,LEN(_xlpm.val)&gt;64), "1:Manufacturer Part Number should not be more than 64 characters", ""), IF(LEN(_xlpm.check3) &gt; 0, _xlpm.check3, IF(AND(_xlpm.val = "", E$3="Required"), IF(OR('6 - TV Stands &amp; Enterta'!E$7 = "", '6 - TV Stands &amp; Enterta'!E$7 = "N/A"), "3:Manufacturer Part Number - Value is required", ""), ""))))))))))</f>
        <v/>
      </c>
      <c r="F8" s="22">
        <f t="array" ref="F8">_xlfn.MAP('6 - TV Stands &amp; Enterta'!B8:B507, '6 - TV Stands &amp; Enterta'!F8:F507, _xlfn.LAMBDA(_xlpm.part, _xlpm.val, IF(_xlpm.part = "", "", _xlfn.LET(_xlpm.check1, IF(OR(ISNUMBER(SEARCH({"&lt;","&gt;","^","Ø","•","‣","⁃","⁌","™","∙","⌀","◦"}, _xlpm.val))), "1:Universal Product Code cannot contain special characters ([™Ø⌀•‣◦⁃⁌⁍∙&lt;&gt;])", ""), IF(LEN(_xlpm.check1) &gt; 0, _xlpm.check1, _xlfn.LET(_xlpm.check2, IF(AND(_xlpm.val &lt;&gt; "" ,NOT(OR(LEN(_xlpm.val)=8,LEN(_xlpm.val)=12,LEN(_xlpm.val)=13,LEN(_xlpm.val)=14))), "1:The UPC provided is invalid. UPCs must be 8, 12, 13, or 14 digits long and contain only numbers.", ""), IF(LEN(_xlpm.check2) &gt; 0, _xlpm.check2, IF(AND(_xlpm.val = "", F$3="Required"), IF(OR('6 - TV Stands &amp; Enterta'!F$7 = "", '6 - TV Stands &amp; Enterta'!F$7 = "N/A"), "3:Universal Product Code - Value is required", ""), ""))))))))</f>
        <v/>
      </c>
      <c r="G8" s="22">
        <f t="array" ref="G8">_xlfn.MAP('6 - TV Stands &amp; Enterta'!B8:B507, '6 - TV Stands &amp; Enterta'!G8:G507, _xlfn.LAMBDA(_xlpm.part, _xlpm.val, IF(_xlpm.part = "", "", _xlfn.LET(_xlpm.check1, IF(OR(ISNUMBER(SEARCH({"&lt;","&gt;","^","Ø","•","‣","⁃","⁌","™","∙","⌀","◦"}, _xlpm.val))), "1:Product name cannot contain special characters ([™Ø⌀•‣◦⁃⁌⁍∙&lt;&gt;])", ""), IF(LEN(_xlpm.check1) &gt; 0, _xlpm.check1, IF(AND(_xlpm.val = "", G$3="Required"), IF(OR('6 - TV Stands &amp; Enterta'!G$7 = "", '6 - TV Stands &amp; Enterta'!G$7 = "N/A"), "3:Product Name - Value is required", ""), ""))))))</f>
        <v/>
      </c>
      <c r="H8" s="22">
        <f t="array" ref="H8">_xlfn.MAP('6 - TV Stands &amp; Enterta'!B8:B507, '6 - TV Stands &amp; Enterta'!H8:H507, _xlfn.LAMBDA(_xlpm.part, _xlpm.val, IF(_xlpm.part = "", "", IF(AND(_xlpm.val = "", H$3="Required"), IF(OR('6 - TV Stands &amp; Enterta'!H$7 = "", '6 - TV Stands &amp; Enterta'!H$7 = "N/A"), "3:Collection Name - Value is required", ""), ""))))</f>
        <v/>
      </c>
      <c r="I8" s="22">
        <f t="array" ref="I8">_xlfn.MAP('6 - TV Stands &amp; Enterta'!B8:B507, '6 - TV Stands &amp; Enterta'!I8:I507, _xlfn.LAMBDA(_xlpm.part, _xlpm.val, IF(_xlpm.part = "", "", IF(AND(_xlpm.val = "", I$3="Required"), IF(OR('6 - TV Stands &amp; Enterta'!I$7 = "", '6 - TV Stands &amp; Enterta'!I$7 = "N/A"), "3:Manufacturer Product URL - Value is required", ""), ""))))</f>
        <v/>
      </c>
      <c r="J8" s="22">
        <f t="array" ref="J8">_xlfn.MAP('6 - TV Stands &amp; Enterta'!B8:B507, '6 - TV Stands &amp; Enterta'!J8:J507, _xlfn.LAMBDA(_xlpm.part, _xlpm.val, IF(_xlpm.part = "", "", _xlfn.LET(_xlpm.check1, IF(AND(NOT(ISBLANK(_xlpm.val)),OR(NOT(ISNUMBER(IFERROR(VALUE(_xlpm.val), ""))), IFERROR(VALUE(_xlpm.val), -1) &lt; 0)), "1:Base Cost - Value should be numeric", ""), IF(LEN(_xlpm.check1) &gt; 0, _xlpm.check1, IF(AND(_xlpm.val = "", J$3="Required"), IF(OR('6 - TV Stands &amp; Enterta'!J$7 = "", '6 - TV Stands &amp; Enterta'!J$7 = "N/A"), "3:Base Cost - Value is required", ""), ""))))))</f>
        <v/>
      </c>
      <c r="K8" s="22">
        <f t="array" ref="K8">_xlfn.MAP('6 - TV Stands &amp; Enterta'!B8:B507, '6 - TV Stands &amp; Enterta'!K8:K507, _xlfn.LAMBDA(_xlpm.part, _xlpm.val, IF(_xlpm.part = "", "", _xlfn.LET(_xlpm.check1, IF(AND(NOT(ISBLANK(_xlpm.val)),OR(NOT(ISNUMBER(IFERROR(VALUE(_xlpm.val), ""))), IFERROR(VALUE(_xlpm.val), -1) &lt; 0)), "1:Minimum Advertised Price - Value should be numeric", ""), IF(LEN(_xlpm.check1) &gt; 0, _xlpm.check1, IF(AND(_xlpm.val = "", K$3="Required"), IF(OR('6 - TV Stands &amp; Enterta'!K$7 = "", '6 - TV Stands &amp; Enterta'!K$7 = "N/A"), "3:Minimum Advertised Price - Value is required", ""), ""))))))</f>
        <v/>
      </c>
      <c r="L8" s="22">
        <f t="array" ref="L8">_xlfn.MAP('6 - TV Stands &amp; Enterta'!B8:B507, '6 - TV Stands &amp; Enterta'!L8:L507, _xlfn.LAMBDA(_xlpm.part, _xlpm.val, IF(_xlpm.part = "", "", _xlfn.LET(_xlpm.check1, IF(AND(NOT(ISBLANK(_xlpm.val)),OR(NOT(ISNUMBER(IFERROR(VALUE(_xlpm.val), ""))), IFERROR(VALUE(_xlpm.val), -1) &lt; 0)), "1:Manufacturer Suggested Retail Price - Value should be numeric", ""), IF(LEN(_xlpm.check1) &gt; 0, _xlpm.check1, IF(AND(_xlpm.val = "", L$3="Required"), IF(OR('6 - TV Stands &amp; Enterta'!L$7 = "", '6 - TV Stands &amp; Enterta'!L$7 = "N/A"), "3:Manufacturer Suggested Retail Price - Value is required", ""), ""))))))</f>
        <v/>
      </c>
      <c r="M8" s="22">
        <f t="array" ref="M8">_xlfn.MAP('6 - TV Stands &amp; Enterta'!B8:B507, '6 - TV Stands &amp; Enterta'!M8:M507, '6 - TV Stands &amp; Enterta'!N8:N507, '6 - TV Stands &amp; Enterta'!O8:O507, '6 - TV Stands &amp; Enterta'!P8:P507, _xlfn.LAMBDA(_xlpm.part, _xlpm.val, _xlpm.dep1, _xlpm.dep2, _xlpm.dep3, IF(_xlpm.part = "", "", _xlfn.LET(_xlpm.check1, IF(OR(ISNUMBER(SEARCH({"&lt;","&gt;","^","Ø","•","‣","⁃","⁌","™","∙","⌀","◦"}, _xlpm.val))), "1:Marketing Copy cannot contain special characters ([™Ø⌀•‣◦⁃⁌⁍∙&lt;&gt;])", ""), IF(LEN(_xlpm.check1) &gt; 0, _xlpm.check1, _xlfn.LET(_xlpm.check2, IF(AND(_xlpm.val &lt;&gt; "", LEN(_xlpm.val) &lt; 16), "1:Marketing Copy should be more than 15 characters", ""), IF(LEN(_xlpm.check2) &gt; 0, _xlpm.check2, _xlfn.LET(_xlpm.check3, IF(AND(_xlpm.val = "", M$3="Required"), IF(OR('6 - TV Stands &amp; Enterta'!M$7 = "", '6 - TV Stands &amp; Enterta'!M$7 = "N/A"), "3:Marketing Copy - Value is required", ""), ""), IF(LEN(_xlpm.check3) &gt; 0, _xlpm.check3, IF(OR(_xlpm.dep1 = "", _xlpm.dep2 = "", _xlpm.dep3 = ""), IF(_xlpm.val = "", IF(OR('6 - TV Stands &amp; Enterta'!M$7 = "", '6 - TV Stands &amp; Enterta'!M$7 = "N/A"), "3:Either the Marketing Copy or at least three Feature Bullets are required for this part.", ""), ""), ""))))))))))</f>
        <v/>
      </c>
      <c r="N8" s="22">
        <f t="array" ref="N8">_xlfn.MAP('6 - TV Stands &amp; Enterta'!B8:B507, '6 - TV Stands &amp; Enterta'!N8:N507, '6 - TV Stands &amp; Enterta'!O8:O507, '6 - TV Stands &amp; Enterta'!P8:P507, '6 - TV Stands &amp; Enterta'!M8:M507, _xlfn.LAMBDA(_xlpm.part, _xlpm.val, _xlpm.dep1, _xlpm.dep2, _xlpm.dep3, IF(_xlpm.part = "", "", _xlfn.LET(_xlpm.check1, IF(OR(ISNUMBER(SEARCH({"&lt;","&gt;","^","Ø","•","‣","⁃","⁌","™","∙","⌀","◦"}, _xlpm.val))), "1:Feature Bullet cannot contain special characters ([™Ø⌀•‣◦⁃⁌⁍∙&lt;&gt;])", ""), IF(LEN(_xlpm.check1) &gt; 0, _xlpm.check1, _xlfn.LET(_xlpm.check2, IF(AND(_xlpm.val = "", N$3="Required"), IF(OR('6 - TV Stands &amp; Enterta'!N$7 = "", '6 - TV Stands &amp; Enterta'!N$7 = "N/A"), "3:Feature Bullet - Value is required", ""), ""), IF(LEN(_xlpm.check2) &gt; 0, _xlpm.check2, _xlfn.LET(_xlpm.check3, IF(AND(AND(_xlpm.dep1 = "", _xlpm.dep2 = ""), _xlpm.dep3 = ""), IF(_xlpm.val = "", IF(OR('6 - TV Stands &amp; Enterta'!N$7 = "", '6 - TV Stands &amp; Enterta'!N$7 = "N/A"), "3:Either the Marketing Copy or at least three Feature Bullets are required for this part.", ""), ""), ""), IF(LEN(_xlpm.check3) &gt; 0, _xlpm.check3, IF(_xlpm.dep3 = "", IF(_xlpm.val = "", IF(OR('6 - TV Stands &amp; Enterta'!N$7 = "", '6 - TV Stands &amp; Enterta'!N$7 = "N/A"), "3:Three feature bullets must be filled", ""), ""), ""))))))))))</f>
        <v/>
      </c>
      <c r="O8" s="22">
        <f t="array" ref="O8">_xlfn.MAP('6 - TV Stands &amp; Enterta'!B8:B507, '6 - TV Stands &amp; Enterta'!O8:O507, '6 - TV Stands &amp; Enterta'!N8:N507, '6 - TV Stands &amp; Enterta'!P8:P507, '6 - TV Stands &amp; Enterta'!M8:M507, _xlfn.LAMBDA(_xlpm.part, _xlpm.val, _xlpm.dep1, _xlpm.dep2, _xlpm.dep3, IF(_xlpm.part = "", "", _xlfn.LET(_xlpm.check1, IF(OR(ISNUMBER(SEARCH({"&lt;","&gt;","^","Ø","•","‣","⁃","⁌","™","∙","⌀","◦"}, _xlpm.val))), "1:Feature Bullet cannot contain special characters ([™Ø⌀•‣◦⁃⁌⁍∙&lt;&gt;])", ""), IF(LEN(_xlpm.check1) &gt; 0, _xlpm.check1, _xlfn.LET(_xlpm.check2, IF(AND(_xlpm.val = "", O$3="Required"), IF(OR('6 - TV Stands &amp; Enterta'!O$7 = "", '6 - TV Stands &amp; Enterta'!O$7 = "N/A"), "3:Feature Bullet - Value is required", ""), ""), IF(LEN(_xlpm.check2) &gt; 0, _xlpm.check2, _xlfn.LET(_xlpm.check3, IF(AND(AND(_xlpm.dep1 = "", _xlpm.dep2 = ""), _xlpm.dep3 = ""), IF(_xlpm.val = "", IF(OR('6 - TV Stands &amp; Enterta'!O$7 = "", '6 - TV Stands &amp; Enterta'!O$7 = "N/A"), "3:Either the Marketing Copy or at least three Feature Bullets are required for this part.", ""), ""), ""), IF(LEN(_xlpm.check3) &gt; 0, _xlpm.check3, IF(_xlpm.dep3 = "", IF(_xlpm.val = "", IF(OR('6 - TV Stands &amp; Enterta'!O$7 = "", '6 - TV Stands &amp; Enterta'!O$7 = "N/A"), "3:Three feature bullets must be filled", ""), ""), ""))))))))))</f>
        <v/>
      </c>
      <c r="P8" s="22">
        <f t="array" ref="P8">_xlfn.MAP('6 - TV Stands &amp; Enterta'!B8:B507, '6 - TV Stands &amp; Enterta'!P8:P507, '6 - TV Stands &amp; Enterta'!N8:N507, '6 - TV Stands &amp; Enterta'!O8:O507, '6 - TV Stands &amp; Enterta'!M8:M507, _xlfn.LAMBDA(_xlpm.part, _xlpm.val, _xlpm.dep1, _xlpm.dep2, _xlpm.dep3, IF(_xlpm.part = "", "", _xlfn.LET(_xlpm.check1, IF(OR(ISNUMBER(SEARCH({"&lt;","&gt;","^","Ø","•","‣","⁃","⁌","™","∙","⌀","◦"}, _xlpm.val))), "1:Feature Bullet cannot contain special characters ([™Ø⌀•‣◦⁃⁌⁍∙&lt;&gt;])", ""), IF(LEN(_xlpm.check1) &gt; 0, _xlpm.check1, _xlfn.LET(_xlpm.check2, IF(AND(_xlpm.val = "", P$3="Required"), IF(OR('6 - TV Stands &amp; Enterta'!P$7 = "", '6 - TV Stands &amp; Enterta'!P$7 = "N/A"), "3:Feature Bullet - Value is required", ""), ""), IF(LEN(_xlpm.check2) &gt; 0, _xlpm.check2, _xlfn.LET(_xlpm.check3, IF(AND(AND(_xlpm.dep1 = "", _xlpm.dep2 = ""), _xlpm.dep3 = ""), IF(_xlpm.val = "", IF(OR('6 - TV Stands &amp; Enterta'!P$7 = "", '6 - TV Stands &amp; Enterta'!P$7 = "N/A"), "3:Either the Marketing Copy or at least three Feature Bullets are required for this part.", ""), ""), ""), IF(LEN(_xlpm.check3) &gt; 0, _xlpm.check3, IF(_xlpm.dep3 = "", IF(_xlpm.val = "", IF(OR('6 - TV Stands &amp; Enterta'!P$7 = "", '6 - TV Stands &amp; Enterta'!P$7 = "N/A"), "3:Three feature bullets must be filled", ""), ""), ""))))))))))</f>
        <v/>
      </c>
      <c r="Q8" s="22">
        <f t="array" ref="Q8">_xlfn.MAP('6 - TV Stands &amp; Enterta'!B8:B507, '6 - TV Stands &amp; Enterta'!Q8:Q507, _xlfn.LAMBDA(_xlpm.part, _xlpm.val, IF(_xlpm.part = "", "", _xlfn.LET(_xlpm.check1, IF(OR(ISNUMBER(SEARCH({"&lt;","&gt;","^","Ø","•","‣","⁃","⁌","™","∙","⌀","◦"}, _xlpm.val))), "1:Feature Bullet cannot contain special characters ([™Ø⌀•‣◦⁃⁌⁍∙&lt;&gt;])", ""), IF(LEN(_xlpm.check1) &gt; 0, _xlpm.check1, IF(AND(_xlpm.val = "", Q$3="Required"), IF(OR('6 - TV Stands &amp; Enterta'!Q$7 = "", '6 - TV Stands &amp; Enterta'!Q$7 = "N/A"), "3:Feature Bullet - Value is required", ""), ""))))))</f>
        <v/>
      </c>
      <c r="R8" s="22">
        <f t="array" ref="R8">_xlfn.MAP('6 - TV Stands &amp; Enterta'!B8:B507, '6 - TV Stands &amp; Enterta'!R8:R507, _xlfn.LAMBDA(_xlpm.part, _xlpm.val, IF(_xlpm.part = "", "", _xlfn.LET(_xlpm.check1, IF(OR(ISNUMBER(SEARCH({"&lt;","&gt;","^","Ø","•","‣","⁃","⁌","™","∙","⌀","◦"}, _xlpm.val))), "1:Feature Bullet cannot contain special characters ([™Ø⌀•‣◦⁃⁌⁍∙&lt;&gt;])", ""), IF(LEN(_xlpm.check1) &gt; 0, _xlpm.check1, IF(AND(_xlpm.val = "", R$3="Required"), IF(OR('6 - TV Stands &amp; Enterta'!R$7 = "", '6 - TV Stands &amp; Enterta'!R$7 = "N/A"), "3:Feature Bullet - Value is required", ""), ""))))))</f>
        <v/>
      </c>
      <c r="S8" s="22">
        <f t="array" ref="S8">_xlfn.MAP('6 - TV Stands &amp; Enterta'!B8:B507, '6 - TV Stands &amp; Enterta'!S8:S507, _xlfn.LAMBDA(_xlpm.part, _xlpm.val, IF(_xlpm.part = "", "", _xlfn.LET(_xlpm.check1, IF(AND(NOT(ISBLANK(_xlpm.val)),OR(NOT(ISNUMBER(IFERROR(VALUE(_xlpm.val), ""))), IFERROR(VALUE(_xlpm.val), -1) &lt; 0)), "1:Minimum Order Quantity - Value should be numeric", ""), IF(LEN(_xlpm.check1) &gt; 0, _xlpm.check1, _xlfn.LET(_xlpm.check2, IF(AND(_xlpm.val &lt;&gt; "" ,IFERROR(VALUE(_xlpm.val), _xlpm.val)&lt;1), "1:Product quantities must be greater than 0", ""), IF(LEN(_xlpm.check2) &gt; 0, _xlpm.check2, _xlfn.LET(_xlpm.check3, IF(AND(_xlpm.val &lt;&gt; "" , IFERROR(VALUE(_xlpm.val), _xlpm.val)&gt;32767), "1:Product quantities must be less than 32767", ""), IF(LEN(_xlpm.check3) &gt; 0, _xlpm.check3, IF(AND(_xlpm.val = "", S$3="Required"), IF(OR('6 - TV Stands &amp; Enterta'!S$7 = "", '6 - TV Stands &amp; Enterta'!S$7 = "N/A"), "3:Minimum Order Quantity - Value is required", ""), ""))))))))))</f>
        <v/>
      </c>
      <c r="T8" s="22">
        <f t="array" ref="T8">_xlfn.MAP('6 - TV Stands &amp; Enterta'!B8:B507, '6 - TV Stands &amp; Enterta'!T8:T507, _xlfn.LAMBDA(_xlpm.part, _xlpm.val, IF(_xlpm.part = "", "", _xlfn.LET(_xlpm.check1, IF(AND(NOT(ISBLANK(_xlpm.val)),OR(NOT(ISNUMBER(IFERROR(VALUE(_xlpm.val), ""))), IFERROR(VALUE(_xlpm.val), -1) &lt; 0)), "1:Force Quantity Multiplier - Value should be numeric", ""), IF(LEN(_xlpm.check1) &gt; 0, _xlpm.check1, _xlfn.LET(_xlpm.check2, IF(AND(_xlpm.val &lt;&gt; "" ,IFERROR(VALUE(_xlpm.val), _xlpm.val)&lt;1), "1:Product quantities must be greater than 0", ""), IF(LEN(_xlpm.check2) &gt; 0, _xlpm.check2, _xlfn.LET(_xlpm.check3, IF(AND(_xlpm.val &lt;&gt; "" , IFERROR(VALUE(_xlpm.val), _xlpm.val)&gt;32767), "1:Product quantities must be less than 32767", ""), IF(LEN(_xlpm.check3) &gt; 0, _xlpm.check3, IF(AND(_xlpm.val = "", T$3="Required"), IF(OR('6 - TV Stands &amp; Enterta'!T$7 = "", '6 - TV Stands &amp; Enterta'!T$7 = "N/A"), "3:Force Quantity Multiplier - Value is required", ""), ""))))))))))</f>
        <v/>
      </c>
      <c r="U8" s="22">
        <f t="array" ref="U8">_xlfn.MAP('6 - TV Stands &amp; Enterta'!B8:B507, '6 - TV Stands &amp; Enterta'!U8:U507, _xlfn.LAMBDA(_xlpm.part, _xlpm.val, IF(_xlpm.part = "", "", _xlfn.LET(_xlpm.check1, IF(AND(NOT(ISBLANK(_xlpm.val)),OR(NOT(ISNUMBER(IFERROR(VALUE(_xlpm.val), ""))), IFERROR(VALUE(_xlpm.val), -1) &lt; 0)), "1:Display Set Quantity - Value should be numeric", ""), IF(LEN(_xlpm.check1) &gt; 0, _xlpm.check1, _xlfn.LET(_xlpm.check2, IF(AND(_xlpm.val &lt;&gt; "" ,IFERROR(VALUE(_xlpm.val), _xlpm.val)&lt;1), "1:Product quantities must be greater than 0", ""), IF(LEN(_xlpm.check2) &gt; 0, _xlpm.check2, _xlfn.LET(_xlpm.check3, IF(AND(_xlpm.val &lt;&gt; "" , IFERROR(VALUE(_xlpm.val), _xlpm.val)&gt;32767), "1:Product quantities must be less than 32767", ""), IF(LEN(_xlpm.check3) &gt; 0, _xlpm.check3, IF(AND(_xlpm.val = "", U$3="Required"), IF(OR('6 - TV Stands &amp; Enterta'!U$7 = "", '6 - TV Stands &amp; Enterta'!U$7 = "N/A"), "3:Display Set Quantity - Value is required", ""), ""))))))))))</f>
        <v/>
      </c>
      <c r="V8" s="22">
        <f t="array" ref="V8">_xlfn.MAP('6 - TV Stands &amp; Enterta'!B8:B507, '6 - TV Stands &amp; Enterta'!V8:V507, _xlfn.LAMBDA(_xlpm.part, _xlpm.val, IF(_xlpm.part = "", "", _xlfn.LET(_xlpm.check1, IF(AND(NOT(ISBLANK(_xlpm.val)),OR(NOT(ISNUMBER(IFERROR(VALUE(_xlpm.val), ""))), IFERROR(VALUE(_xlpm.val), -1) &lt; 0)), "1:Product Weight - Value should be numeric", ""), IF(LEN(_xlpm.check1) &gt; 0, _xlpm.check1, _xlfn.LET(_xlpm.check2, IF(AND(_xlpm.val &lt;&gt; "" ,IFERROR(VALUE(_xlpm.val), _xlpm.val)&lt;0), "1:Product weight must be a positive number", ""), IF(LEN(_xlpm.check2) &gt; 0, _xlpm.check2, IF(AND(_xlpm.val = "", V$3="Required"), IF(OR('6 - TV Stands &amp; Enterta'!V$7 = "", '6 - TV Stands &amp; Enterta'!V$7 = "N/A"), "3:Product Weight - Value is required", ""), ""))))))))</f>
        <v/>
      </c>
      <c r="W8" s="22">
        <f t="array" ref="W8">_xlfn.MAP('6 - TV Stands &amp; Enterta'!B8:B507, '6 - TV Stands &amp; Enterta'!W8:W507, _xlfn.LAMBDA(_xlpm.part, _xlpm.val, IF(_xlpm.part = "", "", IF(AND(_xlpm.val = "", W$3="Required"), IF(OR('6 - TV Stands &amp; Enterta'!W$7 = "", '6 - TV Stands &amp; Enterta'!W$7 = "N/A"), "3:Ship Type - Value is required", ""), ""))))</f>
        <v/>
      </c>
      <c r="X8" s="22">
        <f t="array" ref="X8">_xlfn.MAP('6 - TV Stands &amp; Enterta'!B8:B507, '6 - TV Stands &amp; Enterta'!X8:X507, _xlfn.LAMBDA(_xlpm.part, _xlpm.val, IF(_xlpm.part = "", "", IF(AND(_xlpm.val = "", X$3="Required"), IF(OR('6 - TV Stands &amp; Enterta'!X$7 = "", '6 - TV Stands &amp; Enterta'!X$7 = "N/A"), "3:Freight Class - Value is required", ""), ""))))</f>
        <v/>
      </c>
      <c r="Y8" s="22">
        <f t="array" ref="Y8">_xlfn.MAP('6 - TV Stands &amp; Enterta'!B8:B507, '6 - TV Stands &amp; Enterta'!Y8:Y507, _xlfn.LAMBDA(_xlpm.part, _xlpm.val, IF(_xlpm.part = "", "", IF(AND(_xlpm.val = "", Y$3="Required"), IF(OR('6 - TV Stands &amp; Enterta'!Y$7 = "", '6 - TV Stands &amp; Enterta'!Y$7 = "N/A"), "3:Lead Time - Value is required", ""), ""))))</f>
        <v/>
      </c>
      <c r="Z8" s="22">
        <f t="array" ref="Z8">_xlfn.MAP('6 - TV Stands &amp; Enterta'!B8:B507, '6 - TV Stands &amp; Enterta'!Z8:Z507, _xlfn.LAMBDA(_xlpm.part, _xlpm.val, IF(_xlpm.part = "", "", IF(AND(_xlpm.val = "", Z$3="Required"), IF(OR('6 - TV Stands &amp; Enterta'!Z$7 = "", '6 - TV Stands &amp; Enterta'!Z$7 = "N/A"), "3:Replacement Lead Time - Value is required", ""), ""))))</f>
        <v/>
      </c>
      <c r="AA8" s="22">
        <f t="array" ref="AA8">_xlfn.MAP('6 - TV Stands &amp; Enterta'!B8:B507, '6 - TV Stands &amp; Enterta'!AA8:AA507, _xlfn.LAMBDA(_xlpm.part, _xlpm.val, IF(_xlpm.part = "", "", _xlfn.LET(_xlpm.check1, IF(AND(_xlpm.val &lt;&gt; "", LEN(_xlpm.val) &lt; 5), "1:NMFC must contain at least 5 digits", ""), IF(LEN(_xlpm.check1) &gt; 0, _xlpm.check1, IF(AND(_xlpm.val = "", AA$3="Required"), IF(OR('6 - TV Stands &amp; Enterta'!AA$7 = "", '6 - TV Stands &amp; Enterta'!AA$7 = "N/A"), "3:National Motor Freight Class - Value is required", ""), ""))))))</f>
        <v/>
      </c>
      <c r="AB8" s="22">
        <f t="array" ref="AB8">_xlfn.MAP('6 - TV Stands &amp; Enterta'!B8:B507, '6 - TV Stands &amp; Enterta'!AB8:AB507, _xlfn.LAMBDA(_xlpm.part, _xlpm.val, IF(_xlpm.part = "", "", IF(AND(_xlpm.val = "", AB$3="Required"), IF(OR('6 - TV Stands &amp; Enterta'!AB$7 = "", '6 - TV Stands &amp; Enterta'!AB$7 = "N/A"), "3:Flat Pack - Value is required", ""), ""))))</f>
        <v/>
      </c>
      <c r="AC8" s="22">
        <f t="array" ref="AC8">_xlfn.MAP('6 - TV Stands &amp; Enterta'!B8:B507, '6 - TV Stands &amp; Enterta'!AC8:AC507, _xlfn.LAMBDA(_xlpm.part, _xlpm.val, IF(_xlpm.part = "", "", IF(AND(_xlpm.val = "", AC$3="Required"), IF(OR('6 - TV Stands &amp; Enterta'!AC$7 = "", '6 - TV Stands &amp; Enterta'!AC$7 = "N/A"), "3:Ship Palletized - Value is required", ""), ""))))</f>
        <v/>
      </c>
      <c r="AD8" s="22">
        <f t="array" ref="AD8">_xlfn.MAP('6 - TV Stands &amp; Enterta'!B8:B507, '6 - TV Stands &amp; Enterta'!AD8:AD507, '6 - TV Stands &amp; Enterta'!AE8:AE507, '6 - TV Stands &amp; Enterta'!AF8:AF507, '6 - TV Stands &amp; Enterta'!AG8:AG507, _xlfn.LAMBDA(_xlpm.part, _xlpm.val, _xlpm.dep1, _xlpm.dep2, _xlpm.dep3, IF(_xlpm.part = "", "", _xlfn.LET(_xlpm.check1, IF(AND(NOT(ISBLANK(_xlpm.val)),OR(NOT(ISNUMBER(IFERROR(VALUE(_xlpm.val), ""))), IFERROR(VALUE(_xlpm.val), -1) &lt; 0)), "1:Carton Weight - Value should be numeric", ""), IF(LEN(_xlpm.check1) &gt; 0, _xlpm.check1, _xlfn.LET(_xlpm.check2, IF(AND(_xlpm.val &lt;&gt; "" ,IFERROR(VALUE(_xlpm.val), _xlpm.val)&lt;0), "1:Shipping weight must be a positive number", ""), IF(LEN(_xlpm.check2) &gt; 0, _xlpm.check2, _xlfn.LET(_xlpm.check3, IF(AND(_xlpm.val = "", AD$3="Required"), IF(OR('6 - TV Stands &amp; Enterta'!AD$7 = "", '6 - TV Stands &amp; Enterta'!AD$7 = "N/A"), "3:Carton Weight - Value is required", ""), ""), IF(LEN(_xlpm.check3) &gt; 0, _xlpm.check3, _xlfn.LET(_xlpm.check4, IF(OR(_xlpm.dep1 &lt;&gt; "", _xlpm.dep2 &lt;&gt; "", _xlpm.dep3 &lt;&gt; ""), IF(_xlpm.val = "", IF(OR('6 - TV Stands &amp; Enterta'!AD$7 = "", '6 - TV Stands &amp; Enterta'!AD$7 = "N/A"), "3:Shipping weight is required", ""), ""), ""), IF(LEN(_xlpm.check4) &gt; 0, _xlpm.check4, IF(AND(_xlpm.dep3 = "", _xlpm.dep1 = "", _xlpm.dep2 = ""), IF(_xlpm.val = "", IF(OR('6 - TV Stands &amp; Enterta'!AD$7 = "", '6 - TV Stands &amp; Enterta'!AD$7 = "N/A"), "3:Shipping weight is required", ""), ""), ""))))))))))))</f>
        <v/>
      </c>
      <c r="AE8" s="22">
        <f t="array" ref="AE8">_xlfn.MAP('6 - TV Stands &amp; Enterta'!B8:B507, '6 - TV Stands &amp; Enterta'!AE8:AE507, '6 - TV Stands &amp; Enterta'!AD8:AD507, '6 - TV Stands &amp; Enterta'!AF8:AF507, '6 - TV Stands &amp; Enterta'!AG8:AG507, _xlfn.LAMBDA(_xlpm.part, _xlpm.val, _xlpm.dep1, _xlpm.dep2, _xlpm.dep3, IF(_xlpm.part = "", "", _xlfn.LET(_xlpm.check1, IF(AND(NOT(ISBLANK(_xlpm.val)),OR(NOT(ISNUMBER(IFERROR(VALUE(_xlpm.val), ""))), IFERROR(VALUE(_xlpm.val), -1) &lt; 0)), "1:Carton Height - Value should be numeric", ""), IF(LEN(_xlpm.check1) &gt; 0, _xlpm.check1, _xlfn.LET(_xlpm.check2, IF(AND(_xlpm.val &lt;&gt; "" ,IFERROR(VALUE(_xlpm.val), _xlpm.val)&lt;0), "1:Carton height must be a positive number", ""), IF(LEN(_xlpm.check2) &gt; 0, _xlpm.check2, _xlfn.LET(_xlpm.check3, IF(AND(_xlpm.val = "", AE$3="Required"), IF(OR('6 - TV Stands &amp; Enterta'!AE$7 = "", '6 - TV Stands &amp; Enterta'!AE$7 = "N/A"), "3:Carton Height - Value is required", ""), ""), IF(LEN(_xlpm.check3) &gt; 0, _xlpm.check3, _xlfn.LET(_xlpm.check4, IF(OR(_xlpm.dep1 &lt;&gt; "", _xlpm.dep2 &lt;&gt; "", _xlpm.dep3 &lt;&gt; ""), IF(_xlpm.val = "", IF(OR('6 - TV Stands &amp; Enterta'!AE$7 = "", '6 - TV Stands &amp; Enterta'!AE$7 = "N/A"), "3:Carton height is required", ""), ""), ""), IF(LEN(_xlpm.check4) &gt; 0, _xlpm.check4, IF(AND(_xlpm.dep1 = "", _xlpm.dep3 = "", _xlpm.dep2 = ""), IF(_xlpm.val = "", IF(OR('6 - TV Stands &amp; Enterta'!AE$7 = "", '6 - TV Stands &amp; Enterta'!AE$7 = "N/A"), "3:Carton height is required", ""), ""), ""))))))))))))</f>
        <v/>
      </c>
      <c r="AF8" s="22">
        <f t="array" ref="AF8">_xlfn.MAP('6 - TV Stands &amp; Enterta'!B8:B507, '6 - TV Stands &amp; Enterta'!AF8:AF507, '6 - TV Stands &amp; Enterta'!AD8:AD507, '6 - TV Stands &amp; Enterta'!AE8:AE507, '6 - TV Stands &amp; Enterta'!AG8:AG507, _xlfn.LAMBDA(_xlpm.part, _xlpm.val, _xlpm.dep1, _xlpm.dep2, _xlpm.dep3, IF(_xlpm.part = "", "", _xlfn.LET(_xlpm.check1, IF(AND(NOT(ISBLANK(_xlpm.val)),OR(NOT(ISNUMBER(IFERROR(VALUE(_xlpm.val), ""))), IFERROR(VALUE(_xlpm.val), -1) &lt; 0)), "1:Carton Width - Value should be numeric", ""), IF(LEN(_xlpm.check1) &gt; 0, _xlpm.check1, _xlfn.LET(_xlpm.check2, IF(AND(_xlpm.val &lt;&gt; "" ,IFERROR(VALUE(_xlpm.val), _xlpm.val)&lt;0), "1:Carton width must be a positive number", ""), IF(LEN(_xlpm.check2) &gt; 0, _xlpm.check2, _xlfn.LET(_xlpm.check3, IF(AND(_xlpm.val = "", AF$3="Required"), IF(OR('6 - TV Stands &amp; Enterta'!AF$7 = "", '6 - TV Stands &amp; Enterta'!AF$7 = "N/A"), "3:Carton Width - Value is required", ""), ""), IF(LEN(_xlpm.check3) &gt; 0, _xlpm.check3, _xlfn.LET(_xlpm.check4, IF(OR(_xlpm.dep1 &lt;&gt; "", _xlpm.dep2 &lt;&gt; "", _xlpm.dep3 &lt;&gt; ""), IF(_xlpm.val = "", IF(OR('6 - TV Stands &amp; Enterta'!AF$7 = "", '6 - TV Stands &amp; Enterta'!AF$7 = "N/A"), "3:Carton width is required", ""), ""), ""), IF(LEN(_xlpm.check4) &gt; 0, _xlpm.check4, IF(AND(_xlpm.dep1 = "", _xlpm.dep2 = "", _xlpm.dep3 = ""), IF(_xlpm.val = "", IF(OR('6 - TV Stands &amp; Enterta'!AF$7 = "", '6 - TV Stands &amp; Enterta'!AF$7 = "N/A"), "3:Carton width is required", ""), ""), ""))))))))))))</f>
        <v/>
      </c>
      <c r="AG8" s="22">
        <f t="array" ref="AG8">_xlfn.MAP('6 - TV Stands &amp; Enterta'!B8:B507, '6 - TV Stands &amp; Enterta'!AG8:AG507, '6 - TV Stands &amp; Enterta'!AD8:AD507, '6 - TV Stands &amp; Enterta'!AE8:AE507, '6 - TV Stands &amp; Enterta'!AF8:AF507, _xlfn.LAMBDA(_xlpm.part, _xlpm.val, _xlpm.dep1, _xlpm.dep2, _xlpm.dep3, IF(_xlpm.part = "", "", _xlfn.LET(_xlpm.check1, IF(AND(NOT(ISBLANK(_xlpm.val)),OR(NOT(ISNUMBER(IFERROR(VALUE(_xlpm.val), ""))), IFERROR(VALUE(_xlpm.val), -1) &lt; 0)), "1:Carton Depth - Value should be numeric", ""), IF(LEN(_xlpm.check1) &gt; 0, _xlpm.check1, _xlfn.LET(_xlpm.check2, IF(AND(_xlpm.val &lt;&gt; "" ,IFERROR(VALUE(_xlpm.val), _xlpm.val)&lt;0), "1:Carton depth must be a positive number", ""), IF(LEN(_xlpm.check2) &gt; 0, _xlpm.check2, _xlfn.LET(_xlpm.check3, IF(AND(_xlpm.val = "", AG$3="Required"), IF(OR('6 - TV Stands &amp; Enterta'!AG$7 = "", '6 - TV Stands &amp; Enterta'!AG$7 = "N/A"), "3:Carton Depth - Value is required", ""), ""), IF(LEN(_xlpm.check3) &gt; 0, _xlpm.check3, _xlfn.LET(_xlpm.check4, IF(OR(_xlpm.dep1 &lt;&gt; "", _xlpm.dep2 &lt;&gt; "", _xlpm.dep3 &lt;&gt; ""), IF(_xlpm.val = "", IF(OR('6 - TV Stands &amp; Enterta'!AG$7 = "", '6 - TV Stands &amp; Enterta'!AG$7 = "N/A"), "3:Carton depth is required", ""), ""), ""), IF(LEN(_xlpm.check4) &gt; 0, _xlpm.check4, IF(AND(_xlpm.dep1 = "", _xlpm.dep2 = "", _xlpm.dep3 = ""), IF(_xlpm.val = "", IF(OR('6 - TV Stands &amp; Enterta'!AG$7 = "", '6 - TV Stands &amp; Enterta'!AG$7 = "N/A"), "3:Carton depth is required", ""), ""), ""))))))))))))</f>
        <v/>
      </c>
      <c r="AH8" s="22">
        <f t="array" ref="AH8">_xlfn.MAP('6 - TV Stands &amp; Enterta'!B8:B507, '6 - TV Stands &amp; Enterta'!AH8:AH507, _xlfn.LAMBDA(_xlpm.part, _xlpm.val, IF(_xlpm.part = "", "", IF(AND(_xlpm.val = "", AH$3="Required"), IF(OR('6 - TV Stands &amp; Enterta'!AH$7 = "", '6 - TV Stands &amp; Enterta'!AH$7 = "N/A"), "3:Warning Required - Value is required", ""), ""))))</f>
        <v/>
      </c>
      <c r="AI8" s="22">
        <f t="array" ref="AI8">_xlfn.MAP('6 - TV Stands &amp; Enterta'!B8:B507, '6 - TV Stands &amp; Enterta'!AI8:AI507, '6 - TV Stands &amp; Enterta'!AJ8:AJ507, '6 - TV Stands &amp; Enterta'!AH8:AH507, _xlfn.LAMBDA(_xlpm.part, _xlpm.val, _xlpm.dep1, _xlpm.dep2, IF(_xlpm.part = "", "", _xlfn.LET(_xlpm.check1, IF(AND(_xlpm.val = "", AI$3="Required"), IF(OR('6 - TV Stands &amp; Enterta'!AI$7 = "", '6 - TV Stands &amp; Enterta'!AI$7 = "N/A"), "3:Chemical - Value is required", ""), ""), IF(LEN(_xlpm.check1) &gt; 0, _xlpm.check1, _xlfn.LET(_xlpm.check2, IF(_xlpm.dep1 &lt;&gt; "", IF(_xlpm.val = "", IF(OR('6 - TV Stands &amp; Enterta'!AI$7 = "", '6 - TV Stands &amp; Enterta'!AI$7 = "N/A"), "3:Please provide a chemical", ""), ""), ""), IF(LEN(_xlpm.check2) &gt; 0, _xlpm.check2, IF(_xlpm.dep2 = "Yes", IF(_xlpm.val = "", IF(OR('6 - TV Stands &amp; Enterta'!AI$7 = "", '6 - TV Stands &amp; Enterta'!AI$7 = "N/A"), "3:If a warning is required, then a chemical must also be provided", ""), ""), ""))))))))</f>
        <v/>
      </c>
      <c r="AJ8" s="22">
        <f t="array" ref="AJ8">_xlfn.MAP('6 - TV Stands &amp; Enterta'!B8:B507, '6 - TV Stands &amp; Enterta'!AJ8:AJ507, '6 - TV Stands &amp; Enterta'!AI8:AI507, '6 - TV Stands &amp; Enterta'!AH8:AH507, _xlfn.LAMBDA(_xlpm.part, _xlpm.val, _xlpm.dep1, _xlpm.dep2, IF(_xlpm.part = "", "", _xlfn.LET(_xlpm.check1, IF(NOT(ISBLANK(_xlpm.val)),_xlfn.LET(_xlpm.items, _xlfn.TEXTSPLIT(_xlpm.val, ";"),_xlpm.trimmed, _xlfn.MAP(_xlpm.items, _xlfn.LAMBDA(_xlpm.x, TRIM(_xlpm.x))),_xlpm.invalid, _xlfn._xlws.FILTER(_xlpm.trimmed, ISNA(MATCH(_xlpm.trimmed, allowedpropSixtyFive__toxicity, 0)), ""),IF(AND(_xlpm.invalid&lt;&gt;"", COUNTA(_xlpm.invalid)&gt;0),"1:Please select valid values from the provided list. Answers are case-sensitive and must be separated by a semicolon.","")), ""), IF(LEN(_xlpm.check1) &gt; 0, _xlpm.check1, _xlfn.LET(_xlpm.check2, IF(AND(_xlpm.val = "", AJ$3="Required"), IF(OR('6 - TV Stands &amp; Enterta'!AJ$7 = "", '6 - TV Stands &amp; Enterta'!AJ$7 = "N/A"), "3:Toxicity - Value is required", ""), ""), IF(LEN(_xlpm.check2) &gt; 0, _xlpm.check2, _xlfn.LET(_xlpm.check3, IF(_xlpm.dep1 &lt;&gt; "", IF(_xlpm.val = "", IF(OR('6 - TV Stands &amp; Enterta'!AJ$7 = "", '6 - TV Stands &amp; Enterta'!AJ$7 = "N/A"), "3:Please select a toxicity from the provided dropdown", ""), ""), ""), IF(LEN(_xlpm.check3) &gt; 0, _xlpm.check3, IF(_xlpm.dep2 = "Yes", IF(_xlpm.val = "", IF(OR('6 - TV Stands &amp; Enterta'!AJ$7 = "", '6 - TV Stands &amp; Enterta'!AJ$7 = "N/A"), "3:If a warning is required, then a chemical must also be provided", ""), ""), ""))))))))))</f>
        <v/>
      </c>
      <c r="AK8" s="22">
        <f t="array" ref="AK8">_xlfn.MAP('6 - TV Stands &amp; Enterta'!B8:B507, '6 - TV Stands &amp; Enterta'!AK8:AK507, _xlfn.LAMBDA(_xlpm.part, _xlpm.val, IF(_xlpm.part = "", "", IF(AND(_xlpm.val = "", AK$3="Required"), IF(OR('6 - TV Stands &amp; Enterta'!AK$7 = "", '6 - TV Stands &amp; Enterta'!AK$7 = "N/A"), "3:Country Of Manufacturer - Value is required", ""), ""))))</f>
        <v/>
      </c>
      <c r="AL8" s="22">
        <f t="array" ref="AL8">_xlfn.MAP('6 - TV Stands &amp; Enterta'!B8:B507, '6 - TV Stands &amp; Enterta'!AL8:AL507, _xlfn.LAMBDA(_xlpm.part, _xlpm.val, IF(_xlpm.part = "", "", IF(AND(_xlpm.val = "", AL$3="Required"), IF(OR('6 - TV Stands &amp; Enterta'!AL$7 = "", '6 - TV Stands &amp; Enterta'!AL$7 = "N/A"), "3:Image File Name or URL - Value is required", ""), ""))))</f>
        <v/>
      </c>
      <c r="AM8" s="22">
        <f t="array" ref="AM8">_xlfn.MAP('6 - TV Stands &amp; Enterta'!B8:B507, '6 - TV Stands &amp; Enterta'!AM8:AM507, _xlfn.LAMBDA(_xlpm.part, _xlpm.val, IF(_xlpm.part = "", "", IF(AND(_xlpm.val = "", AM$3="Required"), IF(OR('6 - TV Stands &amp; Enterta'!AM$7 = "", '6 - TV Stands &amp; Enterta'!AM$7 = "N/A"), "3:Image File Name or URL - Value is required", ""), ""))))</f>
        <v/>
      </c>
      <c r="AN8" s="22">
        <f t="array" ref="AN8">_xlfn.MAP('6 - TV Stands &amp; Enterta'!B8:B507, '6 - TV Stands &amp; Enterta'!AN8:AN507, _xlfn.LAMBDA(_xlpm.part, _xlpm.val, IF(_xlpm.part = "", "", IF(AND(_xlpm.val = "", AN$3="Required"), IF(OR('6 - TV Stands &amp; Enterta'!AN$7 = "", '6 - TV Stands &amp; Enterta'!AN$7 = "N/A"), "3:Image File Name or URL - Value is required", ""), ""))))</f>
        <v/>
      </c>
      <c r="AO8" s="22">
        <f t="array" ref="AO8">_xlfn.MAP('6 - TV Stands &amp; Enterta'!B8:B507, '6 - TV Stands &amp; Enterta'!AO8:AO507, _xlfn.LAMBDA(_xlpm.part, _xlpm.val, IF(_xlpm.part = "", "", IF(AND(_xlpm.val = "", AO$3="Required"), IF(OR('6 - TV Stands &amp; Enterta'!AO$7 = "", '6 - TV Stands &amp; Enterta'!AO$7 = "N/A"), "3:Image File Name or URL - Value is required", ""), ""))))</f>
        <v/>
      </c>
      <c r="AP8" s="22">
        <f t="array" ref="AP8">_xlfn.MAP('6 - TV Stands &amp; Enterta'!B8:B507, '6 - TV Stands &amp; Enterta'!AP8:AP507, _xlfn.LAMBDA(_xlpm.part, _xlpm.val, IF(_xlpm.part = "", "", IF(AND(_xlpm.val = "", AP$3="Required"), IF(OR('6 - TV Stands &amp; Enterta'!AP$7 = "", '6 - TV Stands &amp; Enterta'!AP$7 = "N/A"), "3:Image File Name or URL - Value is required", ""), ""))))</f>
        <v/>
      </c>
      <c r="AQ8" s="22">
        <f t="array" ref="AQ8">_xlfn.MAP('6 - TV Stands &amp; Enterta'!B8:B507, '6 - TV Stands &amp; Enterta'!AQ8:AQ507, _xlfn.LAMBDA(_xlpm.part, _xlpm.val, IF(_xlpm.part = "", "", IF(AND(_xlpm.val = "", AQ$3="Required"), IF(OR('6 - TV Stands &amp; Enterta'!AQ$7 = "", '6 - TV Stands &amp; Enterta'!AQ$7 = "N/A"), "3:Video File Name or URL - Value is required", ""), ""))))</f>
        <v/>
      </c>
      <c r="AR8" s="22">
        <f t="array" ref="AR8">_xlfn.MAP('6 - TV Stands &amp; Enterta'!B8:B507, '6 - TV Stands &amp; Enterta'!AR8:AR507, '6 - TV Stands &amp; Enterta'!AS8:AS507, '6 - TV Stands &amp; Enterta'!AT8:AT507, '6 - TV Stands &amp; Enterta'!AU8:AU507, '6 - TV Stands &amp; Enterta'!AV8:AV507, _xlfn.LAMBDA(_xlpm.part, _xlpm.val, _xlpm.dep1, _xlpm.dep2, _xlpm.dep3, _xlpm.dep4, IF(_xlpm.part = "", "", _xlfn.LET(_xlpm.check1, IF(AND(_xlpm.val = "", AR$3="Required"), IF(OR('6 - TV Stands &amp; Enterta'!AR$7 = "", '6 - TV Stands &amp; Enterta'!AR$7 = "N/A"), "3:Document File Name or URL - Value is required", ""), ""), IF(LEN(_xlpm.check1) &gt; 0, _xlpm.check1, IF(OR(_xlpm.dep1 &lt;&gt; "", _xlpm.dep2 &lt;&gt; "", _xlpm.dep3 &lt;&gt; "", _xlpm.dep4 &lt;&gt; ""), IF(_xlpm.val = "", IF(OR('6 - TV Stands &amp; Enterta'!AR$7 = "", '6 - TV Stands &amp; Enterta'!AR$7 = "N/A"), "3:Document value is required", ""), ""), ""))))))</f>
        <v/>
      </c>
      <c r="AS8" s="22">
        <f t="array" ref="AS8">_xlfn.MAP('6 - TV Stands &amp; Enterta'!B8:B507, '6 - TV Stands &amp; Enterta'!AS8:AS507, _xlfn.LAMBDA(_xlpm.part, _xlpm.val, IF(_xlpm.part = "", "", _xlfn.LET(_xlpm.check1, IF(NOT(ISBLANK(_xlpm.val)),_xlfn.LET(_xlpm.items, _xlfn.TEXTSPLIT(_xlpm.val, ";"),_xlpm.trimmed, _xlfn.MAP(_xlpm.items, _xlfn.LAMBDA(_xlpm.x, TRIM(_xlpm.x))),_xlpm.invalid, _xlfn._xlws.FILTER(_xlpm.trimmed, ISNA(MATCH(_xlpm.trimmed, allowedmedia__documentType, 0)), ""),IF(AND(_xlpm.invalid&lt;&gt;"", COUNTA(_xlpm.invalid)&gt;0),"1:Please select valid values from the provided list. Answers are case-sensitive and must be separated by a semicolon.","")), ""), IF(LEN(_xlpm.check1) &gt; 0, _xlpm.check1, IF(AND(_xlpm.val = "", AS$3="Required"), IF(OR('6 - TV Stands &amp; Enterta'!AS$7 = "", '6 - TV Stands &amp; Enterta'!AS$7 = "N/A"), "3:Document Type - Value is required", ""), ""))))))</f>
        <v/>
      </c>
      <c r="AT8" s="22">
        <f t="array" ref="AT8">_xlfn.MAP('6 - TV Stands &amp; Enterta'!B8:B507, '6 - TV Stands &amp; Enterta'!AT8:AT507, _xlfn.LAMBDA(_xlpm.part, _xlpm.val, IF(_xlpm.part = "", "", _xlfn.LET(_xlpm.check1, IF(NOT(ISBLANK(_xlpm.val)),_xlfn.LET(_xlpm.items, _xlfn.TEXTSPLIT(_xlpm.val, ";"),_xlpm.trimmed, _xlfn.MAP(_xlpm.items, _xlfn.LAMBDA(_xlpm.x, TRIM(_xlpm.x))),_xlpm.invalid, _xlfn._xlws.FILTER(_xlpm.trimmed, ISNA(MATCH(_xlpm.trimmed, allowedmedia__legalDocumentType, 0)), ""),IF(AND(_xlpm.invalid&lt;&gt;"", COUNTA(_xlpm.invalid)&gt;0),"1:Please select valid values from the provided list. Answers are case-sensitive and must be separated by a semicolon.","")), ""), IF(LEN(_xlpm.check1) &gt; 0, _xlpm.check1, IF(AND(_xlpm.val = "", AT$3="Required"), IF(OR('6 - TV Stands &amp; Enterta'!AT$7 = "", '6 - TV Stands &amp; Enterta'!AT$7 = "N/A"), "3:Legal Document Type - Value is required", ""), ""))))))</f>
        <v/>
      </c>
      <c r="AU8" s="22">
        <f t="array" ref="AU8">_xlfn.MAP('6 - TV Stands &amp; Enterta'!B8:B507, '6 - TV Stands &amp; Enterta'!AU8:AU507, _xlfn.LAMBDA(_xlpm.part, _xlpm.val, IF(_xlpm.part = "", "", IF(AND(_xlpm.val = "", AU$3="Required"), IF(OR('6 - TV Stands &amp; Enterta'!AU$7 = "", '6 - TV Stands &amp; Enterta'!AU$7 = "N/A"), "3:Document Region - Value is required", ""), ""))))</f>
        <v/>
      </c>
      <c r="AV8" s="22">
        <f t="array" ref="AV8">_xlfn.MAP('6 - TV Stands &amp; Enterta'!B8:B507, '6 - TV Stands &amp; Enterta'!AV8:AV507, _xlfn.LAMBDA(_xlpm.part, _xlpm.val, IF(_xlpm.part = "", "", IF(AND(_xlpm.val = "", AV$3="Required"), IF(OR('6 - TV Stands &amp; Enterta'!AV$7 = "", '6 - TV Stands &amp; Enterta'!AV$7 = "N/A"), "3:Document Language - Value is required", ""), ""))))</f>
        <v/>
      </c>
      <c r="AW8" s="22">
        <f t="array" ref="AW8">_xlfn.MAP('6 - TV Stands &amp; Enterta'!B8:B507, '6 - TV Stands &amp; Enterta'!AW8:AW507, '6 - TV Stands &amp; Enterta'!AX8:AX507, '6 - TV Stands &amp; Enterta'!AY8:AY507, '6 - TV Stands &amp; Enterta'!AZ8:AZ507, '6 - TV Stands &amp; Enterta'!BA8:BA507, _xlfn.LAMBDA(_xlpm.part, _xlpm.val, _xlpm.dep1, _xlpm.dep2, _xlpm.dep3, _xlpm.dep4, IF(_xlpm.part = "", "", _xlfn.LET(_xlpm.check1, IF(AND(_xlpm.val = "", AW$3="Required"), IF(OR('6 - TV Stands &amp; Enterta'!AW$7 = "", '6 - TV Stands &amp; Enterta'!AW$7 = "N/A"), "3:Document File Name or URL - Value is required", ""), ""), IF(LEN(_xlpm.check1) &gt; 0, _xlpm.check1, IF(OR(_xlpm.dep1 &lt;&gt; "", _xlpm.dep2 &lt;&gt; "", _xlpm.dep3 &lt;&gt; "", _xlpm.dep4 &lt;&gt; ""), IF(_xlpm.val = "", IF(OR('6 - TV Stands &amp; Enterta'!AW$7 = "", '6 - TV Stands &amp; Enterta'!AW$7 = "N/A"), "3:Document value is required", ""), ""), ""))))))</f>
        <v/>
      </c>
      <c r="AX8" s="22">
        <f t="array" ref="AX8">_xlfn.MAP('6 - TV Stands &amp; Enterta'!B8:B507, '6 - TV Stands &amp; Enterta'!AX8:AX507, _xlfn.LAMBDA(_xlpm.part, _xlpm.val, IF(_xlpm.part = "", "", _xlfn.LET(_xlpm.check1, IF(NOT(ISBLANK(_xlpm.val)),_xlfn.LET(_xlpm.items, _xlfn.TEXTSPLIT(_xlpm.val, ";"),_xlpm.trimmed, _xlfn.MAP(_xlpm.items, _xlfn.LAMBDA(_xlpm.x, TRIM(_xlpm.x))),_xlpm.invalid, _xlfn._xlws.FILTER(_xlpm.trimmed, ISNA(MATCH(_xlpm.trimmed, allowedmedia__documentType, 0)), ""),IF(AND(_xlpm.invalid&lt;&gt;"", COUNTA(_xlpm.invalid)&gt;0),"1:Please select valid values from the provided list. Answers are case-sensitive and must be separated by a semicolon.","")), ""), IF(LEN(_xlpm.check1) &gt; 0, _xlpm.check1, IF(AND(_xlpm.val = "", AX$3="Required"), IF(OR('6 - TV Stands &amp; Enterta'!AX$7 = "", '6 - TV Stands &amp; Enterta'!AX$7 = "N/A"), "3:Document Type - Value is required", ""), ""))))))</f>
        <v/>
      </c>
      <c r="AY8" s="22">
        <f t="array" ref="AY8">_xlfn.MAP('6 - TV Stands &amp; Enterta'!B8:B507, '6 - TV Stands &amp; Enterta'!AY8:AY507, _xlfn.LAMBDA(_xlpm.part, _xlpm.val, IF(_xlpm.part = "", "", _xlfn.LET(_xlpm.check1, IF(NOT(ISBLANK(_xlpm.val)),_xlfn.LET(_xlpm.items, _xlfn.TEXTSPLIT(_xlpm.val, ";"),_xlpm.trimmed, _xlfn.MAP(_xlpm.items, _xlfn.LAMBDA(_xlpm.x, TRIM(_xlpm.x))),_xlpm.invalid, _xlfn._xlws.FILTER(_xlpm.trimmed, ISNA(MATCH(_xlpm.trimmed, allowedmedia__legalDocumentType, 0)), ""),IF(AND(_xlpm.invalid&lt;&gt;"", COUNTA(_xlpm.invalid)&gt;0),"1:Please select valid values from the provided list. Answers are case-sensitive and must be separated by a semicolon.","")), ""), IF(LEN(_xlpm.check1) &gt; 0, _xlpm.check1, IF(AND(_xlpm.val = "", AY$3="Required"), IF(OR('6 - TV Stands &amp; Enterta'!AY$7 = "", '6 - TV Stands &amp; Enterta'!AY$7 = "N/A"), "3:Legal Document Type - Value is required", ""), ""))))))</f>
        <v/>
      </c>
      <c r="AZ8" s="22">
        <f t="array" ref="AZ8">_xlfn.MAP('6 - TV Stands &amp; Enterta'!B8:B507, '6 - TV Stands &amp; Enterta'!AZ8:AZ507, _xlfn.LAMBDA(_xlpm.part, _xlpm.val, IF(_xlpm.part = "", "", IF(AND(_xlpm.val = "", AZ$3="Required"), IF(OR('6 - TV Stands &amp; Enterta'!AZ$7 = "", '6 - TV Stands &amp; Enterta'!AZ$7 = "N/A"), "3:Document Region - Value is required", ""), ""))))</f>
        <v/>
      </c>
      <c r="BA8" s="22">
        <f t="array" ref="BA8">_xlfn.MAP('6 - TV Stands &amp; Enterta'!B8:B507, '6 - TV Stands &amp; Enterta'!BA8:BA507, _xlfn.LAMBDA(_xlpm.part, _xlpm.val, IF(_xlpm.part = "", "", IF(AND(_xlpm.val = "", BA$3="Required"), IF(OR('6 - TV Stands &amp; Enterta'!BA$7 = "", '6 - TV Stands &amp; Enterta'!BA$7 = "N/A"), "3:Document Language - Value is required", ""), ""))))</f>
        <v/>
      </c>
      <c r="BB8" s="22">
        <f t="array" ref="BB8">_xlfn.MAP('6 - TV Stands &amp; Enterta'!B8:B507, '6 - TV Stands &amp; Enterta'!BB8:BB507, '6 - TV Stands &amp; Enterta'!BC8:BC507, '6 - TV Stands &amp; Enterta'!BD8:BD507, '6 - TV Stands &amp; Enterta'!BE8:BE507, '6 - TV Stands &amp; Enterta'!BF8:BF507, _xlfn.LAMBDA(_xlpm.part, _xlpm.val, _xlpm.dep1, _xlpm.dep2, _xlpm.dep3, _xlpm.dep4, IF(_xlpm.part = "", "", _xlfn.LET(_xlpm.check1, IF(AND(_xlpm.val = "", BB$3="Required"), IF(OR('6 - TV Stands &amp; Enterta'!BB$7 = "", '6 - TV Stands &amp; Enterta'!BB$7 = "N/A"), "3:Document File Name or URL - Value is required", ""), ""), IF(LEN(_xlpm.check1) &gt; 0, _xlpm.check1, IF(OR(_xlpm.dep1 &lt;&gt; "", _xlpm.dep2 &lt;&gt; "", _xlpm.dep3 &lt;&gt; "", _xlpm.dep4 &lt;&gt; ""), IF(_xlpm.val = "", IF(OR('6 - TV Stands &amp; Enterta'!BB$7 = "", '6 - TV Stands &amp; Enterta'!BB$7 = "N/A"), "3:Document value is required", ""), ""), ""))))))</f>
        <v/>
      </c>
      <c r="BC8" s="22">
        <f t="array" ref="BC8">_xlfn.MAP('6 - TV Stands &amp; Enterta'!B8:B507, '6 - TV Stands &amp; Enterta'!BC8:BC507, _xlfn.LAMBDA(_xlpm.part, _xlpm.val, IF(_xlpm.part = "", "", _xlfn.LET(_xlpm.check1, IF(NOT(ISBLANK(_xlpm.val)),_xlfn.LET(_xlpm.items, _xlfn.TEXTSPLIT(_xlpm.val, ";"),_xlpm.trimmed, _xlfn.MAP(_xlpm.items, _xlfn.LAMBDA(_xlpm.x, TRIM(_xlpm.x))),_xlpm.invalid, _xlfn._xlws.FILTER(_xlpm.trimmed, ISNA(MATCH(_xlpm.trimmed, allowedmedia__documentType, 0)), ""),IF(AND(_xlpm.invalid&lt;&gt;"", COUNTA(_xlpm.invalid)&gt;0),"1:Please select valid values from the provided list. Answers are case-sensitive and must be separated by a semicolon.","")), ""), IF(LEN(_xlpm.check1) &gt; 0, _xlpm.check1, IF(AND(_xlpm.val = "", BC$3="Required"), IF(OR('6 - TV Stands &amp; Enterta'!BC$7 = "", '6 - TV Stands &amp; Enterta'!BC$7 = "N/A"), "3:Document Type - Value is required", ""), ""))))))</f>
        <v/>
      </c>
      <c r="BD8" s="22">
        <f t="array" ref="BD8">_xlfn.MAP('6 - TV Stands &amp; Enterta'!B8:B507, '6 - TV Stands &amp; Enterta'!BD8:BD507, _xlfn.LAMBDA(_xlpm.part, _xlpm.val, IF(_xlpm.part = "", "", _xlfn.LET(_xlpm.check1, IF(NOT(ISBLANK(_xlpm.val)),_xlfn.LET(_xlpm.items, _xlfn.TEXTSPLIT(_xlpm.val, ";"),_xlpm.trimmed, _xlfn.MAP(_xlpm.items, _xlfn.LAMBDA(_xlpm.x, TRIM(_xlpm.x))),_xlpm.invalid, _xlfn._xlws.FILTER(_xlpm.trimmed, ISNA(MATCH(_xlpm.trimmed, allowedmedia__legalDocumentType, 0)), ""),IF(AND(_xlpm.invalid&lt;&gt;"", COUNTA(_xlpm.invalid)&gt;0),"1:Please select valid values from the provided list. Answers are case-sensitive and must be separated by a semicolon.","")), ""), IF(LEN(_xlpm.check1) &gt; 0, _xlpm.check1, IF(AND(_xlpm.val = "", BD$3="Required"), IF(OR('6 - TV Stands &amp; Enterta'!BD$7 = "", '6 - TV Stands &amp; Enterta'!BD$7 = "N/A"), "3:Legal Document Type - Value is required", ""), ""))))))</f>
        <v/>
      </c>
      <c r="BE8" s="22">
        <f t="array" ref="BE8">_xlfn.MAP('6 - TV Stands &amp; Enterta'!B8:B507, '6 - TV Stands &amp; Enterta'!BE8:BE507, _xlfn.LAMBDA(_xlpm.part, _xlpm.val, IF(_xlpm.part = "", "", IF(AND(_xlpm.val = "", BE$3="Required"), IF(OR('6 - TV Stands &amp; Enterta'!BE$7 = "", '6 - TV Stands &amp; Enterta'!BE$7 = "N/A"), "3:Document Region - Value is required", ""), ""))))</f>
        <v/>
      </c>
      <c r="BF8" s="22">
        <f t="array" ref="BF8">_xlfn.MAP('6 - TV Stands &amp; Enterta'!B8:B507, '6 - TV Stands &amp; Enterta'!BF8:BF507, _xlfn.LAMBDA(_xlpm.part, _xlpm.val, IF(_xlpm.part = "", "", IF(AND(_xlpm.val = "", BF$3="Required"), IF(OR('6 - TV Stands &amp; Enterta'!BF$7 = "", '6 - TV Stands &amp; Enterta'!BF$7 = "N/A"), "3:Document Language - Value is required", ""), ""))))</f>
        <v/>
      </c>
      <c r="BG8" s="22">
        <f t="array" ref="BG8">_xlfn.MAP('6 - TV Stands &amp; Enterta'!B8:B507, '6 - TV Stands &amp; Enterta'!BG8:BG507, _xlfn.LAMBDA(_xlpm.part, _xlpm.val, IF(_xlpm.part = "", "", IF(AND(_xlpm.val = "", BG$3="Required"), IF(OR('6 - TV Stands &amp; Enterta'!BG$7 = "", '6 - TV Stands &amp; Enterta'!BG$7 = "N/A"), "3:Product Type - Value is required", ""), ""))))</f>
        <v/>
      </c>
      <c r="BH8" s="22">
        <f t="array" ref="BH8">_xlfn.MAP('6 - TV Stands &amp; Enterta'!B8:B507, '6 - TV Stands &amp; Enterta'!BH8:BH507, '6 - TV Stands &amp; Enterta'!BG8:BG507, _xlfn.LAMBDA(_xlpm.part, _xlpm.val, _xlpm.dep1, IF(_xlpm.part = "", "", _xlfn.LET(_xlpm.check1, IF(AND(_xlpm.val = "", AND(NOT(ISNUMBER(SEARCH("Entertainment Center", _xlpm.dep1))), _xlpm.dep1 &lt;&gt; "")), "2:Autofill", ""), IF(LEN(_xlpm.check1) &gt; 0, _xlpm.check1, IF(AND(_xlpm.val = "", BH$3="Required"), IF(OR('6 - TV Stands &amp; Enterta'!BH$7 = "", '6 - TV Stands &amp; Enterta'!BH$7 = "N/A"), "3:Pier / Bookcase Included - Value is required", ""), ""))))))</f>
        <v/>
      </c>
      <c r="BI8" s="22">
        <f t="array" ref="BI8">_xlfn.MAP('6 - TV Stands &amp; Enterta'!B8:B507, '6 - TV Stands &amp; Enterta'!BI8:BI507, _xlfn.LAMBDA(_xlpm.part, _xlpm.val, IF(_xlpm.part = "", "", IF(AND(_xlpm.val = "", BI$3="Required"), IF(OR('6 - TV Stands &amp; Enterta'!BI$7 = "", '6 - TV Stands &amp; Enterta'!BI$7 = "N/A"), "3:Drawers Included - Value is required", ""), ""))))</f>
        <v/>
      </c>
      <c r="BJ8" s="22">
        <f t="array" ref="BJ8">_xlfn.MAP('6 - TV Stands &amp; Enterta'!B8:B507, '6 - TV Stands &amp; Enterta'!BJ8:BJ507, '6 - TV Stands &amp; Enterta'!BI8:BI507, _xlfn.LAMBDA(_xlpm.part, _xlpm.val, _xlpm.dep1, IF(_xlpm.part = "", "", _xlfn.LET(_xlpm.check1, IF(AND(_xlpm.val = "", _xlpm.dep1 = "No"), "2:Autofill", ""), IF(LEN(_xlpm.check1) &gt; 0, _xlpm.check1, IF(AND(_xlpm.val = "", BJ$3="Required"), IF(OR('6 - TV Stands &amp; Enterta'!BJ$7 = "", '6 - TV Stands &amp; Enterta'!BJ$7 = "N/A"), "3:Number of Drawers - Value is required", ""), ""))))))</f>
        <v/>
      </c>
      <c r="BK8" s="22">
        <f t="array" ref="BK8">_xlfn.MAP('6 - TV Stands &amp; Enterta'!B8:B507, '6 - TV Stands &amp; Enterta'!BK8:BK507, _xlfn.LAMBDA(_xlpm.part, _xlpm.val, IF(_xlpm.part = "", "", IF(AND(_xlpm.val = "", BK$3="Required"), IF(OR('6 - TV Stands &amp; Enterta'!BK$7 = "", '6 - TV Stands &amp; Enterta'!BK$7 = "N/A"), "3:Cabinets Included - Value is required", ""), ""))))</f>
        <v/>
      </c>
      <c r="BL8" s="22">
        <f t="array" ref="BL8">_xlfn.MAP('6 - TV Stands &amp; Enterta'!B8:B507, '6 - TV Stands &amp; Enterta'!BL8:BL507, _xlfn.LAMBDA(_xlpm.part, _xlpm.val, IF(_xlpm.part = "", "", IF(AND(_xlpm.val = "", BL$3="Required"), IF(OR('6 - TV Stands &amp; Enterta'!BL$7 = "", '6 - TV Stands &amp; Enterta'!BL$7 = "N/A"), "3:Shelves Included - Value is required", ""), ""))))</f>
        <v/>
      </c>
      <c r="BM8" s="22">
        <f t="array" ref="BM8">_xlfn.MAP('6 - TV Stands &amp; Enterta'!B8:B507, '6 - TV Stands &amp; Enterta'!BM8:BM507, '6 - TV Stands &amp; Enterta'!BL8:BL507, _xlfn.LAMBDA(_xlpm.part, _xlpm.val, _xlpm.dep1, IF(_xlpm.part = "", "", _xlfn.LET(_xlpm.check1, IF(AND(_xlpm.val = "", _xlpm.dep1 = "No"), "2:Autofill", ""), IF(LEN(_xlpm.check1) &gt; 0, _xlpm.check1, _xlfn.LET(_xlpm.check2, IF(_xlpm.dep1 = "No", IF(_xlpm.val &lt;&gt; "No", "1:Based on Shelves Included, value should be No", ""), ""), IF(LEN(_xlpm.check2) &gt; 0, _xlpm.check2, IF(AND(_xlpm.val = "", BM$3="Required"), IF(OR('6 - TV Stands &amp; Enterta'!BM$7 = "", '6 - TV Stands &amp; Enterta'!BM$7 = "N/A"), "3:Exterior Shelves Included - Value is required", ""), ""))))))))</f>
        <v/>
      </c>
      <c r="BN8" s="22">
        <f t="array" ref="BN8">_xlfn.MAP('6 - TV Stands &amp; Enterta'!B8:B507, '6 - TV Stands &amp; Enterta'!BN8:BN507, '6 - TV Stands &amp; Enterta'!BL8:BL507, _xlfn.LAMBDA(_xlpm.part, _xlpm.val, _xlpm.dep1, IF(_xlpm.part = "", "", _xlfn.LET(_xlpm.check1, IF(AND(_xlpm.val = "", _xlpm.dep1 = "No"), "2:Autofill", ""), IF(LEN(_xlpm.check1) &gt; 0, _xlpm.check1, _xlfn.LET(_xlpm.check2, IF(_xlpm.dep1 = "No", IF(_xlpm.val &lt;&gt; "No", "1:Based on Shelves Included, value should be No", ""), ""), IF(LEN(_xlpm.check2) &gt; 0, _xlpm.check2, IF(AND(_xlpm.val = "", BN$3="Required"), IF(OR('6 - TV Stands &amp; Enterta'!BN$7 = "", '6 - TV Stands &amp; Enterta'!BN$7 = "N/A"), "3:Interior Shelves Included - Value is required", ""), ""))))))))</f>
        <v/>
      </c>
      <c r="BO8" s="22">
        <f t="array" ref="BO8">_xlfn.MAP('6 - TV Stands &amp; Enterta'!B8:B507, '6 - TV Stands &amp; Enterta'!BO8:BO507, '6 - TV Stands &amp; Enterta'!BG8:BG507, _xlfn.LAMBDA(_xlpm.part, _xlpm.val, _xlpm.dep1, IF(_xlpm.part = "", "", _xlfn.LET(_xlpm.check1, IF(AND(_xlpm.val = "", AND(NOT(ISNUMBER(SEARCH("Entertainment Center", _xlpm.dep1))), _xlpm.dep1 &lt;&gt; "")), "2:Autofill", ""), IF(LEN(_xlpm.check1) &gt; 0, _xlpm.check1, IF(AND(_xlpm.val = "", BO$3="Required"), IF(OR('6 - TV Stands &amp; Enterta'!BO$7 = "", '6 - TV Stands &amp; Enterta'!BO$7 = "N/A"), "3:Bridge Included - Value is required", ""), ""))))))</f>
        <v/>
      </c>
      <c r="BP8" s="22">
        <f t="array" ref="BP8">_xlfn.MAP('6 - TV Stands &amp; Enterta'!B8:B507, '6 - TV Stands &amp; Enterta'!BP8:BP507, _xlfn.LAMBDA(_xlpm.part, _xlpm.val, IF(_xlpm.part = "", "", IF(AND(_xlpm.val = "", BP$3="Required"), IF(OR('6 - TV Stands &amp; Enterta'!BP$7 = "", '6 - TV Stands &amp; Enterta'!BP$7 = "N/A"), "3:Furniture Design - Value is required", ""), ""))))</f>
        <v/>
      </c>
      <c r="BQ8" s="22">
        <f t="array" ref="BQ8">_xlfn.MAP('6 - TV Stands &amp; Enterta'!B8:B507, '6 - TV Stands &amp; Enterta'!BQ8:BQ507, _xlfn.LAMBDA(_xlpm.part, _xlpm.val, IF(_xlpm.part = "", "", IF(AND(_xlpm.val = "", BQ$3="Required"), IF(OR('6 - TV Stands &amp; Enterta'!BQ$7 = "", '6 - TV Stands &amp; Enterta'!BQ$7 = "N/A"), "3:Material - Value is required", ""), ""))))</f>
        <v/>
      </c>
      <c r="BR8" s="22">
        <f t="array" ref="BR8">_xlfn.MAP('6 - TV Stands &amp; Enterta'!B8:B507, '6 - TV Stands &amp; Enterta'!BR8:BR507, _xlfn.LAMBDA(_xlpm.part, _xlpm.val, IF(_xlpm.part = "", "", IF(AND(_xlpm.val = "", BR$3="Required"), IF(OR('6 - TV Stands &amp; Enterta'!BR$7 = "", '6 - TV Stands &amp; Enterta'!BR$7 = "N/A"), "3:Purposeful Distressing Type - Value is required", ""), ""))))</f>
        <v/>
      </c>
      <c r="BS8" s="22">
        <f t="array" ref="BS8">_xlfn.MAP('6 - TV Stands &amp; Enterta'!B8:B507, '6 - TV Stands &amp; Enterta'!BS8:BS507, '6 - TV Stands &amp; Enterta'!BQ8:BQ507, _xlfn.LAMBDA(_xlpm.part, _xlpm.val, _xlpm.dep1, IF(_xlpm.part = "", "", _xlfn.LET(_xlpm.check1, IF(AND(_xlpm.val = "", AND(NOT(OR(ISNUMBER(SEARCH("Metal", _xlpm.dep1)), ISNUMBER(SEARCH("Steel", _xlpm.dep1)))), _xlpm.dep1 &lt;&gt; "")), "2:Autofill", ""), IF(LEN(_xlpm.check1) &gt; 0, _xlpm.check1, IF(AND(_xlpm.val = "", BS$3="Required"), IF(OR('6 - TV Stands &amp; Enterta'!BS$7 = "", '6 - TV Stands &amp; Enterta'!BS$7 = "N/A"), "3:Natural Variation Type - Value is required", ""), ""))))))</f>
        <v/>
      </c>
      <c r="BT8" s="22">
        <f t="array" ref="BT8">_xlfn.MAP('6 - TV Stands &amp; Enterta'!B8:B507, '6 - TV Stands &amp; Enterta'!BT8:BT507, _xlfn.LAMBDA(_xlpm.part, _xlpm.val, IF(_xlpm.part = "", "", IF(AND(_xlpm.val = "", BT$3="Required"), IF(OR('6 - TV Stands &amp; Enterta'!BT$7 = "", '6 - TV Stands &amp; Enterta'!BT$7 = "N/A"), "3:Gloss Finish - Value is required", ""), ""))))</f>
        <v/>
      </c>
      <c r="BU8" s="22">
        <f t="array" ref="BU8">_xlfn.MAP('6 - TV Stands &amp; Enterta'!B8:B507, '6 - TV Stands &amp; Enterta'!BU8:BU507, _xlfn.LAMBDA(_xlpm.part, _xlpm.val, IF(_xlpm.part = "", "", IF(AND(_xlpm.val = "", BU$3="Required"), IF(OR('6 - TV Stands &amp; Enterta'!BU$7 = "", '6 - TV Stands &amp; Enterta'!BU$7 = "N/A"), "3:Mirrored - Value is required", ""), ""))))</f>
        <v/>
      </c>
      <c r="BV8" s="22">
        <f t="array" ref="BV8">_xlfn.MAP('6 - TV Stands &amp; Enterta'!B8:B507, '6 - TV Stands &amp; Enterta'!BV8:BV507, _xlfn.LAMBDA(_xlpm.part, _xlpm.val, IF(_xlpm.part = "", "", IF(AND(_xlpm.val = "", BV$3="Required"), IF(OR('6 - TV Stands &amp; Enterta'!BV$7 = "", '6 - TV Stands &amp; Enterta'!BV$7 = "N/A"), "3:Sound Bar Shelf Included - Value is required", ""), ""))))</f>
        <v/>
      </c>
      <c r="BW8" s="22">
        <f t="array" ref="BW8">_xlfn.MAP('6 - TV Stands &amp; Enterta'!B8:B507, '6 - TV Stands &amp; Enterta'!BW8:BW507, '6 - TV Stands &amp; Enterta'!BL8:BL507, _xlfn.LAMBDA(_xlpm.part, _xlpm.val, _xlpm.dep1, IF(_xlpm.part = "", "", _xlfn.LET(_xlpm.check1, IF(AND(_xlpm.val = "", _xlpm.dep1 = "No"), "2:Autofill", ""), IF(LEN(_xlpm.check1) &gt; 0, _xlpm.check1, _xlfn.LET(_xlpm.check2, IF(_xlpm.dep1 = "No", IF(_xlpm.val &lt;&gt; "No", "1:Based on Shelves Included, value should be No", ""), ""), IF(LEN(_xlpm.check2) &gt; 0, _xlpm.check2, IF(AND(_xlpm.val = "", BW$3="Required"), IF(OR('6 - TV Stands &amp; Enterta'!BW$7 = "", '6 - TV Stands &amp; Enterta'!BW$7 = "N/A"), "3:Adjustable Shelves - Value is required", ""), ""))))))))</f>
        <v/>
      </c>
      <c r="BX8" s="22">
        <f t="array" ref="BX8">_xlfn.MAP('6 - TV Stands &amp; Enterta'!B8:B507, '6 - TV Stands &amp; Enterta'!BX8:BX507, _xlfn.LAMBDA(_xlpm.part, _xlpm.val, IF(_xlpm.part = "", "", IF(AND(_xlpm.val = "", BX$3="Required"), IF(OR('6 - TV Stands &amp; Enterta'!BX$7 = "", '6 - TV Stands &amp; Enterta'!BX$7 = "N/A"), "3:Media Storage Included - Value is required", ""), ""))))</f>
        <v/>
      </c>
      <c r="BY8" s="22">
        <f t="array" ref="BY8">_xlfn.MAP('6 - TV Stands &amp; Enterta'!B8:B507, '6 - TV Stands &amp; Enterta'!BY8:BY507, _xlfn.LAMBDA(_xlpm.part, _xlpm.val, IF(_xlpm.part = "", "", IF(AND(_xlpm.val = "", BY$3="Required"), IF(OR('6 - TV Stands &amp; Enterta'!BY$7 = "", '6 - TV Stands &amp; Enterta'!BY$7 = "N/A"), "3:Cable Management - Value is required", ""), ""))))</f>
        <v/>
      </c>
      <c r="BZ8" s="22">
        <f t="array" ref="BZ8">_xlfn.MAP('6 - TV Stands &amp; Enterta'!B8:B507, '6 - TV Stands &amp; Enterta'!BZ8:BZ507, _xlfn.LAMBDA(_xlpm.part, _xlpm.val, IF(_xlpm.part = "", "", IF(AND(_xlpm.val = "", BZ$3="Required"), IF(OR('6 - TV Stands &amp; Enterta'!BZ$7 = "", '6 - TV Stands &amp; Enterta'!BZ$7 = "N/A"), "3:Wheels / Casters Included - Value is required", ""), ""))))</f>
        <v/>
      </c>
      <c r="CA8" s="22">
        <f t="array" ref="CA8">_xlfn.MAP('6 - TV Stands &amp; Enterta'!B8:B507, '6 - TV Stands &amp; Enterta'!CA8:CA507, '6 - TV Stands &amp; Enterta'!BP8:BP507, _xlfn.LAMBDA(_xlpm.part, _xlpm.val, _xlpm.dep1, IF(_xlpm.part = "", "", _xlfn.LET(_xlpm.check1, IF(AND(_xlpm.val = "", OR(ISNUMBER(SEARCH("TV Stand Fireplace", _xlpm.dep1)), AND(NOT(ISNUMBER(SEARCH("TV Stand Fireplace", _xlpm.dep1))), _xlpm.dep1 &lt;&gt; ""))), "2:Autofill", ""), IF(LEN(_xlpm.check1) &gt; 0, _xlpm.check1, IF(AND(_xlpm.val = "", CA$3="Required"), IF(OR('6 - TV Stands &amp; Enterta'!CA$7 = "", '6 - TV Stands &amp; Enterta'!CA$7 = "N/A"), "3:Fireplace Included - Value is required", ""), ""))))))</f>
        <v/>
      </c>
      <c r="CB8" s="22">
        <f t="array" ref="CB8">_xlfn.MAP('6 - TV Stands &amp; Enterta'!B8:B507, '6 - TV Stands &amp; Enterta'!CB8:CB507, _xlfn.LAMBDA(_xlpm.part, _xlpm.val, IF(_xlpm.part = "", "", IF(AND(_xlpm.val = "", CB$3="Required"), IF(OR('6 - TV Stands &amp; Enterta'!CB$7 = "", '6 - TV Stands &amp; Enterta'!CB$7 = "N/A"), "3:Plug-In - Value is required", ""), ""))))</f>
        <v/>
      </c>
      <c r="CC8" s="22">
        <f t="array" ref="CC8">_xlfn.MAP('6 - TV Stands &amp; Enterta'!B8:B507, '6 - TV Stands &amp; Enterta'!CC8:CC507, _xlfn.LAMBDA(_xlpm.part, _xlpm.val, IF(_xlpm.part = "", "", IF(AND(_xlpm.val = "", CC$3="Required"), IF(OR('6 - TV Stands &amp; Enterta'!CC$7 = "", '6 - TV Stands &amp; Enterta'!CC$7 = "N/A"), "3:Tipover Restraint Device Included - Value is required", ""), ""))))</f>
        <v/>
      </c>
      <c r="CD8" s="22">
        <f t="array" ref="CD8">_xlfn.MAP('6 - TV Stands &amp; Enterta'!B8:B507, '6 - TV Stands &amp; Enterta'!CD8:CD507, _xlfn.LAMBDA(_xlpm.part, _xlpm.val, IF(_xlpm.part = "", "", IF(AND(_xlpm.val = "", CD$3="Required"), IF(OR('6 - TV Stands &amp; Enterta'!CD$7 = "", '6 - TV Stands &amp; Enterta'!CD$7 = "N/A"), "3:Integrated TV Mount Included - Value is required", ""), ""))))</f>
        <v/>
      </c>
      <c r="CE8" s="22">
        <f t="array" ref="CE8">_xlfn.MAP('6 - TV Stands &amp; Enterta'!B8:B507, '6 - TV Stands &amp; Enterta'!CE8:CE507, _xlfn.LAMBDA(_xlpm.part, _xlpm.val, IF(_xlpm.part = "", "", IF(AND(_xlpm.val = "", CE$3="Required"), IF(OR('6 - TV Stands &amp; Enterta'!CE$7 = "", '6 - TV Stands &amp; Enterta'!CE$7 = "N/A"), "3:Adjustable Height - Value is required", ""), ""))))</f>
        <v/>
      </c>
      <c r="CF8" s="22">
        <f t="array" ref="CF8">_xlfn.MAP('6 - TV Stands &amp; Enterta'!B8:B507, '6 - TV Stands &amp; Enterta'!CF8:CF507, _xlfn.LAMBDA(_xlpm.part, _xlpm.val, IF(_xlpm.part = "", "", _xlfn.LET(_xlpm.check1, IF(NOT(ISBLANK(_xlpm.val)),_xlfn.LET(_xlpm.items, _xlfn.TEXTSPLIT(_xlpm.val, ";"),_xlpm.trimmed, _xlfn.MAP(_xlpm.items, _xlfn.LAMBDA(_xlpm.x, TRIM(_xlpm.x))),_xlpm.invalid, _xlfn._xlws.FILTER(_xlpm.trimmed, ISNA(MATCH(_xlpm.trimmed, allowed227966, 0)), ""),IF(AND(_xlpm.invalid&lt;&gt;"", COUNTA(_xlpm.invalid)&gt;0),"1:Please select valid values from the provided list. Answers are case-sensitive and must be separated by a semicolon.","")), ""), IF(LEN(_xlpm.check1) &gt; 0, _xlpm.check1, IF(AND(_xlpm.val = "", CF$3="Required"), IF(OR('6 - TV Stands &amp; Enterta'!CF$7 = "", '6 - TV Stands &amp; Enterta'!CF$7 = "N/A"), "3:Supplier Intended and Approved Use - Value is required", ""), ""))))))</f>
        <v/>
      </c>
      <c r="CG8" s="22">
        <f t="array" ref="CG8">_xlfn.MAP('6 - TV Stands &amp; Enterta'!B8:B507, '6 - TV Stands &amp; Enterta'!CG8:CG507, _xlfn.LAMBDA(_xlpm.part, _xlpm.val, IF(_xlpm.part = "", "", IF(AND(_xlpm.val = "", CG$3="Required"), IF(OR('6 - TV Stands &amp; Enterta'!CG$7 = "", '6 - TV Stands &amp; Enterta'!CG$7 = "N/A"), "3:Country of Origin - Additional Details - Value is required", ""), ""))))</f>
        <v/>
      </c>
      <c r="CH8" s="22">
        <f t="array" ref="CH8">_xlfn.MAP('6 - TV Stands &amp; Enterta'!B8:B507, '6 - TV Stands &amp; Enterta'!CH8:CH507, '6 - TV Stands &amp; Enterta'!BQ8:BQ507, _xlfn.LAMBDA(_xlpm.part, _xlpm.val, _xlpm.dep1, IF(_xlpm.part = "", "", _xlfn.LET(_xlpm.check1, IF(AND(_xlpm.val = "", AND(NOT(ISNUMBER(SEARCH("Teak", _xlpm.dep1))), _xlpm.dep1 &lt;&gt; "")), "2:Autofill", ""), IF(LEN(_xlpm.check1) &gt; 0, _xlpm.check1, IF(AND(_xlpm.val = "", CH$3="Required"), IF(OR('6 - TV Stands &amp; Enterta'!CH$7 = "", '6 - TV Stands &amp; Enterta'!CH$7 = "N/A"), "3:Main Wood Joinery Method - Value is required", ""), ""))))))</f>
        <v/>
      </c>
      <c r="CI8" s="22">
        <f t="array" ref="CI8">_xlfn.MAP('6 - TV Stands &amp; Enterta'!B8:B507, '6 - TV Stands &amp; Enterta'!CI8:CI507, _xlfn.LAMBDA(_xlpm.part, _xlpm.val, IF(_xlpm.part = "", "", IF(AND(_xlpm.val = "", CI$3="Required"), IF(OR('6 - TV Stands &amp; Enterta'!CI$7 = "", '6 - TV Stands &amp; Enterta'!CI$7 = "N/A"), "3:Kiln-Dried Wood - Value is required", ""), ""))))</f>
        <v/>
      </c>
      <c r="CJ8" s="22">
        <f t="array" ref="CJ8">_xlfn.MAP('6 - TV Stands &amp; Enterta'!B8:B507, '6 - TV Stands &amp; Enterta'!CJ8:CJ507, _xlfn.LAMBDA(_xlpm.part, _xlpm.val, IF(_xlpm.part = "", "", _xlfn.LET(_xlpm.check1, IF(NOT(ISBLANK(_xlpm.val)),_xlfn.LET(_xlpm.items, _xlfn.TEXTSPLIT(_xlpm.val, ";"),_xlpm.trimmed, _xlfn.MAP(_xlpm.items, _xlfn.LAMBDA(_xlpm.x, TRIM(_xlpm.x))),_xlpm.invalid, _xlfn._xlws.FILTER(_xlpm.trimmed, ISNA(MATCH(_xlpm.trimmed, allowed185254, 0)), ""),IF(AND(_xlpm.invalid&lt;&gt;"", COUNTA(_xlpm.invalid)&gt;0),"1:Please select valid values from the provided list. Answers are case-sensitive and must be separated by a semicolon.","")), ""), IF(LEN(_xlpm.check1) &gt; 0, _xlpm.check1, IF(AND(_xlpm.val = "", CJ$3="Required"), IF(OR('6 - TV Stands &amp; Enterta'!CJ$7 = "", '6 - TV Stands &amp; Enterta'!CJ$7 = "N/A"), "3:Wood Species - Value is required", ""), ""))))))</f>
        <v/>
      </c>
      <c r="CK8" s="22">
        <f t="array" ref="CK8">_xlfn.MAP('6 - TV Stands &amp; Enterta'!B8:B507, '6 - TV Stands &amp; Enterta'!CK8:CK507, _xlfn.LAMBDA(_xlpm.part, _xlpm.val, IF(_xlpm.part = "", "", IF(AND(_xlpm.val = "", CK$3="Required"), IF(OR('6 - TV Stands &amp; Enterta'!CK$7 = "", '6 - TV Stands &amp; Enterta'!CK$7 = "N/A"), "3:Battery or Batteries Included - Value is required", ""), ""))))</f>
        <v/>
      </c>
      <c r="CL8" s="22">
        <f t="array" ref="CL8">_xlfn.MAP('6 - TV Stands &amp; Enterta'!B8:B507, '6 - TV Stands &amp; Enterta'!CL8:CL507, '6 - TV Stands &amp; Enterta'!CK8:CK507, _xlfn.LAMBDA(_xlpm.part, _xlpm.val, _xlpm.dep1, IF(_xlpm.part = "", "", _xlfn.LET(_xlpm.check1, IF(AND(_xlpm.val = "", _xlpm.dep1 = "No"), "2:Autofill", ""), IF(LEN(_xlpm.check1) &gt; 0, _xlpm.check1, _xlfn.LET(_xlpm.check2, IF(_xlpm.dep1 = "No", IF(_xlpm.val &lt;&gt; "Does Not Apply", "1:Since Battery or Batteries Included equals 'No', this value should be 'Does Not Apply'", ""), ""), IF(LEN(_xlpm.check2) &gt; 0, _xlpm.check2, _xlfn.LET(_xlpm.check3, IF(_xlpm.dep1 = "Yes", IF(_xlpm.val = "", IF(OR('6 - TV Stands &amp; Enterta'!CL$7 = "", '6 - TV Stands &amp; Enterta'!CL$7 = "N/A"), "3:Since Battery or Batteries Included equals 'Yes', this field is required", ""), ""), ""), IF(LEN(_xlpm.check3) &gt; 0, _xlpm.check3, IF(AND(_xlpm.val = "", CL$3="Required"), IF(OR('6 - TV Stands &amp; Enterta'!CL$7 = "", '6 - TV Stands &amp; Enterta'!CL$7 = "N/A"), "3:Battery Composition - Value is required", ""), ""))))))))))</f>
        <v/>
      </c>
      <c r="CM8" s="22">
        <f t="array" ref="CM8">_xlfn.MAP('6 - TV Stands &amp; Enterta'!B8:B507, '6 - TV Stands &amp; Enterta'!CM8:CM507, '6 - TV Stands &amp; Enterta'!CK8:CK507, _xlfn.LAMBDA(_xlpm.part, _xlpm.val, _xlpm.dep1, IF(_xlpm.part = "", "", _xlfn.LET(_xlpm.check1, IF(AND(_xlpm.val = "", _xlpm.dep1 = "No"), "2:Autofill", ""), IF(LEN(_xlpm.check1) &gt; 0, _xlpm.check1, _xlfn.LET(_xlpm.check2, IF(_xlpm.dep1 = "No", IF(_xlpm.val &lt;&gt; "Does Not Apply", "1:Since Battery or Batteries Included equals 'No', this value should be 'Does Not Apply'", ""), ""), IF(LEN(_xlpm.check2) &gt; 0, _xlpm.check2, _xlfn.LET(_xlpm.check3, IF(_xlpm.dep1 = "Yes", IF(_xlpm.val = "", IF(OR('6 - TV Stands &amp; Enterta'!CM$7 = "", '6 - TV Stands &amp; Enterta'!CM$7 = "N/A"), "3:Since Battery or Batteries Included equals 'Yes', this field is required", ""), ""), ""), IF(LEN(_xlpm.check3) &gt; 0, _xlpm.check3, IF(AND(_xlpm.val = "", CM$3="Required"), IF(OR('6 - TV Stands &amp; Enterta'!CM$7 = "", '6 - TV Stands &amp; Enterta'!CM$7 = "N/A"), "3:Battery Type - Value is required", ""), ""))))))))))</f>
        <v/>
      </c>
      <c r="CN8" s="22">
        <f t="array" ref="CN8">_xlfn.MAP('6 - TV Stands &amp; Enterta'!B8:B507, '6 - TV Stands &amp; Enterta'!CN8:CN507, '6 - TV Stands &amp; Enterta'!CK8:CK507, _xlfn.LAMBDA(_xlpm.part, _xlpm.val, _xlpm.dep1, IF(_xlpm.part = "", "", _xlfn.LET(_xlpm.check1, IF(AND(_xlpm.val = "", _xlpm.dep1 = "No"), "2:Autofill", ""), IF(LEN(_xlpm.check1) &gt; 0, _xlpm.check1, _xlfn.LET(_xlpm.check2, IF(_xlpm.dep1 = "No", IF(_xlpm.val &lt;&gt; "Does Not Apply", "1:Since Battery or Batteries Included equals 'No', this value should be 'Does Not Apply'", ""), ""), IF(LEN(_xlpm.check2) &gt; 0, _xlpm.check2, _xlfn.LET(_xlpm.check3, IF(_xlpm.dep1 = "Yes", IF(_xlpm.val = "", IF(OR('6 - TV Stands &amp; Enterta'!CN$7 = "", '6 - TV Stands &amp; Enterta'!CN$7 = "N/A"), "3:Since Battery or Batteries Included equals 'Yes', this field is required", ""), ""), ""), IF(LEN(_xlpm.check3) &gt; 0, _xlpm.check3, IF(AND(_xlpm.val = "", CN$3="Required"), IF(OR('6 - TV Stands &amp; Enterta'!CN$7 = "", '6 - TV Stands &amp; Enterta'!CN$7 = "N/A"), "3:Number of Batteries - Value is required", ""), ""))))))))))</f>
        <v/>
      </c>
      <c r="CO8" s="22">
        <f t="array" ref="CO8">_xlfn.MAP('6 - TV Stands &amp; Enterta'!B8:B507, '6 - TV Stands &amp; Enterta'!CO8:CO507, '6 - TV Stands &amp; Enterta'!CK8:CK507, '6 - TV Stands &amp; Enterta'!CL8:CL507, _xlfn.LAMBDA(_xlpm.part, _xlpm.val, _xlpm.dep1, _xlpm.dep2, IF(_xlpm.part = "", "", _xlfn.LET(_xlpm.check1, IF(AND(_xlpm.val = "", OR(_xlpm.dep1 = "No", AND(NOT(OR(ISNUMBER(SEARCH("Lithium Metal", _xlpm.dep2)), ISNUMBER(SEARCH("Lithium Ion / Lithium Polymer", _xlpm.dep2)))), _xlpm.dep2 &lt;&gt; ""))), "2:Autofill", ""), IF(LEN(_xlpm.check1) &gt; 0, _xlpm.check1, _xlfn.LET(_xlpm.check2, IF(_xlpm.dep1 = "No", IF(_xlpm.val &lt;&gt; "Does Not Apply", "1:Since Battery or Batteries Included equals 'No', this value should be 'Does Not Apply'", ""), ""), IF(LEN(_xlpm.check2) &gt; 0, _xlpm.check2, _xlfn.LET(_xlpm.check3, IF(AND(NOT(OR(ISNUMBER(SEARCH("Lithium Metal", _xlpm.dep2)), ISNUMBER(SEARCH("Lithium Ion / Lithium Polymer", _xlpm.dep2)))), _xlpm.dep2 &lt;&gt; ""), IF(_xlpm.val &lt;&gt; "Does Not Apply", "1:Based on Battery Composition, value should be Does Not Apply", ""), ""), IF(LEN(_xlpm.check3) &gt; 0, _xlpm.check3, _xlfn.LET(_xlpm.check4, IF(_xlpm.dep1 = "Yes", IF(_xlpm.val = "", IF(OR('6 - TV Stands &amp; Enterta'!CO$7 = "", '6 - TV Stands &amp; Enterta'!CO$7 = "N/A"), "3:Since Battery or Batteries Included equals 'Yes', this field is required", ""), ""), ""), IF(LEN(_xlpm.check4) &gt; 0, _xlpm.check4, IF(AND(_xlpm.val = "", CO$3="Required"), IF(OR('6 - TV Stands &amp; Enterta'!CO$7 = "", '6 - TV Stands &amp; Enterta'!CO$7 = "N/A"), "3:Battery Shipment - Value is required", ""), ""))))))))))))</f>
        <v/>
      </c>
      <c r="CP8" s="22">
        <f t="array" ref="CP8">_xlfn.MAP('6 - TV Stands &amp; Enterta'!B8:B507, '6 - TV Stands &amp; Enterta'!CP8:CP507, '6 - TV Stands &amp; Enterta'!CK8:CK507, '6 - TV Stands &amp; Enterta'!CL8:CL507, _xlfn.LAMBDA(_xlpm.part, _xlpm.val, _xlpm.dep1, _xlpm.dep2, IF(_xlpm.part = "", "", _xlfn.LET(_xlpm.check1, IF(AND(_xlpm.val = "", OR(_xlpm.dep1 = "No", _xlpm.dep2 = "Lithium Ion / Lithium Polymer", AND(NOT(OR(ISNUMBER(SEARCH("Lithium Metal", _xlpm.dep2)), ISNUMBER(SEARCH("Lithium Ion / Lithium Polymer", _xlpm.dep2)))), _xlpm.dep2 &lt;&gt; ""))), "2:Autofill", ""), IF(LEN(_xlpm.check1) &gt; 0, _xlpm.check1, _xlfn.LET(_xlpm.check2, IF(_xlpm.dep1 = "No", IF(_xlpm.val &lt;&gt; "Does Not Apply", "1:Since Battery or Batteries Included equals 'No', this value should be 'Does Not Apply'", ""), ""), IF(LEN(_xlpm.check2) &gt; 0, _xlpm.check2, _xlfn.LET(_xlpm.check3, IF(_xlpm.dep2 = "Lithium Ion / Lithium Polymer", IF(_xlpm.val &lt;&gt; "Does Not Apply", "1:Based on Battery Composition, value should be Does Not Apply", ""), ""), IF(LEN(_xlpm.check3) &gt; 0, _xlpm.check3, _xlfn.LET(_xlpm.check4, IF(AND(NOT(OR(ISNUMBER(SEARCH("Lithium Metal", _xlpm.dep2)), ISNUMBER(SEARCH("Lithium Ion / Lithium Polymer", _xlpm.dep2)))), _xlpm.dep2 &lt;&gt; ""), IF(_xlpm.val &lt;&gt; "Does Not Apply", "1:Based on Battery Composition, value should be Does Not Apply", ""), ""), IF(LEN(_xlpm.check4) &gt; 0, _xlpm.check4, _xlfn.LET(_xlpm.check5, IF(_xlpm.dep1 = "Yes", IF(_xlpm.val = "", IF(OR('6 - TV Stands &amp; Enterta'!CP$7 = "", '6 - TV Stands &amp; Enterta'!CP$7 = "N/A"), "3:Since Battery or Batteries Included equals 'Yes', this field is required", ""), ""), ""), IF(LEN(_xlpm.check5) &gt; 0, _xlpm.check5, IF(AND(_xlpm.val = "", CP$3="Required"), IF(OR('6 - TV Stands &amp; Enterta'!CP$7 = "", '6 - TV Stands &amp; Enterta'!CP$7 = "N/A"), "3:Lithium Content - Value is required", ""), ""))))))))))))))</f>
        <v/>
      </c>
      <c r="CQ8" s="22">
        <f t="array" ref="CQ8">_xlfn.MAP('6 - TV Stands &amp; Enterta'!B8:B507, '6 - TV Stands &amp; Enterta'!CQ8:CQ507, '6 - TV Stands &amp; Enterta'!CK8:CK507, '6 - TV Stands &amp; Enterta'!CM8:CM507, '6 - TV Stands &amp; Enterta'!CL8:CL507, _xlfn.LAMBDA(_xlpm.part, _xlpm.val, _xlpm.dep1, _xlpm.dep2, _xlpm.dep3, IF(_xlpm.part = "", "", _xlfn.LET(_xlpm.check1, IF(AND(_xlpm.val = "", OR(_xlpm.dep1 = "No", _xlpm.dep3 = "Lithium Metal", AND(NOT(OR(ISNUMBER(SEARCH("Lithium Metal", _xlpm.dep3)), ISNUMBER(SEARCH("Lithium Ion / Lithium Polymer", _xlpm.dep3)))), _xlpm.dep3 &lt;&gt; ""))), "2:Autofill", ""), IF(LEN(_xlpm.check1) &gt; 0, _xlpm.check1, _xlfn.LET(_xlpm.check2, IF(_xlpm.dep1 = "No", IF(_xlpm.val &lt;&gt; "Does Not Apply", "1:Since Battery or Batteries Included equals 'No', this value should be 'Does Not Apply'", ""), ""), IF(LEN(_xlpm.check2) &gt; 0, _xlpm.check2, _xlfn.LET(_xlpm.check3, IF(OR(ISNUMBER(SEARCH("Cell", _xlpm.dep2)), ISNUMBER(SEARCH("Button Cell", _xlpm.dep2))), IF(OR(_xlpm.val = "Batteries exceeding 300w/h", _xlpm.val = "Batteries of between 100w/h and 300 w/h", _xlpm.val = "Batteries of 100w/h or less"), "1:Based on Battery Type, value should not be Batteries exceeding 300w/h, Batteries of between 100w/h and 300 w/h, Batteries of 100w/h or less", ""), ""), IF(LEN(_xlpm.check3) &gt; 0, _xlpm.check3, _xlfn.LET(_xlpm.check4, IF(ISNUMBER(SEARCH("Battery", _xlpm.dep2)), IF(OR(_xlpm.val = "Cells of between 20w/h and 60w/h", _xlpm.val = "Cells exceeding 60w/h", _xlpm.val = "Cells of 20w/h or less"), "1:Based on Battery Type, value should not be Cells of between 20w/h and 60w/h, Cells exceeding 60w/h, Cells of 20w/h or less", ""), ""), IF(LEN(_xlpm.check4) &gt; 0, _xlpm.check4, _xlfn.LET(_xlpm.check5, IF(_xlpm.dep3 = "Lithium Metal", IF(_xlpm.val &lt;&gt; "Does Not Apply", "1:Based on Battery Composition, value should be Does Not Apply", ""), ""), IF(LEN(_xlpm.check5) &gt; 0, _xlpm.check5, _xlfn.LET(_xlpm.check6, IF(AND(NOT(OR(ISNUMBER(SEARCH("Lithium Metal", _xlpm.dep3)), ISNUMBER(SEARCH("Lithium Ion / Lithium Polymer", _xlpm.dep3)))), _xlpm.dep3 &lt;&gt; ""), IF(_xlpm.val &lt;&gt; "Does Not Apply", "1:Based on Battery Composition, value should be Does Not Apply", ""), ""), IF(LEN(_xlpm.check6) &gt; 0, _xlpm.check6, _xlfn.LET(_xlpm.check7, IF(_xlpm.dep1 = "Yes", IF(_xlpm.val = "", IF(OR('6 - TV Stands &amp; Enterta'!CQ$7 = "", '6 - TV Stands &amp; Enterta'!CQ$7 = "N/A"), "3:Since Battery or Batteries Included equals 'Yes', this field is required", ""), ""), ""), IF(LEN(_xlpm.check7) &gt; 0, _xlpm.check7, IF(AND(_xlpm.val = "", CQ$3="Required"), IF(OR('6 - TV Stands &amp; Enterta'!CQ$7 = "", '6 - TV Stands &amp; Enterta'!CQ$7 = "N/A"), "3:Watt Rating of Cells / Battery - Value is required", ""), ""))))))))))))))))))</f>
        <v/>
      </c>
      <c r="CR8" s="22">
        <f t="array" ref="CR8">_xlfn.MAP('6 - TV Stands &amp; Enterta'!B8:B507, '6 - TV Stands &amp; Enterta'!CR8:CR507, '6 - TV Stands &amp; Enterta'!CK8:CK507, '6 - TV Stands &amp; Enterta'!CL8:CL507, _xlfn.LAMBDA(_xlpm.part, _xlpm.val, _xlpm.dep1, _xlpm.dep2, IF(_xlpm.part = "", "", _xlfn.LET(_xlpm.check1, IF(AND(_xlpm.val = "", OR(_xlpm.dep1 = "No", AND(NOT(OR(ISNUMBER(SEARCH("Lithium Metal", _xlpm.dep2)), ISNUMBER(SEARCH("Lithium Ion / Lithium Polymer", _xlpm.dep2)))), _xlpm.dep2 &lt;&gt; ""))), "2:Autofill", ""), IF(LEN(_xlpm.check1) &gt; 0, _xlpm.check1, _xlfn.LET(_xlpm.check2, IF(_xlpm.dep1 = "No", IF(_xlpm.val &lt;&gt; "Does Not Apply", "1:Since Battery or Batteries Included equals 'No', this value should be 'Does Not Apply'", ""), ""), IF(LEN(_xlpm.check2) &gt; 0, _xlpm.check2, _xlfn.LET(_xlpm.check3, IF(AND(NOT(OR(ISNUMBER(SEARCH("Lithium Metal", _xlpm.dep2)), ISNUMBER(SEARCH("Lithium Ion / Lithium Polymer", _xlpm.dep2)))), _xlpm.dep2 &lt;&gt; ""), IF(_xlpm.val &lt;&gt; "Does Not Apply", "1:Based on Battery Composition, value should be Does Not Apply", ""), ""), IF(LEN(_xlpm.check3) &gt; 0, _xlpm.check3, _xlfn.LET(_xlpm.check4, IF(_xlpm.dep1 = "Yes", IF(_xlpm.val = "", IF(OR('6 - TV Stands &amp; Enterta'!CR$7 = "", '6 - TV Stands &amp; Enterta'!CR$7 = "N/A"), "3:Since Battery or Batteries Included equals 'Yes', this field is required", ""), ""), ""), IF(LEN(_xlpm.check4) &gt; 0, _xlpm.check4, IF(AND(_xlpm.val = "", CR$3="Required"), IF(OR('6 - TV Stands &amp; Enterta'!CR$7 = "", '6 - TV Stands &amp; Enterta'!CR$7 = "N/A"), "3:Weight of Cells / Battery - Value is required", ""), ""))))))))))))</f>
        <v/>
      </c>
      <c r="CS8" s="22">
        <f t="array" ref="CS8">_xlfn.MAP('6 - TV Stands &amp; Enterta'!B8:B507, '6 - TV Stands &amp; Enterta'!CS8:CS507, '6 - TV Stands &amp; Enterta'!CA8:CA507, _xlfn.LAMBDA(_xlpm.part, _xlpm.val, _xlpm.dep1, IF(_xlpm.part = "", "", _xlfn.LET(_xlpm.check1, IF(AND(_xlpm.val = "", ISNUMBER(SEARCH("No", _xlpm.dep1))), "2:Autofill", ""), IF(LEN(_xlpm.check1) &gt; 0, _xlpm.check1, IF(AND(_xlpm.val = "", CS$3="Required"), IF(OR('6 - TV Stands &amp; Enterta'!CS$7 = "", '6 - TV Stands &amp; Enterta'!CS$7 = "N/A"), "3:Adjustable Temperature - Value is required", ""), ""))))))</f>
        <v/>
      </c>
      <c r="CT8" s="22">
        <f t="array" ref="CT8">_xlfn.MAP('6 - TV Stands &amp; Enterta'!B8:B507, '6 - TV Stands &amp; Enterta'!CT8:CT507, '6 - TV Stands &amp; Enterta'!CA8:CA507, _xlfn.LAMBDA(_xlpm.part, _xlpm.val, _xlpm.dep1, IF(_xlpm.part = "", "", _xlfn.LET(_xlpm.check1, IF(AND(_xlpm.val = "", ISNUMBER(SEARCH("No", _xlpm.dep1))), "2:Autofill", ""), IF(LEN(_xlpm.check1) &gt; 0, _xlpm.check1, IF(AND(_xlpm.val = "", CT$3="Required"), IF(OR('6 - TV Stands &amp; Enterta'!CT$7 = "", '6 - TV Stands &amp; Enterta'!CT$7 = "N/A"), "3:Adjustable Flame - Value is required", ""), ""))))))</f>
        <v/>
      </c>
      <c r="CU8" s="22">
        <f t="array" ref="CU8">_xlfn.MAP('6 - TV Stands &amp; Enterta'!B8:B507, '6 - TV Stands &amp; Enterta'!CU8:CU507, _xlfn.LAMBDA(_xlpm.part, _xlpm.val, IF(_xlpm.part = "", "", IF(AND(_xlpm.val = "", CU$3="Required"), IF(OR('6 - TV Stands &amp; Enterta'!CU$7 = "", '6 - TV Stands &amp; Enterta'!CU$7 = "N/A"), "3:Weight Capacity - Value is required", ""), ""))))</f>
        <v/>
      </c>
      <c r="CV8" s="22">
        <f t="array" ref="CV8">_xlfn.MAP('6 - TV Stands &amp; Enterta'!B8:B507, '6 - TV Stands &amp; Enterta'!CV8:CV507, _xlfn.LAMBDA(_xlpm.part, _xlpm.val, IF(_xlpm.part = "", "", IF(AND(_xlpm.val = "", CV$3="Required"), IF(OR('6 - TV Stands &amp; Enterta'!CV$7 = "", '6 - TV Stands &amp; Enterta'!CV$7 = "N/A"), "3:Product Care - Value is required", ""), ""))))</f>
        <v/>
      </c>
      <c r="CW8" s="22">
        <f t="array" ref="CW8">_xlfn.MAP('6 - TV Stands &amp; Enterta'!B8:B507, '6 - TV Stands &amp; Enterta'!CW8:CW507, _xlfn.LAMBDA(_xlpm.part, _xlpm.val, IF(_xlpm.part = "", "", IF(AND(_xlpm.val = "", CW$3="Required"), IF(OR('6 - TV Stands &amp; Enterta'!CW$7 = "", '6 - TV Stands &amp; Enterta'!CW$7 = "N/A"), "3:Unfinished - Value is required", ""), ""))))</f>
        <v/>
      </c>
      <c r="CX8" s="22">
        <f t="array" ref="CX8">_xlfn.MAP('6 - TV Stands &amp; Enterta'!B8:B507, '6 - TV Stands &amp; Enterta'!CX8:CX507, '6 - TV Stands &amp; Enterta'!BL8:BL507, _xlfn.LAMBDA(_xlpm.part, _xlpm.val, _xlpm.dep1, IF(_xlpm.part = "", "", _xlfn.LET(_xlpm.check1, IF(AND(_xlpm.val = "", _xlpm.dep1 = "No"), "2:Autofill", ""), IF(LEN(_xlpm.check1) &gt; 0, _xlpm.check1, _xlfn.LET(_xlpm.check2, IF(_xlpm.dep1 = "No", IF(_xlpm.val &lt;&gt; "Does Not Apply", "1:Based on Shelves Included, value should be Does Not Apply", ""), ""), IF(LEN(_xlpm.check2) &gt; 0, _xlpm.check2, IF(AND(_xlpm.val = "", CX$3="Required"), IF(OR('6 - TV Stands &amp; Enterta'!CX$7 = "", '6 - TV Stands &amp; Enterta'!CX$7 = "N/A"), "3:Shelf Material - Value is required", ""), ""))))))))</f>
        <v/>
      </c>
      <c r="CY8" s="22">
        <f t="array" ref="CY8">_xlfn.MAP('6 - TV Stands &amp; Enterta'!B8:B507, '6 - TV Stands &amp; Enterta'!CY8:CY507, _xlfn.LAMBDA(_xlpm.part, _xlpm.val, IF(_xlpm.part = "", "", IF(AND(_xlpm.val = "", CY$3="Required"), IF(OR('6 - TV Stands &amp; Enterta'!CY$7 = "", '6 - TV Stands &amp; Enterta'!CY$7 = "N/A"), "3:Color / Finish - Value is required", ""), ""))))</f>
        <v/>
      </c>
      <c r="CZ8" s="22">
        <f t="array" ref="CZ8">_xlfn.MAP('6 - TV Stands &amp; Enterta'!B8:B507, '6 - TV Stands &amp; Enterta'!CZ8:CZ507, '6 - TV Stands &amp; Enterta'!BI8:BI507, _xlfn.LAMBDA(_xlpm.part, _xlpm.val, _xlpm.dep1, IF(_xlpm.part = "", "", _xlfn.LET(_xlpm.check1, IF(AND(_xlpm.val = "", _xlpm.dep1 = "No"), "2:Autofill", ""), IF(LEN(_xlpm.check1) &gt; 0, _xlpm.check1, IF(AND(_xlpm.val = "", CZ$3="Required"), IF(OR('6 - TV Stands &amp; Enterta'!CZ$7 = "", '6 - TV Stands &amp; Enterta'!CZ$7 = "N/A"), "3:Drawer Glide Type &amp; Extension - Value is required", ""), ""))))))</f>
        <v/>
      </c>
      <c r="DA8" s="22">
        <f t="array" ref="DA8">_xlfn.MAP('6 - TV Stands &amp; Enterta'!B8:B507, '6 - TV Stands &amp; Enterta'!DA8:DA507, _xlfn.LAMBDA(_xlpm.part, _xlpm.val, IF(_xlpm.part = "", "", IF(AND(_xlpm.val = "", DA$3="Required"), IF(OR('6 - TV Stands &amp; Enterta'!DA$7 = "", '6 - TV Stands &amp; Enterta'!DA$7 = "N/A"), "3:Vent Type - Value is required", ""), ""))))</f>
        <v/>
      </c>
      <c r="DB8" s="22">
        <f t="array" ref="DB8">_xlfn.MAP('6 - TV Stands &amp; Enterta'!B8:B507, '6 - TV Stands &amp; Enterta'!DB8:DB507, '6 - TV Stands &amp; Enterta'!CA8:CA507, _xlfn.LAMBDA(_xlpm.part, _xlpm.val, _xlpm.dep1, IF(_xlpm.part = "", "", _xlfn.LET(_xlpm.check1, IF(AND(_xlpm.val = "", ISNUMBER(SEARCH("No", _xlpm.dep1))), "2:Autofill", ""), IF(LEN(_xlpm.check1) &gt; 0, _xlpm.check1, _xlfn.LET(_xlpm.check2, IF(NOT(ISBLANK(_xlpm.val)),_xlfn.LET(_xlpm.items, _xlfn.TEXTSPLIT(_xlpm.val, ";"),_xlpm.trimmed, _xlfn.MAP(_xlpm.items, _xlfn.LAMBDA(_xlpm.x, TRIM(_xlpm.x))),_xlpm.invalid, _xlfn._xlws.FILTER(_xlpm.trimmed, ISNA(MATCH(_xlpm.trimmed, allowed220265, 0)), ""),IF(AND(_xlpm.invalid&lt;&gt;"", COUNTA(_xlpm.invalid)&gt;0),"1:Please select valid values from the provided list. Answers are case-sensitive and must be separated by a semicolon.","")), ""), IF(LEN(_xlpm.check2) &gt; 0, _xlpm.check2, _xlfn.LET(_xlpm.check3, IF(ISNUMBER(SEARCH("No", _xlpm.dep1)), IF(_xlpm.val &lt;&gt; "Does Not Apply", "1:Based on Fireplace Included, value should be Does Not Apply", ""), ""), IF(LEN(_xlpm.check3) &gt; 0, _xlpm.check3, IF(AND(_xlpm.val = "", DB$3="Required"), IF(OR('6 - TV Stands &amp; Enterta'!DB$7 = "", '6 - TV Stands &amp; Enterta'!DB$7 = "N/A"), "3:Fuel Type - Value is required", ""), ""))))))))))</f>
        <v/>
      </c>
      <c r="DC8" s="22">
        <f t="array" ref="DC8">_xlfn.MAP('6 - TV Stands &amp; Enterta'!B8:B507, '6 - TV Stands &amp; Enterta'!DC8:DC507, _xlfn.LAMBDA(_xlpm.part, _xlpm.val, IF(_xlpm.part = "", "", IF(AND(_xlpm.val = "", DC$3="Required"), IF(OR('6 - TV Stands &amp; Enterta'!DC$7 = "", '6 - TV Stands &amp; Enterta'!DC$7 = "N/A"), "3:Door Design - Value is required", ""), ""))))</f>
        <v/>
      </c>
      <c r="DD8" s="22">
        <f t="array" ref="DD8">_xlfn.MAP('6 - TV Stands &amp; Enterta'!B8:B507, '6 - TV Stands &amp; Enterta'!DD8:DD507, _xlfn.LAMBDA(_xlpm.part, _xlpm.val, IF(_xlpm.part = "", "", IF(AND(_xlpm.val = "", DD$3="Required"), IF(OR('6 - TV Stands &amp; Enterta'!DD$7 = "", '6 - TV Stands &amp; Enterta'!DD$7 = "N/A"), "3:Ribbed Detailing - Value is required", ""), ""))))</f>
        <v/>
      </c>
      <c r="DE8" s="22">
        <f t="array" ref="DE8">_xlfn.MAP('6 - TV Stands &amp; Enterta'!B8:B507, '6 - TV Stands &amp; Enterta'!DE8:DE507, _xlfn.LAMBDA(_xlpm.part, _xlpm.val, IF(_xlpm.part = "", "", IF(AND(_xlpm.val = "", DE$3="Required"), IF(OR('6 - TV Stands &amp; Enterta'!DE$7 = "", '6 - TV Stands &amp; Enterta'!DE$7 = "N/A"), "3:Fluted Detailing - Value is required", ""), ""))))</f>
        <v/>
      </c>
      <c r="DF8" s="22">
        <f t="array" ref="DF8">_xlfn.MAP('6 - TV Stands &amp; Enterta'!B8:B507, '6 - TV Stands &amp; Enterta'!DF8:DF507, _xlfn.LAMBDA(_xlpm.part, _xlpm.val, IF(_xlpm.part = "", "", _xlfn.LET(_xlpm.check1, IF(NOT(ISBLANK(_xlpm.val)),_xlfn.LET(_xlpm.items, _xlfn.TEXTSPLIT(_xlpm.val, ";"),_xlpm.trimmed, _xlfn.MAP(_xlpm.items, _xlfn.LAMBDA(_xlpm.x, TRIM(_xlpm.x))),_xlpm.invalid, _xlfn._xlws.FILTER(_xlpm.trimmed, ISNA(MATCH(_xlpm.trimmed, allowed420139, 0)), ""),IF(AND(_xlpm.invalid&lt;&gt;"", COUNTA(_xlpm.invalid)&gt;0),"1:Please select valid values from the provided list. Answers are case-sensitive and must be separated by a semicolon.","")), ""), IF(LEN(_xlpm.check1) &gt; 0, _xlpm.check1, IF(AND(_xlpm.val = "", DF$3="Required"), IF(OR('6 - TV Stands &amp; Enterta'!DF$7 = "", '6 - TV Stands &amp; Enterta'!DF$7 = "N/A"), "3:Pieces Included - Value is required", ""), ""))))))</f>
        <v/>
      </c>
      <c r="DG8" s="22">
        <f t="array" ref="DG8">_xlfn.MAP('6 - TV Stands &amp; Enterta'!B8:B507, '6 - TV Stands &amp; Enterta'!DG8:DG507, '6 - TV Stands &amp; Enterta'!BK8:BK507, _xlfn.LAMBDA(_xlpm.part, _xlpm.val, _xlpm.dep1, IF(_xlpm.part = "", "", _xlfn.LET(_xlpm.check1, IF(AND(_xlpm.val = "", _xlpm.dep1 = "No"), "2:Autofill", ""), IF(LEN(_xlpm.check1) &gt; 0, _xlpm.check1, _xlfn.LET(_xlpm.check2, IF(_xlpm.dep1 = "No", IF(_xlpm.val &lt;&gt; "Does Not Apply", "1:Based on Cabinets Included, value should be Does Not Apply", ""), ""), IF(LEN(_xlpm.check2) &gt; 0, _xlpm.check2, IF(AND(_xlpm.val = "", DG$3="Required"), IF(OR('6 - TV Stands &amp; Enterta'!DG$7 = "", '6 - TV Stands &amp; Enterta'!DG$7 = "N/A"), "3:Number of Cabinets - Value is required", ""), ""))))))))</f>
        <v/>
      </c>
      <c r="DH8" s="22">
        <f t="array" ref="DH8">_xlfn.MAP('6 - TV Stands &amp; Enterta'!B8:B507, '6 - TV Stands &amp; Enterta'!DH8:DH507, _xlfn.LAMBDA(_xlpm.part, _xlpm.val, IF(_xlpm.part = "", "", IF(AND(_xlpm.val = "", DH$3="Required"), IF(OR('6 - TV Stands &amp; Enterta'!DH$7 = "", '6 - TV Stands &amp; Enterta'!DH$7 = "N/A"), "3:Drawer Safety Stop - Value is required", ""), ""))))</f>
        <v/>
      </c>
      <c r="DI8" s="22">
        <f t="array" ref="DI8">_xlfn.MAP('6 - TV Stands &amp; Enterta'!B8:B507, '6 - TV Stands &amp; Enterta'!DI8:DI507, _xlfn.LAMBDA(_xlpm.part, _xlpm.val, IF(_xlpm.part = "", "", IF(AND(_xlpm.val = "", DI$3="Required"), IF(OR('6 - TV Stands &amp; Enterta'!DI$7 = "", '6 - TV Stands &amp; Enterta'!DI$7 = "N/A"), "3:Fireplace Type - Value is required", ""), ""))))</f>
        <v/>
      </c>
      <c r="DJ8" s="22">
        <f t="array" ref="DJ8">_xlfn.MAP('6 - TV Stands &amp; Enterta'!B8:B507, '6 - TV Stands &amp; Enterta'!DJ8:DJ507, _xlfn.LAMBDA(_xlpm.part, _xlpm.val, IF(_xlpm.part = "", "", IF(AND(_xlpm.val = "", DJ$3="Required"), IF(OR('6 - TV Stands &amp; Enterta'!DJ$7 = "", '6 - TV Stands &amp; Enterta'!DJ$7 = "N/A"), "3:General Certificate of Conformity (GCC) - Value is required", ""), ""))))</f>
        <v/>
      </c>
      <c r="DK8" s="22">
        <f t="array" ref="DK8">_xlfn.MAP('6 - TV Stands &amp; Enterta'!B8:B507, '6 - TV Stands &amp; Enterta'!DK8:DK507, _xlfn.LAMBDA(_xlpm.part, _xlpm.val, IF(_xlpm.part = "", "", IF(AND(_xlpm.val = "", DK$3="Required"), IF(OR('6 - TV Stands &amp; Enterta'!DK$7 = "", '6 - TV Stands &amp; Enterta'!DK$7 = "N/A"), "3:Composite Wood Product (CWP) - Value is required", ""), ""))))</f>
        <v/>
      </c>
      <c r="DL8" s="22">
        <f t="array" ref="DL8">_xlfn.MAP('6 - TV Stands &amp; Enterta'!B8:B507, '6 - TV Stands &amp; Enterta'!DL8:DL507, '6 - TV Stands &amp; Enterta'!DK8:DK507, _xlfn.LAMBDA(_xlpm.part, _xlpm.val, _xlpm.dep1, IF(_xlpm.part = "", "", _xlfn.LET(_xlpm.check1, IF(AND(_xlpm.val = "", _xlpm.dep1 = "No"), "2:Autofill", ""), IF(LEN(_xlpm.check1) &gt; 0, _xlpm.check1, _xlfn.LET(_xlpm.check2, IF(_xlpm.dep1 = "No", IF(_xlpm.val &lt;&gt; "Does Not Apply", "1:Since Composite Wood Product (CWP) equals 'No', this value should be 'Does Not Apply'", ""), ""), IF(LEN(_xlpm.check2) &gt; 0, _xlpm.check2, _xlfn.LET(_xlpm.check3, IF(_xlpm.dep1 = "Yes", IF(_xlpm.val = "Does Not Apply", "1:Based on Composite Wood Product (CWP), value should not be Does Not Apply", ""), ""), IF(LEN(_xlpm.check3) &gt; 0, _xlpm.check3, _xlfn.LET(_xlpm.check4, IF(_xlpm.dep1 = "Yes", IF(_xlpm.val = "", IF(OR('6 - TV Stands &amp; Enterta'!DL$7 = "", '6 - TV Stands &amp; Enterta'!DL$7 = "N/A"), "3:Since Composite Wood Product (CWP) equals 'Yes', this field is required", ""), ""), ""), IF(LEN(_xlpm.check4) &gt; 0, _xlpm.check4, IF(AND(_xlpm.val = "", DL$3="Required"), IF(OR('6 - TV Stands &amp; Enterta'!DL$7 = "", '6 - TV Stands &amp; Enterta'!DL$7 = "N/A"), "3:CARB Phase II Compliant (formaldehyde emissions) - Value is required", ""), ""))))))))))))</f>
        <v/>
      </c>
      <c r="DM8" s="22">
        <f t="array" ref="DM8">_xlfn.MAP('6 - TV Stands &amp; Enterta'!B8:B507, '6 - TV Stands &amp; Enterta'!DM8:DM507, '6 - TV Stands &amp; Enterta'!DK8:DK507, _xlfn.LAMBDA(_xlpm.part, _xlpm.val, _xlpm.dep1, IF(_xlpm.part = "", "", _xlfn.LET(_xlpm.check1, IF(AND(_xlpm.val = "", _xlpm.dep1 = "No"), "2:Autofill", ""), IF(LEN(_xlpm.check1) &gt; 0, _xlpm.check1, _xlfn.LET(_xlpm.check2, IF(_xlpm.dep1 = "No", IF(_xlpm.val &lt;&gt; "Does Not Apply", "1:Since Composite Wood Product (CWP) equals 'No', this value should be 'Does Not Apply'", ""), ""), IF(LEN(_xlpm.check2) &gt; 0, _xlpm.check2, _xlfn.LET(_xlpm.check3, IF(_xlpm.dep1 = "Yes", IF(_xlpm.val = "Does Not Apply", "1:Based on Composite Wood Product (CWP), value should not be Does Not Apply", ""), ""), IF(LEN(_xlpm.check3) &gt; 0, _xlpm.check3, _xlfn.LET(_xlpm.check4, IF(_xlpm.dep1 = "Yes", IF(_xlpm.val = "", IF(OR('6 - TV Stands &amp; Enterta'!DM$7 = "", '6 - TV Stands &amp; Enterta'!DM$7 = "N/A"), "3:Since Composite Wood Product (CWP) equals 'Yes', this field is required", ""), ""), ""), IF(LEN(_xlpm.check4) &gt; 0, _xlpm.check4, IF(AND(_xlpm.val = "", DM$3="Required"), IF(OR('6 - TV Stands &amp; Enterta'!DM$7 = "", '6 - TV Stands &amp; Enterta'!DM$7 = "N/A"), "3:TSCA Title VI Compliant (formaldehyde emissions) - Value is required", ""), ""))))))))))))</f>
        <v/>
      </c>
      <c r="DN8" s="22">
        <f t="array" ref="DN8">_xlfn.MAP('6 - TV Stands &amp; Enterta'!B8:B507, '6 - TV Stands &amp; Enterta'!DN8:DN507, '6 - TV Stands &amp; Enterta'!DK8:DK507, _xlfn.LAMBDA(_xlpm.part, _xlpm.val, _xlpm.dep1, IF(_xlpm.part = "", "", _xlfn.LET(_xlpm.check1, IF(AND(_xlpm.val = "", _xlpm.dep1 = "No"), "2:Autofill", ""), IF(LEN(_xlpm.check1) &gt; 0, _xlpm.check1, _xlfn.LET(_xlpm.check2, IF(_xlpm.dep1 = "No", IF(_xlpm.val &lt;&gt; "Does Not Apply", "1:Since Composite Wood Product (CWP) equals 'No', this value should be 'Does Not Apply'", ""), ""), IF(LEN(_xlpm.check2) &gt; 0, _xlpm.check2, _xlfn.LET(_xlpm.check3, IF(_xlpm.dep1 = "Yes", IF(_xlpm.val = "Does Not Apply", "1:Based on Composite Wood Product (CWP), value should not be Does Not Apply", ""), ""), IF(LEN(_xlpm.check3) &gt; 0, _xlpm.check3, _xlfn.LET(_xlpm.check4, IF(_xlpm.dep1 = "Yes", IF(_xlpm.val = "", IF(OR('6 - TV Stands &amp; Enterta'!DN$7 = "", '6 - TV Stands &amp; Enterta'!DN$7 = "N/A"), "3:Since Composite Wood Product (CWP) equals 'Yes', this field is required", ""), ""), ""), IF(LEN(_xlpm.check4) &gt; 0, _xlpm.check4, IF(AND(_xlpm.val = "", DN$3="Required"), IF(OR('6 - TV Stands &amp; Enterta'!DN$7 = "", '6 - TV Stands &amp; Enterta'!DN$7 = "N/A"), "3:CANFER Compliant - Value is required", ""), ""))))))))))))</f>
        <v/>
      </c>
      <c r="DO8" s="22">
        <f t="array" ref="DO8">_xlfn.MAP('6 - TV Stands &amp; Enterta'!B8:B507, '6 - TV Stands &amp; Enterta'!DO8:DO507, _xlfn.LAMBDA(_xlpm.part, _xlpm.val, IF(_xlpm.part = "", "", IF(AND(_xlpm.val = "", DO$3="Required"), IF(OR('6 - TV Stands &amp; Enterta'!DO$7 = "", '6 - TV Stands &amp; Enterta'!DO$7 = "N/A"), "3:Uniform Packaging and Labeling Regulations (UPLR) Compliant - Value is required", ""), ""))))</f>
        <v/>
      </c>
      <c r="DP8" s="22">
        <f t="array" ref="DP8">_xlfn.MAP('6 - TV Stands &amp; Enterta'!B8:B507, '6 - TV Stands &amp; Enterta'!DP8:DP507, _xlfn.LAMBDA(_xlpm.part, _xlpm.val, IF(_xlpm.part = "", "", IF(AND(_xlpm.val = "", DP$3="Required"), IF(OR('6 - TV Stands &amp; Enterta'!DP$7 = "", '6 - TV Stands &amp; Enterta'!DP$7 = "N/A"), "3:Canada Product Restriction - Value is required", ""), ""))))</f>
        <v/>
      </c>
      <c r="DQ8" s="22">
        <f t="array" ref="DQ8">_xlfn.MAP('6 - TV Stands &amp; Enterta'!B8:B507, '6 - TV Stands &amp; Enterta'!DQ8:DQ507, '6 - TV Stands &amp; Enterta'!DP8:DP507, _xlfn.LAMBDA(_xlpm.part, _xlpm.val, _xlpm.dep1, IF(_xlpm.part = "", "", _xlfn.LET(_xlpm.check1, IF(AND(_xlpm.val = "", _xlpm.dep1 = "No"), "2:Autofill", ""), IF(LEN(_xlpm.check1) &gt; 0, _xlpm.check1, _xlfn.LET(_xlpm.check2, IF(_xlpm.dep1 = "No", IF(_xlpm.val &lt;&gt; "Does Not Apply", "1:Since Canada Product Restriction equals 'No', this value should be 'Does Not Apply'", ""), ""), IF(LEN(_xlpm.check2) &gt; 0, _xlpm.check2, _xlfn.LET(_xlpm.check3, IF(NOT(ISBLANK(_xlpm.val)),_xlfn.LET(_xlpm.items, _xlfn.TEXTSPLIT(_xlpm.val, ";"),_xlpm.trimmed, _xlfn.MAP(_xlpm.items, _xlfn.LAMBDA(_xlpm.x, TRIM(_xlpm.x))),_xlpm.invalid, _xlfn._xlws.FILTER(_xlpm.trimmed, ISNA(MATCH(_xlpm.trimmed, allowed251110, 0)), ""),IF(AND(_xlpm.invalid&lt;&gt;"", COUNTA(_xlpm.invalid)&gt;0),"1:Please select valid values from the provided list. Answers are case-sensitive and must be separated by a semicolon.","")), ""), IF(LEN(_xlpm.check3) &gt; 0, _xlpm.check3, _xlfn.LET(_xlpm.check4, IF(_xlpm.dep1 = "Yes", IF(_xlpm.val = "", IF(OR('6 - TV Stands &amp; Enterta'!DQ$7 = "", '6 - TV Stands &amp; Enterta'!DQ$7 = "N/A"), "3:Since Canada Product Restriction equals 'Yes', this field is required", ""), ""), ""), IF(LEN(_xlpm.check4) &gt; 0, _xlpm.check4, IF(AND(_xlpm.val = "", DQ$3="Required"), IF(OR('6 - TV Stands &amp; Enterta'!DQ$7 = "", '6 - TV Stands &amp; Enterta'!DQ$7 = "N/A"), "3:Reason for Restriction - Value is required", ""), ""))))))))))))</f>
        <v/>
      </c>
      <c r="DR8" s="22">
        <f t="array" ref="DR8">_xlfn.MAP('6 - TV Stands &amp; Enterta'!B8:B507, '6 - TV Stands &amp; Enterta'!DR8:DR507, _xlfn.LAMBDA(_xlpm.part, _xlpm.val, IF(_xlpm.part = "", "", IF(AND(_xlpm.val = "", DR$3="Required"), IF(OR('6 - TV Stands &amp; Enterta'!DR$7 = "", '6 - TV Stands &amp; Enterta'!DR$7 = "N/A"), "3:UL 1678 Listed - Value is required", ""), ""))))</f>
        <v/>
      </c>
      <c r="DS8" s="22">
        <f t="array" ref="DS8">_xlfn.MAP('6 - TV Stands &amp; Enterta'!B8:B507, '6 - TV Stands &amp; Enterta'!DS8:DS507, '6 - TV Stands &amp; Enterta'!CL8:CL507, _xlfn.LAMBDA(_xlpm.part, _xlpm.val, _xlpm.dep1, IF(_xlpm.part = "", "", _xlfn.LET(_xlpm.check1, IF(AND(_xlpm.val = "", OR(OR(ISNUMBER(SEARCH("Lead Acid (Spillable)", _xlpm.dep1)), ISNUMBER(SEARCH("Lead Acid (Non-Spillable)", _xlpm.dep1))), _xlpm.dep1 = "Lithium Metal", _xlpm.dep1 = "Lithium Ion / Lithium Polymer")), "2:Autofill", ""), IF(LEN(_xlpm.check1) &gt; 0, _xlpm.check1, _xlfn.LET(_xlpm.check2, IF(OR(ISNUMBER(SEARCH("Lead Acid (Spillable)", _xlpm.dep1)), ISNUMBER(SEARCH("Lead Acid (Non-Spillable)", _xlpm.dep1))), IF(_xlpm.val &lt;&gt; "Yes", "1:Based on Battery Composition, value should be Yes", ""), ""), IF(LEN(_xlpm.check2) &gt; 0, _xlpm.check2, _xlfn.LET(_xlpm.check3, IF(_xlpm.dep1 = "Lithium Metal", IF(_xlpm.val &lt;&gt; "Yes", "1:Based on Battery Composition, value should be Yes", ""), ""), IF(LEN(_xlpm.check3) &gt; 0, _xlpm.check3, _xlfn.LET(_xlpm.check4, IF(_xlpm.dep1 = "Lithium Ion / Lithium Polymer", IF(_xlpm.val &lt;&gt; "Yes", "1:Based on Battery Composition, value should be Yes", ""), ""), IF(LEN(_xlpm.check4) &gt; 0, _xlpm.check4, IF(AND(_xlpm.val = "", DS$3="Required"), IF(OR('6 - TV Stands &amp; Enterta'!DS$7 = "", '6 - TV Stands &amp; Enterta'!DS$7 = "N/A"), "3:Hazardous Material / Dangerous Goods - Value is required", ""), ""))))))))))))</f>
        <v/>
      </c>
      <c r="DT8" s="22">
        <f t="array" ref="DT8">_xlfn.MAP('6 - TV Stands &amp; Enterta'!B8:B507, '6 - TV Stands &amp; Enterta'!DT8:DT507, '6 - TV Stands &amp; Enterta'!DS8:DS507, _xlfn.LAMBDA(_xlpm.part, _xlpm.val, _xlpm.dep1, IF(_xlpm.part = "", "", _xlfn.LET(_xlpm.check1, IF(AND(_xlpm.val = "", _xlpm.dep1 = "No"), "2:Autofill", ""), IF(LEN(_xlpm.check1) &gt; 0, _xlpm.check1, _xlfn.LET(_xlpm.check2, IF(_xlpm.dep1 = "No", IF(_xlpm.val &lt;&gt; "Does Not Apply", "1:Since Hazardous Material / Dangerous Goods equals 'No', this value should be 'Does Not Apply'", ""), ""), IF(LEN(_xlpm.check2) &gt; 0, _xlpm.check2, _xlfn.LET(_xlpm.check3, IF(NOT(ISBLANK(_xlpm.val)),_xlfn.LET(_xlpm.items, _xlfn.TEXTSPLIT(_xlpm.val, ";"),_xlpm.trimmed, _xlfn.MAP(_xlpm.items, _xlfn.LAMBDA(_xlpm.x, TRIM(_xlpm.x))),_xlpm.invalid, _xlfn._xlws.FILTER(_xlpm.trimmed, ISNA(MATCH(_xlpm.trimmed, allowed373560, 0)), ""),IF(AND(_xlpm.invalid&lt;&gt;"", COUNTA(_xlpm.invalid)&gt;0),"1:Please select valid values from the provided list. Answers are case-sensitive and must be separated by a semicolon.","")), ""), IF(LEN(_xlpm.check3) &gt; 0, _xlpm.check3, _xlfn.LET(_xlpm.check4, IF(_xlpm.dep1 = "Yes", IF(_xlpm.val = "", IF(OR('6 - TV Stands &amp; Enterta'!DT$7 = "", '6 - TV Stands &amp; Enterta'!DT$7 = "N/A"), "3:Since Hazardous Material / Dangerous Goods equals 'Yes', this field is required", ""), ""), ""), IF(LEN(_xlpm.check4) &gt; 0, _xlpm.check4, IF(AND(_xlpm.val = "", DT$3="Required"), IF(OR('6 - TV Stands &amp; Enterta'!DT$7 = "", '6 - TV Stands &amp; Enterta'!DT$7 = "N/A"), "3:UN or ID number - Value is required", ""), ""))))))))))))</f>
        <v/>
      </c>
      <c r="DU8" s="22">
        <f t="array" ref="DU8">_xlfn.MAP('6 - TV Stands &amp; Enterta'!B8:B507, '6 - TV Stands &amp; Enterta'!DU8:DU507, '6 - TV Stands &amp; Enterta'!DS8:DS507, '6 - TV Stands &amp; Enterta'!DT8:DT507, _xlfn.LAMBDA(_xlpm.part, _xlpm.val, _xlpm.dep1, _xlpm.dep2, IF(_xlpm.part = "", "", _xlfn.LET(_xlpm.check1, IF(AND(_xlpm.val = "", OR(_xlpm.dep1 = "No", _xlpm.dep2 = "UN2800", _xlpm.dep2 = "ID8000", _xlpm.dep2 = "UN1013", _xlpm.dep2 = "UN3082", _xlpm.dep2 = "UN3077", _xlpm.dep2 = "UN2857", _xlpm.dep2 = "UN3358", _xlpm.dep2 = "UN1266", _xlpm.dep2 = "UN1993", _xlpm.dep2 = "UN1944", _xlpm.dep2 = "UN1070", _xlpm.dep2 = "UN1044", _xlpm.dep2 = "UN3163", _xlpm.dep2 = "UN1268", _xlpm.dep2 = "UN1760", _xlpm.dep2 = "UN1011", _xlpm.dep2 = "UN2794", _xlpm.dep2 = "UN1759", _xlpm.dep2 = "UN3171")), "2:Autofill", ""), IF(LEN(_xlpm.check1) &gt; 0, _xlpm.check1, _xlfn.LET(_xlpm.check2, IF(_xlpm.dep1 = "No", IF(_xlpm.val &lt;&gt; "Does Not Apply", "1:Since Hazardous Material / Dangerous Goods equals 'No', this value should be 'Does Not Apply'", ""), ""), IF(LEN(_xlpm.check2) &gt; 0, _xlpm.check2, _xlfn.LET(_xlpm.check3, IF(_xlpm.dep2 = "UN2800", IF(_xlpm.val &lt;&gt; "8", "1:Based on UN or ID number, value should be 8", ""), ""), IF(LEN(_xlpm.check3) &gt; 0, _xlpm.check3, _xlfn.LET(_xlpm.check4, IF(_xlpm.dep2 = "ID8000", IF(_xlpm.val &lt;&gt; "9", "1:Based on UN or ID number, value should be 9", ""), ""), IF(LEN(_xlpm.check4) &gt; 0, _xlpm.check4, _xlfn.LET(_xlpm.check5, IF(_xlpm.dep2 = "UN1013", IF(_xlpm.val &lt;&gt; "2.2", "1:Based on UN or ID number, value should be 2.2", ""), ""), IF(LEN(_xlpm.check5) &gt; 0, _xlpm.check5, _xlfn.LET(_xlpm.check6, IF(_xlpm.dep2 = "UN3082", IF(_xlpm.val &lt;&gt; "9", "1:Based on UN or ID number, value should be 9", ""), ""), IF(LEN(_xlpm.check6) &gt; 0, _xlpm.check6, _xlfn.LET(_xlpm.check7, IF(_xlpm.dep2 = "UN3077", IF(_xlpm.val &lt;&gt; "9", "1:Based on UN or ID number, value should be 9", ""), ""), IF(LEN(_xlpm.check7) &gt; 0, _xlpm.check7, _xlfn.LET(_xlpm.check8, IF(_xlpm.dep2 = "UN2857", IF(_xlpm.val &lt;&gt; "2.2", "1:Based on UN or ID number, value should be 2.2", ""), ""), IF(LEN(_xlpm.check8) &gt; 0, _xlpm.check8, _xlfn.LET(_xlpm.check9, IF(_xlpm.dep2 = "UN3358", IF(_xlpm.val &lt;&gt; "2.1", "1:Based on UN or ID number, value should be 2.1", ""), ""), IF(LEN(_xlpm.check9) &gt; 0, _xlpm.check9, _xlfn.LET(_xlpm.check10, IF(_xlpm.dep2 = "UN1266", IF(_xlpm.val &lt;&gt; "3", "1:Based on UN or ID number, value should be 3", ""), ""), IF(LEN(_xlpm.check10) &gt; 0, _xlpm.check10, _xlfn.LET(_xlpm.check11, IF(_xlpm.dep2 = "UN1993", IF(_xlpm.val &lt;&gt; "3", "1:Based on UN or ID number, value should be 3", ""), ""), IF(LEN(_xlpm.check11) &gt; 0, _xlpm.check11, _xlfn.LET(_xlpm.check12, IF(_xlpm.dep2 = "UN1944", IF(_xlpm.val &lt;&gt; "4.1", "1:Based on UN or ID number, value should be 4.1", ""), ""), IF(LEN(_xlpm.check12) &gt; 0, _xlpm.check12, _xlfn.LET(_xlpm.check13, IF(_xlpm.dep2 = "UN1070", IF(_xlpm.val &lt;&gt; "2.2", "1:Based on UN or ID number, value should be 2.2", ""), ""), IF(LEN(_xlpm.check13) &gt; 0, _xlpm.check13, _xlfn.LET(_xlpm.check14, IF(_xlpm.dep2 = "UN1044", IF(_xlpm.val &lt;&gt; "2.2", "1:Based on UN or ID number, value should be 2.2", ""), ""), IF(LEN(_xlpm.check14) &gt; 0, _xlpm.check14, _xlfn.LET(_xlpm.check15, IF(_xlpm.dep2 = "UN3163", IF(_xlpm.val &lt;&gt; "2.2", "1:Based on UN or ID number, value should be 2.2", ""), ""), IF(LEN(_xlpm.check15) &gt; 0, _xlpm.check15, _xlfn.LET(_xlpm.check16, IF(_xlpm.dep2 = "UN1268", IF(_xlpm.val &lt;&gt; "3", "1:Based on UN or ID number, value should be 3", ""), ""), IF(LEN(_xlpm.check16) &gt; 0, _xlpm.check16, _xlfn.LET(_xlpm.check17, IF(_xlpm.dep2 = "UN1760", IF(_xlpm.val &lt;&gt; "8", "1:Based on UN or ID number, value should be 8", ""), ""), IF(LEN(_xlpm.check17) &gt; 0, _xlpm.check17, _xlfn.LET(_xlpm.check18, IF(_xlpm.dep2 = "UN1011", IF(_xlpm.val &lt;&gt; "2.1", "1:Based on UN or ID number, value should be 2.1", ""), ""), IF(LEN(_xlpm.check18) &gt; 0, _xlpm.check18, _xlfn.LET(_xlpm.check19, IF(_xlpm.dep2 = "UN2794", IF(_xlpm.val &lt;&gt; "8", "1:Based on UN or ID number, value should be 8", ""), ""), IF(LEN(_xlpm.check19) &gt; 0, _xlpm.check19, _xlfn.LET(_xlpm.check20, IF(_xlpm.dep2 = "UN1759", IF(_xlpm.val &lt;&gt; "8", "1:Based on UN or ID number, value should be 8", ""), ""), IF(LEN(_xlpm.check20) &gt; 0, _xlpm.check20, _xlfn.LET(_xlpm.check21, IF(_xlpm.dep2 = "UN3171", IF(_xlpm.val &lt;&gt; "9", "1:Based on UN or ID number, value should be 9", ""), ""), IF(LEN(_xlpm.check21) &gt; 0, _xlpm.check21, _xlfn.LET(_xlpm.check22, IF(_xlpm.dep1 = "Yes", IF(_xlpm.val = "", IF(OR('6 - TV Stands &amp; Enterta'!DU$7 = "", '6 - TV Stands &amp; Enterta'!DU$7 = "N/A"), "3:Since Hazardous Material / Dangerous Goods equals 'Yes', this field is required", ""), ""), ""), IF(LEN(_xlpm.check22) &gt; 0, _xlpm.check22, IF(AND(_xlpm.val = "", DU$3="Required"), IF(OR('6 - TV Stands &amp; Enterta'!DU$7 = "", '6 - TV Stands &amp; Enterta'!DU$7 = "N/A"), "3:Hazard Class(es) - Value is required", ""), ""))))))))))))))))))))))))))))))))))))))))))))))))</f>
        <v/>
      </c>
      <c r="DV8" s="22">
        <f t="array" ref="DV8">_xlfn.MAP('6 - TV Stands &amp; Enterta'!B8:B507, '6 - TV Stands &amp; Enterta'!DV8:DV507, '6 - TV Stands &amp; Enterta'!DS8:DS507, '6 - TV Stands &amp; Enterta'!DT8:DT507, _xlfn.LAMBDA(_xlpm.part, _xlpm.val, _xlpm.dep1, _xlpm.dep2, IF(_xlpm.part = "", "", _xlfn.LET(_xlpm.check1, IF(AND(_xlpm.val = "", OR(_xlpm.dep1 = "No", _xlpm.dep2 = "UN2800", _xlpm.dep2 = "ID8000", _xlpm.dep2 = "UN1013", _xlpm.dep2 = "UN3082", _xlpm.dep2 = "UN3077", _xlpm.dep2 = "UN2857", _xlpm.dep2 = "UN3358", _xlpm.dep2 = "UN1944", _xlpm.dep2 = "UN1070", _xlpm.dep2 = "UN1044", _xlpm.dep2 = "UN3163", _xlpm.dep2 = "UN1011", _xlpm.dep2 = "UN2794", _xlpm.dep2 = "UN3171")), "2:Autofill", ""), IF(LEN(_xlpm.check1) &gt; 0, _xlpm.check1, _xlfn.LET(_xlpm.check2, IF(_xlpm.dep1 = "No", IF(_xlpm.val &lt;&gt; "Does Not Apply", "1:Since Hazardous Material / Dangerous Goods equals 'No', this value should be 'Does Not Apply'", ""), ""), IF(LEN(_xlpm.check2) &gt; 0, _xlpm.check2, _xlfn.LET(_xlpm.check3, IF(_xlpm.dep2 = "UN2800", IF(_xlpm.val &lt;&gt; "No Packing Group", "1:Based on UN or ID number, value should be No Packing Group", ""), ""), IF(LEN(_xlpm.check3) &gt; 0, _xlpm.check3, _xlfn.LET(_xlpm.check4, IF(_xlpm.dep2 = "ID8000", IF(_xlpm.val &lt;&gt; "No Packing Group", "1:Based on UN or ID number, value should be No Packing Group", ""), ""), IF(LEN(_xlpm.check4) &gt; 0, _xlpm.check4, _xlfn.LET(_xlpm.check5, IF(_xlpm.dep2 = "UN1013", IF(_xlpm.val &lt;&gt; "No Packing Group", "1:Based on UN or ID number, value should be No Packing Group", ""), ""), IF(LEN(_xlpm.check5) &gt; 0, _xlpm.check5, _xlfn.LET(_xlpm.check6, IF(_xlpm.dep2 = "UN3082", IF(_xlpm.val &lt;&gt; "III", "1:Based on UN or ID number, value should be III", ""), ""), IF(LEN(_xlpm.check6) &gt; 0, _xlpm.check6, _xlfn.LET(_xlpm.check7, IF(_xlpm.dep2 = "UN3077", IF(_xlpm.val &lt;&gt; "III", "1:Based on UN or ID number, value should be III", ""), ""), IF(LEN(_xlpm.check7) &gt; 0, _xlpm.check7, _xlfn.LET(_xlpm.check8, IF(_xlpm.dep2 = "UN2857", IF(_xlpm.val &lt;&gt; "No Packing Group", "1:Based on UN or ID number, value should be No Packing Group", ""), ""), IF(LEN(_xlpm.check8) &gt; 0, _xlpm.check8, _xlfn.LET(_xlpm.check9, IF(_xlpm.dep2 = "UN3358", IF(_xlpm.val &lt;&gt; "No Packing Group", "1:Based on UN or ID number, value should be No Packing Group", ""), ""), IF(LEN(_xlpm.check9) &gt; 0, _xlpm.check9, _xlfn.LET(_xlpm.check10, IF(_xlpm.dep2 = "UN1944", IF(_xlpm.val &lt;&gt; "III", "1:Based on UN or ID number, value should be III", ""), ""), IF(LEN(_xlpm.check10) &gt; 0, _xlpm.check10, _xlfn.LET(_xlpm.check11, IF(_xlpm.dep2 = "UN1070", IF(_xlpm.val &lt;&gt; "No Packing Group", "1:Based on UN or ID number, value should be No Packing Group", ""), ""), IF(LEN(_xlpm.check11) &gt; 0, _xlpm.check11, _xlfn.LET(_xlpm.check12, IF(_xlpm.dep2 = "UN1044", IF(_xlpm.val &lt;&gt; "No Packing Group", "1:Based on UN or ID number, value should be No Packing Group", ""), ""), IF(LEN(_xlpm.check12) &gt; 0, _xlpm.check12, _xlfn.LET(_xlpm.check13, IF(_xlpm.dep2 = "UN3163", IF(_xlpm.val &lt;&gt; "No Packing Group", "1:Based on UN or ID number, value should be No Packing Group", ""), ""), IF(LEN(_xlpm.check13) &gt; 0, _xlpm.check13, _xlfn.LET(_xlpm.check14, IF(_xlpm.dep2 = "UN1760", IF(_xlpm.val = "No Packing Group", "1:Based on UN or ID number, value should not be No Packing Group", ""), ""), IF(LEN(_xlpm.check14) &gt; 0, _xlpm.check14, _xlfn.LET(_xlpm.check15, IF(_xlpm.dep2 = "UN1011", IF(_xlpm.val &lt;&gt; "No Packing Group", "1:Based on UN or ID number, value should be No Packing Group", ""), ""), IF(LEN(_xlpm.check15) &gt; 0, _xlpm.check15, _xlfn.LET(_xlpm.check16, IF(_xlpm.dep2 = "UN2794", IF(_xlpm.val &lt;&gt; "No Packing Group", "1:Based on UN or ID number, value should be No Packing Group", ""), ""), IF(LEN(_xlpm.check16) &gt; 0, _xlpm.check16, _xlfn.LET(_xlpm.check17, IF(_xlpm.dep2 = "UN1759", IF(_xlpm.val = "No Packing Group", "1:Based on UN or ID number, value should not be No Packing Group", ""), ""), IF(LEN(_xlpm.check17) &gt; 0, _xlpm.check17, _xlfn.LET(_xlpm.check18, IF(_xlpm.dep2 = "UN3171", IF(_xlpm.val &lt;&gt; "No Packing Group", "1:Based on UN or ID number, value should be No Packing Group", ""), ""), IF(LEN(_xlpm.check18) &gt; 0, _xlpm.check18, _xlfn.LET(_xlpm.check19, IF(_xlpm.dep1 = "Yes", IF(_xlpm.val = "", IF(OR('6 - TV Stands &amp; Enterta'!DV$7 = "", '6 - TV Stands &amp; Enterta'!DV$7 = "N/A"), "3:Since Hazardous Material / Dangerous Goods equals 'Yes', this field is required", ""), ""), ""), IF(LEN(_xlpm.check19) &gt; 0, _xlpm.check19, IF(AND(_xlpm.val = "", DV$3="Required"), IF(OR('6 - TV Stands &amp; Enterta'!DV$7 = "", '6 - TV Stands &amp; Enterta'!DV$7 = "N/A"), "3:Packing Group - Value is required", ""), ""))))))))))))))))))))))))))))))))))))))))))</f>
        <v/>
      </c>
      <c r="DW8" s="22">
        <f t="array" ref="DW8">_xlfn.MAP('6 - TV Stands &amp; Enterta'!B8:B507, '6 - TV Stands &amp; Enterta'!DW8:DW507, '6 - TV Stands &amp; Enterta'!DS8:DS507, _xlfn.LAMBDA(_xlpm.part, _xlpm.val, _xlpm.dep1, IF(_xlpm.part = "", "", _xlfn.LET(_xlpm.check1, IF(AND(_xlpm.val = "", _xlpm.dep1 = "No"), "2:Autofill", ""), IF(LEN(_xlpm.check1) &gt; 0, _xlpm.check1, _xlfn.LET(_xlpm.check2, IF(_xlpm.dep1 = "No", IF(_xlpm.val &lt;&gt; "Does Not Apply", "1:Since Hazardous Material / Dangerous Goods equals 'No', this value should be 'Does Not Apply'", ""), ""), IF(LEN(_xlpm.check2) &gt; 0, _xlpm.check2, _xlfn.LET(_xlpm.check3, IF(_xlpm.dep1 = "Yes", IF(_xlpm.val = "", IF(OR('6 - TV Stands &amp; Enterta'!DW$7 = "", '6 - TV Stands &amp; Enterta'!DW$7 = "N/A"), "3:Since Hazardous Material / Dangerous Goods equals 'Yes', this field is required", ""), ""), ""), IF(LEN(_xlpm.check3) &gt; 0, _xlpm.check3, IF(AND(_xlpm.val = "", DW$3="Required"), IF(OR('6 - TV Stands &amp; Enterta'!DW$7 = "", '6 - TV Stands &amp; Enterta'!DW$7 = "N/A"), "3:Hazardous Material Weight - Value is required", ""), ""))))))))))</f>
        <v/>
      </c>
      <c r="DX8" s="22">
        <f t="array" ref="DX8">_xlfn.MAP('6 - TV Stands &amp; Enterta'!B8:B507, '6 - TV Stands &amp; Enterta'!DX8:DX507, _xlfn.LAMBDA(_xlpm.part, _xlpm.val, IF(_xlpm.part = "", "", IF(AND(_xlpm.val = "", DX$3="Required"), IF(OR('6 - TV Stands &amp; Enterta'!DX$7 = "", '6 - TV Stands &amp; Enterta'!DX$7 = "N/A"), "3:Energy Efficiency Regulations Compliant - Value is required", ""), ""))))</f>
        <v/>
      </c>
      <c r="DY8" s="22">
        <f t="array" ref="DY8">_xlfn.MAP('6 - TV Stands &amp; Enterta'!B8:B507, '6 - TV Stands &amp; Enterta'!DY8:DY507, '6 - TV Stands &amp; Enterta'!DB8:DB507, _xlfn.LAMBDA(_xlpm.part, _xlpm.val, _xlpm.dep1, IF(_xlpm.part = "", "", _xlfn.LET(_xlpm.check1, IF(OR(ISNUMBER(SEARCH("Electric", _xlpm.dep1)), ISNUMBER(SEARCH("Dual Fuel", _xlpm.dep1)), ISNUMBER(SEARCH("Induction", _xlpm.dep1)), ISNUMBER(SEARCH("Wood Pellets", _xlpm.dep1)), ISNUMBER(SEARCH("Natural Gas", _xlpm.dep1)), ISNUMBER(SEARCH("Liquid Propane", _xlpm.dep1)), ISNUMBER(SEARCH("Propane", _xlpm.dep1)), ISNUMBER(SEARCH("Butane", _xlpm.dep1))), IF(_xlpm.val = "Does Not Apply", "1:Based on Fuel Type, value should not be Does Not Apply", ""), ""), IF(LEN(_xlpm.check1) &gt; 0, _xlpm.check1, IF(AND(_xlpm.val = "", DY$3="Required"), IF(OR('6 - TV Stands &amp; Enterta'!DY$7 = "", '6 - TV Stands &amp; Enterta'!DY$7 = "N/A"), "3:Safety Listing(s) - Value is required", ""), ""))))))</f>
        <v/>
      </c>
      <c r="DZ8" s="22">
        <f t="array" ref="DZ8">_xlfn.MAP('6 - TV Stands &amp; Enterta'!B8:B507, '6 - TV Stands &amp; Enterta'!DZ8:DZ507, _xlfn.LAMBDA(_xlpm.part, _xlpm.val, IF(_xlpm.part = "", "", IF(AND(_xlpm.val = "", DZ$3="Required"), IF(OR('6 - TV Stands &amp; Enterta'!DZ$7 = "", '6 - TV Stands &amp; Enterta'!DZ$7 = "N/A"), "3:Safety Listing(s) Registration Number - Value is required", ""), ""))))</f>
        <v/>
      </c>
      <c r="EA8" s="22">
        <f t="array" ref="EA8">_xlfn.MAP('6 - TV Stands &amp; Enterta'!B8:B507, '6 - TV Stands &amp; Enterta'!EA8:EA507, _xlfn.LAMBDA(_xlpm.part, _xlpm.val, IF(_xlpm.part = "", "", IF(AND(_xlpm.val = "", EA$3="Required"), IF(OR('6 - TV Stands &amp; Enterta'!EA$7 = "", '6 - TV Stands &amp; Enterta'!EA$7 = "N/A"), "3:CPSC - 16 CFR 1263 Compliant (Reese's Law) - Value is required", ""), ""))))</f>
        <v/>
      </c>
      <c r="EB8" s="22">
        <f t="array" ref="EB8">_xlfn.MAP('6 - TV Stands &amp; Enterta'!B8:B507, '6 - TV Stands &amp; Enterta'!EB8:EB507, _xlfn.LAMBDA(_xlpm.part, _xlpm.val, IF(_xlpm.part = "", "", IF(AND(_xlpm.val = "", EB$3="Required"), IF(OR('6 - TV Stands &amp; Enterta'!EB$7 = "", '6 - TV Stands &amp; Enterta'!EB$7 = "N/A"), "3:ISTA Certified - Value is required", ""), ""))))</f>
        <v/>
      </c>
      <c r="EC8" s="22">
        <f t="array" ref="EC8">_xlfn.MAP('6 - TV Stands &amp; Enterta'!B8:B507, '6 - TV Stands &amp; Enterta'!EC8:EC507, _xlfn.LAMBDA(_xlpm.part, _xlpm.val, IF(_xlpm.part = "", "", IF(AND(_xlpm.val = "", EC$3="Required"), IF(OR('6 - TV Stands &amp; Enterta'!EC$7 = "", '6 - TV Stands &amp; Enterta'!EC$7 = "N/A"), "3:Sustainability &amp; Social Responsibility Certifications (North America Only) - Value is required", ""), ""))))</f>
        <v/>
      </c>
      <c r="ED8" s="22">
        <f t="array" ref="ED8">_xlfn.MAP('6 - TV Stands &amp; Enterta'!B8:B507, '6 - TV Stands &amp; Enterta'!ED8:ED507, _xlfn.LAMBDA(_xlpm.part, _xlpm.val, IF(_xlpm.part = "", "", IF(AND(_xlpm.val = "", ED$3="Required"), IF(OR('6 - TV Stands &amp; Enterta'!ED$7 = "", '6 - TV Stands &amp; Enterta'!ED$7 = "N/A"), "3:Commercial Certifications - Value is required", ""), ""))))</f>
        <v/>
      </c>
      <c r="EE8" s="22">
        <f t="array" ref="EE8">_xlfn.MAP('6 - TV Stands &amp; Enterta'!B8:B507, '6 - TV Stands &amp; Enterta'!EE8:EE507, '6 - TV Stands &amp; Enterta'!BG8:BG507, _xlfn.LAMBDA(_xlpm.part, _xlpm.val, _xlpm.dep1, IF(_xlpm.part = "", "", _xlfn.LET(_xlpm.check1, IF(AND(_xlpm.val = "", AND(NOT(ISNUMBER(SEARCH("TV Stand", _xlpm.dep1))), _xlpm.dep1 &lt;&gt; "")), "2:Autofill", ""), IF(LEN(_xlpm.check1) &gt; 0, _xlpm.check1, IF(AND(_xlpm.val = "", EE$3="Required"), IF(OR('6 - TV Stands &amp; Enterta'!EE$7 = "", '6 - TV Stands &amp; Enterta'!EE$7 = "N/A"), "3:TV Stand Width - Side to Side - Value is required", ""), ""))))))</f>
        <v/>
      </c>
      <c r="EF8" s="22">
        <f t="array" ref="EF8">_xlfn.MAP('6 - TV Stands &amp; Enterta'!B8:B507, '6 - TV Stands &amp; Enterta'!EF8:EF507, '6 - TV Stands &amp; Enterta'!BG8:BG507, _xlfn.LAMBDA(_xlpm.part, _xlpm.val, _xlpm.dep1, IF(_xlpm.part = "", "", _xlfn.LET(_xlpm.check1, IF(AND(_xlpm.val = "", AND(NOT(ISNUMBER(SEARCH("TV Stand", _xlpm.dep1))), _xlpm.dep1 &lt;&gt; "")), "2:Autofill", ""), IF(LEN(_xlpm.check1) &gt; 0, _xlpm.check1, IF(AND(_xlpm.val = "", EF$3="Required"), IF(OR('6 - TV Stands &amp; Enterta'!EF$7 = "", '6 - TV Stands &amp; Enterta'!EF$7 = "N/A"), "3:TV Stand Depth - Front to Back - Value is required", ""), ""))))))</f>
        <v/>
      </c>
      <c r="EG8" s="22">
        <f t="array" ref="EG8">_xlfn.MAP('6 - TV Stands &amp; Enterta'!B8:B507, '6 - TV Stands &amp; Enterta'!EG8:EG507, '6 - TV Stands &amp; Enterta'!BG8:BG507, _xlfn.LAMBDA(_xlpm.part, _xlpm.val, _xlpm.dep1, IF(_xlpm.part = "", "", _xlfn.LET(_xlpm.check1, IF(AND(_xlpm.val = "", AND(NOT(ISNUMBER(SEARCH("Entertainment Center", _xlpm.dep1))), _xlpm.dep1 &lt;&gt; "")), "2:Autofill", ""), IF(LEN(_xlpm.check1) &gt; 0, _xlpm.check1, IF(AND(_xlpm.val = "", EG$3="Required"), IF(OR('6 - TV Stands &amp; Enterta'!EG$7 = "", '6 - TV Stands &amp; Enterta'!EG$7 = "N/A"), "3:Overall Entertainment Center Height - Top to Bottom - Value is required", ""), ""))))))</f>
        <v/>
      </c>
      <c r="EH8" s="22">
        <f t="array" ref="EH8">_xlfn.MAP('6 - TV Stands &amp; Enterta'!B8:B507, '6 - TV Stands &amp; Enterta'!EH8:EH507, '6 - TV Stands &amp; Enterta'!BG8:BG507, _xlfn.LAMBDA(_xlpm.part, _xlpm.val, _xlpm.dep1, IF(_xlpm.part = "", "", _xlfn.LET(_xlpm.check1, IF(AND(_xlpm.val = "", AND(NOT(ISNUMBER(SEARCH("Entertainment Center", _xlpm.dep1))), _xlpm.dep1 &lt;&gt; "")), "2:Autofill", ""), IF(LEN(_xlpm.check1) &gt; 0, _xlpm.check1, IF(AND(_xlpm.val = "", EH$3="Required"), IF(OR('6 - TV Stands &amp; Enterta'!EH$7 = "", '6 - TV Stands &amp; Enterta'!EH$7 = "N/A"), "3:Overall Entertainment Center Width - Side to Side - Value is required", ""), ""))))))</f>
        <v/>
      </c>
      <c r="EI8" s="22">
        <f t="array" ref="EI8">_xlfn.MAP('6 - TV Stands &amp; Enterta'!B8:B507, '6 - TV Stands &amp; Enterta'!EI8:EI507, '6 - TV Stands &amp; Enterta'!BG8:BG507, _xlfn.LAMBDA(_xlpm.part, _xlpm.val, _xlpm.dep1, IF(_xlpm.part = "", "", _xlfn.LET(_xlpm.check1, IF(AND(_xlpm.val = "", AND(NOT(ISNUMBER(SEARCH("Entertainment Center", _xlpm.dep1))), _xlpm.dep1 &lt;&gt; "")), "2:Autofill", ""), IF(LEN(_xlpm.check1) &gt; 0, _xlpm.check1, IF(AND(_xlpm.val = "", EI$3="Required"), IF(OR('6 - TV Stands &amp; Enterta'!EI$7 = "", '6 - TV Stands &amp; Enterta'!EI$7 = "N/A"), "3:Overall Entertainment Center Depth - Front to Back - Value is required", ""), ""))))))</f>
        <v/>
      </c>
      <c r="EJ8" s="22">
        <f t="array" ref="EJ8">_xlfn.MAP('6 - TV Stands &amp; Enterta'!B8:B507, '6 - TV Stands &amp; Enterta'!EJ8:EJ507, _xlfn.LAMBDA(_xlpm.part, _xlpm.val, IF(_xlpm.part = "", "", IF(AND(_xlpm.val = "", EJ$3="Required"), IF(OR('6 - TV Stands &amp; Enterta'!EJ$7 = "", '6 - TV Stands &amp; Enterta'!EJ$7 = "N/A"), "3:Overall Product Weight - Value is required", ""), ""))))</f>
        <v/>
      </c>
      <c r="EK8" s="22">
        <f t="array" ref="EK8">_xlfn.MAP('6 - TV Stands &amp; Enterta'!B8:B507, '6 - TV Stands &amp; Enterta'!EK8:EK507, _xlfn.LAMBDA(_xlpm.part, _xlpm.val, IF(_xlpm.part = "", "", IF(AND(_xlpm.val = "", EK$3="Required"), IF(OR('6 - TV Stands &amp; Enterta'!EK$7 = "", '6 - TV Stands &amp; Enterta'!EK$7 = "N/A"), "3:Maximum TV Screen Size Accommodated - Value is required", ""), ""))))</f>
        <v/>
      </c>
      <c r="EL8" s="22">
        <f t="array" ref="EL8">_xlfn.MAP('6 - TV Stands &amp; Enterta'!B8:B507, '6 - TV Stands &amp; Enterta'!EL8:EL507, '6 - TV Stands &amp; Enterta'!BG8:BG507, _xlfn.LAMBDA(_xlpm.part, _xlpm.val, _xlpm.dep1, IF(_xlpm.part = "", "", _xlfn.LET(_xlpm.check1, IF(AND(_xlpm.val = "", AND(NOT(ISNUMBER(SEARCH("TV Stand", _xlpm.dep1))), _xlpm.dep1 &lt;&gt; "")), "2:Autofill", ""), IF(LEN(_xlpm.check1) &gt; 0, _xlpm.check1, IF(AND(_xlpm.val = "", EL$3="Required"), IF(OR('6 - TV Stands &amp; Enterta'!EL$7 = "", '6 - TV Stands &amp; Enterta'!EL$7 = "N/A"), "3:TV Stand Overall Height - Top to Bottom - Value is required", ""), ""))))))</f>
        <v/>
      </c>
      <c r="EM8" s="22">
        <f t="array" ref="EM8">_xlfn.MAP('6 - TV Stands &amp; Enterta'!B8:B507, '6 - TV Stands &amp; Enterta'!EM8:EM507, _xlfn.LAMBDA(_xlpm.part, _xlpm.val, IF(_xlpm.part = "", "", IF(AND(_xlpm.val = "", EM$3="Required"), IF(OR('6 - TV Stands &amp; Enterta'!EM$7 = "", '6 - TV Stands &amp; Enterta'!EM$7 = "N/A"), "3:Assembly Required - Value is required", ""), ""))))</f>
        <v/>
      </c>
      <c r="EN8" s="22">
        <f t="array" ref="EN8">_xlfn.MAP('6 - TV Stands &amp; Enterta'!B8:B507, '6 - TV Stands &amp; Enterta'!EN8:EN507, '6 - TV Stands &amp; Enterta'!EM8:EM507, _xlfn.LAMBDA(_xlpm.part, _xlpm.val, _xlpm.dep1, IF(_xlpm.part = "", "", _xlfn.LET(_xlpm.check1, IF(AND(_xlpm.val = "", _xlpm.dep1 = "No"), "2:Autofill", ""), IF(LEN(_xlpm.check1) &gt; 0, _xlpm.check1, _xlfn.LET(_xlpm.check2, IF(_xlpm.dep1 = "No", IF(_xlpm.val &lt;&gt; "No Assembly Needed", "1:Based on Assembly Required, value should be No Assembly Needed", ""), ""), IF(LEN(_xlpm.check2) &gt; 0, _xlpm.check2, IF(AND(_xlpm.val = "", EN$3="Required"), IF(OR('6 - TV Stands &amp; Enterta'!EN$7 = "", '6 - TV Stands &amp; Enterta'!EN$7 = "N/A"), "3:Level of Assembly - Value is required", ""), ""))))))))</f>
        <v/>
      </c>
      <c r="EO8" s="22">
        <f t="array" ref="EO8">_xlfn.MAP('6 - TV Stands &amp; Enterta'!B8:B507, '6 - TV Stands &amp; Enterta'!EO8:EO507, _xlfn.LAMBDA(_xlpm.part, _xlpm.val, IF(_xlpm.part = "", "", _xlfn.LET(_xlpm.check1, IF(NOT(ISBLANK(_xlpm.val)),_xlfn.LET(_xlpm.items, _xlfn.TEXTSPLIT(_xlpm.val, ";"),_xlpm.trimmed, _xlfn.MAP(_xlpm.items, _xlfn.LAMBDA(_xlpm.x, TRIM(_xlpm.x))),_xlpm.invalid, _xlfn._xlws.FILTER(_xlpm.trimmed, ISNA(MATCH(_xlpm.trimmed, allowed222778, 0)), ""),IF(AND(_xlpm.invalid&lt;&gt;"", COUNTA(_xlpm.invalid)&gt;0),"1:Please select valid values from the provided list. Answers are case-sensitive and must be separated by a semicolon.","")), ""), IF(LEN(_xlpm.check1) &gt; 0, _xlpm.check1, IF(AND(_xlpm.val = "", EO$3="Required"), IF(OR('6 - TV Stands &amp; Enterta'!EO$7 = "", '6 - TV Stands &amp; Enterta'!EO$7 = "N/A"), "3:Additional Tools Required (Not Included) - Value is required", ""), ""))))))</f>
        <v/>
      </c>
      <c r="EP8" s="22">
        <f t="array" ref="EP8">_xlfn.MAP('6 - TV Stands &amp; Enterta'!B8:B507, '6 - TV Stands &amp; Enterta'!EP8:EP507, _xlfn.LAMBDA(_xlpm.part, _xlpm.val, IF(_xlpm.part = "", "", IF(AND(_xlpm.val = "", EP$3="Required"), IF(OR('6 - TV Stands &amp; Enterta'!EP$7 = "", '6 - TV Stands &amp; Enterta'!EP$7 = "N/A"), "3:Commercial Warranty - Value is required", ""), ""))))</f>
        <v/>
      </c>
      <c r="EQ8" s="22">
        <f t="array" ref="EQ8">_xlfn.MAP('6 - TV Stands &amp; Enterta'!B8:B507, '6 - TV Stands &amp; Enterta'!EQ8:EQ507, '6 - TV Stands &amp; Enterta'!EP8:EP507, _xlfn.LAMBDA(_xlpm.part, _xlpm.val, _xlpm.dep1, IF(_xlpm.part = "", "", _xlfn.LET(_xlpm.check1, IF(AND(_xlpm.val = "", _xlpm.dep1 = "No"), "2:Autofill", ""), IF(LEN(_xlpm.check1) &gt; 0, _xlpm.check1, _xlfn.LET(_xlpm.check2, IF(_xlpm.dep1 = "No", IF(_xlpm.val &lt;&gt; "Does Not Apply", "1:Since Commercial Warranty equals 'No', this value should be 'Does Not Apply'", ""), ""), IF(LEN(_xlpm.check2) &gt; 0, _xlpm.check2, _xlfn.LET(_xlpm.check3, IF(_xlpm.dep1 = "Yes", IF(_xlpm.val = "", IF(OR('6 - TV Stands &amp; Enterta'!EQ$7 = "", '6 - TV Stands &amp; Enterta'!EQ$7 = "N/A"), "3:Since Commercial Warranty equals 'Yes', this field is required", ""), ""), ""), IF(LEN(_xlpm.check3) &gt; 0, _xlpm.check3, IF(AND(_xlpm.val = "", EQ$3="Required"), IF(OR('6 - TV Stands &amp; Enterta'!EQ$7 = "", '6 - TV Stands &amp; Enterta'!EQ$7 = "N/A"), "3:Commercial Warranty Length - Value is required", ""), ""))))))))))</f>
        <v/>
      </c>
      <c r="ER8" s="22">
        <f t="array" ref="ER8">_xlfn.MAP('6 - TV Stands &amp; Enterta'!B8:B507, '6 - TV Stands &amp; Enterta'!ER8:ER507, _xlfn.LAMBDA(_xlpm.part, _xlpm.val, IF(_xlpm.part = "", "", IF(AND(_xlpm.val = "", ER$3="Required"), IF(OR('6 - TV Stands &amp; Enterta'!ER$7 = "", '6 - TV Stands &amp; Enterta'!ER$7 = "N/A"), "3:Product Warranty - Value is required", ""), ""))))</f>
        <v/>
      </c>
      <c r="ES8" s="22">
        <f t="array" ref="ES8">_xlfn.MAP('6 - TV Stands &amp; Enterta'!B8:B507, '6 - TV Stands &amp; Enterta'!ES8:ES507, _xlfn.LAMBDA(_xlpm.part, _xlpm.val, IF(_xlpm.part = "", "", IF(AND(_xlpm.val = "", ES$3="Required"), IF(OR('6 - TV Stands &amp; Enterta'!ES$7 = "", '6 - TV Stands &amp; Enterta'!ES$7 = "N/A"), "3:Full or Limited Warranty - Value is required", ""), ""))))</f>
        <v/>
      </c>
      <c r="ET8" s="22">
        <f t="array" ref="ET8">_xlfn.MAP('6 - TV Stands &amp; Enterta'!B8:B507, '6 - TV Stands &amp; Enterta'!ET8:ET507, _xlfn.LAMBDA(_xlpm.part, _xlpm.val, IF(_xlpm.part = "", "", IF(AND(_xlpm.val = "", ET$3="Required"), IF(OR('6 - TV Stands &amp; Enterta'!ET$7 = "", '6 - TV Stands &amp; Enterta'!ET$7 = "N/A"), "3:Warranty Length - Value is required", ""), ""))))</f>
        <v/>
      </c>
    </row>
  </sheetData>
  <sheetProtection selectLockedCells="0" selectUnlockedCells="0" sheet="1" objects="1" insertRows="1" insertHyperlinks="1" autoFilter="1" scenarios="1" formatColumns="1" deleteColumns="1" insertColumns="1" pivotTables="1" deleteRows="1" formatCells="1" formatRows="1" sort="1" password="9D7B"/>
  <mergeCells count="8">
    <mergeCell ref="M2:R2"/>
    <mergeCell ref="J2:L2"/>
    <mergeCell ref="S2:AC2"/>
    <mergeCell ref="B2:I2"/>
    <mergeCell ref="AH2:AK2"/>
    <mergeCell ref="BG2:ET2"/>
    <mergeCell ref="AL2:BF2"/>
    <mergeCell ref="AD2:AG2"/>
  </mergeCells>
  <dataValidations count="153">
    <dataValidation sqref="D7" showDropDown="0" showInputMessage="1" showErrorMessage="1" allowBlank="1" errorTitle="Invalid Brand" error="The value provided is not a valid Brand." promptTitle="" prompt="If all products in this class consistently have the same answer, you can set a default value to apply automatically. For any exceptions, you can modify the answer for specific products without changing the default." type="list">
      <formula1>'WAYFAIR_USE_ONLY'!$BK$7:$BK7</formula1>
    </dataValidation>
    <dataValidation sqref="H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K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L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M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N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O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P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Q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R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S7" showDropDown="0" showInputMessage="1" showErrorMessage="1" allowBlank="0" errorTitle="Invalid Whole Number" error="The value provided is not a valid Whole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T7" showDropDown="0" showInputMessage="1" showErrorMessage="1" allowBlank="0" errorTitle="Invalid Whole Number" error="The value provided is not a valid Whole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U7" showDropDown="0" showInputMessage="1" showErrorMessage="1" allowBlank="0" errorTitle="Invalid Whole Number" error="The value provided is not a valid Whole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V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W7" showDropDown="0" showInputMessage="1" showErrorMessage="1" allowBlank="1" errorTitle="Invalid Ship Type" error="The value provided is not a valid Ship Type." promptTitle="" prompt="If all products in this class consistently have the same answer, you can set a default value to apply automatically. For any exceptions, you can modify the answer for specific products without changing the default." type="list">
      <formula1>'WAYFAIR_USE_ONLY'!$BQ$7:$BQ9</formula1>
    </dataValidation>
    <dataValidation sqref="X7" showDropDown="0" showInputMessage="1" showErrorMessage="1" allowBlank="1" errorTitle="Invalid Freight Class" error="The value provided is not a valid Freight Class." promptTitle="" prompt="If all products in this class consistently have the same answer, you can set a default value to apply automatically. For any exceptions, you can modify the answer for specific products without changing the default." type="list">
      <formula1>'WAYFAIR_USE_ONLY'!$BR$7:$BR25</formula1>
    </dataValidation>
    <dataValidation sqref="Y7" showDropDown="0" showInputMessage="1" showErrorMessage="1" allowBlank="1" errorTitle="Invalid Lead Time" error="The value provided is not a valid Lead Time." promptTitle="" prompt="If all products in this class consistently have the same answer, you can set a default value to apply automatically. For any exceptions, you can modify the answer for specific products without changing the default." type="list">
      <formula1>'WAYFAIR_USE_ONLY'!$BS$7:$BS24</formula1>
    </dataValidation>
    <dataValidation sqref="Z7" showDropDown="0" showInputMessage="1" showErrorMessage="1" allowBlank="1" errorTitle="Invalid Replacement Lead Time" error="The value provided is not a valid Replacement Lead Time." promptTitle="" prompt="If all products in this class consistently have the same answer, you can set a default value to apply automatically. For any exceptions, you can modify the answer for specific products without changing the default." type="list">
      <formula1>'WAYFAIR_USE_ONLY'!$BT$7:$BT13</formula1>
    </dataValidation>
    <dataValidation sqref="AA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B7" showDropDown="0" showInputMessage="1" showErrorMessage="1" allowBlank="1" errorTitle="Invalid Flat Pack" error="The value provided is not a valid Flat Pack." promptTitle="" prompt="If all products in this class consistently have the same answer, you can set a default value to apply automatically. For any exceptions, you can modify the answer for specific products without changing the default." type="list">
      <formula1>'WAYFAIR_USE_ONLY'!$BU$7:$BU9</formula1>
    </dataValidation>
    <dataValidation sqref="AC7" showDropDown="0" showInputMessage="1" showErrorMessage="1" allowBlank="1" errorTitle="Invalid Ship Palletized" error="The value provided is not a valid Ship Palletized." promptTitle="" prompt="If all products in this class consistently have the same answer, you can set a default value to apply automatically. For any exceptions, you can modify the answer for specific products without changing the default." type="list">
      <formula1>'WAYFAIR_USE_ONLY'!$BV$7:$BV9</formula1>
    </dataValidation>
    <dataValidation sqref="AD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E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F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G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H7" showDropDown="0" showInputMessage="1" showErrorMessage="1" allowBlank="1" errorTitle="Invalid Warning Required" error="The value provided is not a valid Warning Required." promptTitle="" prompt="If all products in this class consistently have the same answer, you can set a default value to apply automatically. For any exceptions, you can modify the answer for specific products without changing the default." type="list">
      <formula1>'WAYFAIR_USE_ONLY'!$BN$7:$BN9</formula1>
    </dataValidation>
    <dataValidation sqref="AI7" showDropDown="0" showInputMessage="1" showErrorMessage="1" allowBlank="1" errorTitle="Invalid Chemical" error="The value provided is not a valid Chemical." promptTitle="" prompt="If all products in this class consistently have the same answer, you can set a default value to apply automatically. For any exceptions, you can modify the answer for specific products without changing the default." type="list">
      <formula1>'WAYFAIR_USE_ONLY'!$BO$7:$BO908</formula1>
    </dataValidation>
    <dataValidation sqref="AJ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AK7" showDropDown="0" showInputMessage="1" showErrorMessage="1" allowBlank="1" errorTitle="Invalid Country Of Manufacturer" error="The value provided is not a valid Country Of Manufacturer." promptTitle="" prompt="If all products in this class consistently have the same answer, you can set a default value to apply automatically. For any exceptions, you can modify the answer for specific products without changing the default." type="list">
      <formula1>'WAYFAIR_USE_ONLY'!$BP$7:$BP254</formula1>
    </dataValidation>
    <dataValidation sqref="AR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S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AT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AU7" showDropDown="0" showInputMessage="1" showErrorMessage="1" allowBlank="1" errorTitle="Invalid Document Region" error="The value provided is not a valid Document Region." promptTitle="" prompt="If all products in this class consistently have the same answer, you can set a default value to apply automatically. For any exceptions, you can modify the answer for specific products without changing the default." type="list">
      <formula1>'WAYFAIR_USE_ONLY'!$BL$7:$BL11</formula1>
    </dataValidation>
    <dataValidation sqref="AV7" showDropDown="0" showInputMessage="1" showErrorMessage="1" allowBlank="1" errorTitle="Invalid Document Language" error="The value provided is not a valid Document Language." promptTitle="" prompt="If all products in this class consistently have the same answer, you can set a default value to apply automatically. For any exceptions, you can modify the answer for specific products without changing the default." type="list">
      <formula1>'WAYFAIR_USE_ONLY'!$BM$7:$BM36</formula1>
    </dataValidation>
    <dataValidation sqref="AW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X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AY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AZ7" showDropDown="0" showInputMessage="1" showErrorMessage="1" allowBlank="1" errorTitle="Invalid Document Region" error="The value provided is not a valid Document Region." promptTitle="" prompt="If all products in this class consistently have the same answer, you can set a default value to apply automatically. For any exceptions, you can modify the answer for specific products without changing the default." type="list">
      <formula1>'WAYFAIR_USE_ONLY'!$BL$7:$BL11</formula1>
    </dataValidation>
    <dataValidation sqref="BA7" showDropDown="0" showInputMessage="1" showErrorMessage="1" allowBlank="1" errorTitle="Invalid Document Language" error="The value provided is not a valid Document Language." promptTitle="" prompt="If all products in this class consistently have the same answer, you can set a default value to apply automatically. For any exceptions, you can modify the answer for specific products without changing the default." type="list">
      <formula1>'WAYFAIR_USE_ONLY'!$BM$7:$BM36</formula1>
    </dataValidation>
    <dataValidation sqref="BB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BC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D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E7" showDropDown="0" showInputMessage="1" showErrorMessage="1" allowBlank="1" errorTitle="Invalid Document Region" error="The value provided is not a valid Document Region." promptTitle="" prompt="If all products in this class consistently have the same answer, you can set a default value to apply automatically. For any exceptions, you can modify the answer for specific products without changing the default." type="list">
      <formula1>'WAYFAIR_USE_ONLY'!$BL$7:$BL11</formula1>
    </dataValidation>
    <dataValidation sqref="BF7" showDropDown="0" showInputMessage="1" showErrorMessage="1" allowBlank="1" errorTitle="Invalid Document Language" error="The value provided is not a valid Document Language." promptTitle="" prompt="If all products in this class consistently have the same answer, you can set a default value to apply automatically. For any exceptions, you can modify the answer for specific products without changing the default." type="list">
      <formula1>'WAYFAIR_USE_ONLY'!$BM$7:$BM36</formula1>
    </dataValidation>
    <dataValidation sqref="BG7" showDropDown="0" showInputMessage="1" showErrorMessage="1" allowBlank="1" errorTitle="Invalid Product Type" error="The value provided is not a valid Product Type. Would you like to provide a custom answer?" promptTitle="" prompt="If all products in this class consistently have the same answer, you can set a default value to apply automatically. For any exceptions, you can modify the answer for specific products without changing the default." type="list" errorStyle="warning">
      <formula1>'WAYFAIR_USE_ONLY'!$B$7:$B9</formula1>
    </dataValidation>
    <dataValidation sqref="BH7" showDropDown="0" showInputMessage="1" showErrorMessage="1" allowBlank="1" errorTitle="Invalid Pier / Bookcase Included" error="The value provided is not a valid Pier / Bookcase Included." promptTitle="" prompt="If all products in this class consistently have the same answer, you can set a default value to apply automatically. For any exceptions, you can modify the answer for specific products without changing the default." type="list">
      <formula1>'WAYFAIR_USE_ONLY'!$C$7:$C10</formula1>
    </dataValidation>
    <dataValidation sqref="BI7" showDropDown="0" showInputMessage="1" showErrorMessage="1" allowBlank="1" errorTitle="Invalid Drawers Included" error="The value provided is not a valid Drawers Included." promptTitle="" prompt="If all products in this class consistently have the same answer, you can set a default value to apply automatically. For any exceptions, you can modify the answer for specific products without changing the default." type="list">
      <formula1>'WAYFAIR_USE_ONLY'!$D$7:$D9</formula1>
    </dataValidation>
    <dataValidation sqref="BJ7" showDropDown="0" showInputMessage="1" showErrorMessage="1" allowBlank="0" errorTitle="Invalid Whole Number" error="The value provided is not a valid Whole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BK7" showDropDown="0" showInputMessage="1" showErrorMessage="1" allowBlank="1" errorTitle="Invalid Cabinets Included" error="The value provided is not a valid Cabinets Included." promptTitle="" prompt="If all products in this class consistently have the same answer, you can set a default value to apply automatically. For any exceptions, you can modify the answer for specific products without changing the default." type="list">
      <formula1>'WAYFAIR_USE_ONLY'!$E$7:$E9</formula1>
    </dataValidation>
    <dataValidation sqref="BL7" showDropDown="0" showInputMessage="1" showErrorMessage="1" allowBlank="1" errorTitle="Invalid Shelves Included" error="The value provided is not a valid Shelves Included." promptTitle="" prompt="If all products in this class consistently have the same answer, you can set a default value to apply automatically. For any exceptions, you can modify the answer for specific products without changing the default." type="list">
      <formula1>'WAYFAIR_USE_ONLY'!$F$7:$F10</formula1>
    </dataValidation>
    <dataValidation sqref="BM7" showDropDown="0" showInputMessage="1" showErrorMessage="1" allowBlank="1" errorTitle="Invalid Exterior Shelves Include" error="The value provided is not a valid Exterior Shelves Included." promptTitle="" prompt="If all products in this class consistently have the same answer, you can set a default value to apply automatically. For any exceptions, you can modify the answer for specific products without changing the default." type="list">
      <formula1>'WAYFAIR_USE_ONLY'!$G$7:$G9</formula1>
    </dataValidation>
    <dataValidation sqref="BN7" showDropDown="0" showInputMessage="1" showErrorMessage="1" allowBlank="1" errorTitle="Invalid Interior Shelves Include" error="The value provided is not a valid Interior Shelves Included." promptTitle="" prompt="If all products in this class consistently have the same answer, you can set a default value to apply automatically. For any exceptions, you can modify the answer for specific products without changing the default." type="list">
      <formula1>'WAYFAIR_USE_ONLY'!$H$7:$H10</formula1>
    </dataValidation>
    <dataValidation sqref="BO7" showDropDown="0" showInputMessage="1" showErrorMessage="1" allowBlank="1" errorTitle="Invalid Bridge Included" error="The value provided is not a valid Bridge Included." promptTitle="" prompt="If all products in this class consistently have the same answer, you can set a default value to apply automatically. For any exceptions, you can modify the answer for specific products without changing the default." type="list">
      <formula1>'WAYFAIR_USE_ONLY'!$I$7:$I10</formula1>
    </dataValidation>
    <dataValidation sqref="BP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Q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R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S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T7" showDropDown="0" showInputMessage="1" showErrorMessage="1" allowBlank="1" errorTitle="Invalid Gloss Finish" error="The value provided is not a valid Gloss Finish." promptTitle="" prompt="If all products in this class consistently have the same answer, you can set a default value to apply automatically. For any exceptions, you can modify the answer for specific products without changing the default." type="list">
      <formula1>'WAYFAIR_USE_ONLY'!$J$7:$J10</formula1>
    </dataValidation>
    <dataValidation sqref="BU7" showDropDown="0" showInputMessage="1" showErrorMessage="1" allowBlank="1" errorTitle="Invalid Mirrored" error="The value provided is not a valid Mirrored." promptTitle="" prompt="If all products in this class consistently have the same answer, you can set a default value to apply automatically. For any exceptions, you can modify the answer for specific products without changing the default." type="list">
      <formula1>'WAYFAIR_USE_ONLY'!$K$7:$K10</formula1>
    </dataValidation>
    <dataValidation sqref="BV7" showDropDown="0" showInputMessage="1" showErrorMessage="1" allowBlank="1" errorTitle="Invalid Sound Bar Shelf Included" error="The value provided is not a valid Sound Bar Shelf Included." promptTitle="" prompt="If all products in this class consistently have the same answer, you can set a default value to apply automatically. For any exceptions, you can modify the answer for specific products without changing the default." type="list">
      <formula1>'WAYFAIR_USE_ONLY'!$L$7:$L10</formula1>
    </dataValidation>
    <dataValidation sqref="BW7" showDropDown="0" showInputMessage="1" showErrorMessage="1" allowBlank="1" errorTitle="Invalid Adjustable Shelves" error="The value provided is not a valid Adjustable Shelves." promptTitle="" prompt="If all products in this class consistently have the same answer, you can set a default value to apply automatically. For any exceptions, you can modify the answer for specific products without changing the default." type="list">
      <formula1>'WAYFAIR_USE_ONLY'!$M$7:$M10</formula1>
    </dataValidation>
    <dataValidation sqref="BX7" showDropDown="0" showInputMessage="1" showErrorMessage="1" allowBlank="1" errorTitle="Invalid Media Storage Included" error="The value provided is not a valid Media Storage Included." promptTitle="" prompt="If all products in this class consistently have the same answer, you can set a default value to apply automatically. For any exceptions, you can modify the answer for specific products without changing the default." type="list">
      <formula1>'WAYFAIR_USE_ONLY'!$N$7:$N10</formula1>
    </dataValidation>
    <dataValidation sqref="BY7" showDropDown="0" showInputMessage="1" showErrorMessage="1" allowBlank="1" errorTitle="Invalid Cable Management" error="The value provided is not a valid Cable Management." promptTitle="" prompt="If all products in this class consistently have the same answer, you can set a default value to apply automatically. For any exceptions, you can modify the answer for specific products without changing the default." type="list">
      <formula1>'WAYFAIR_USE_ONLY'!$O$7:$O10</formula1>
    </dataValidation>
    <dataValidation sqref="BZ7" showDropDown="0" showInputMessage="1" showErrorMessage="1" allowBlank="1" errorTitle="Invalid Wheels / Casters Include" error="The value provided is not a valid Wheels / Casters Included." promptTitle="" prompt="If all products in this class consistently have the same answer, you can set a default value to apply automatically. For any exceptions, you can modify the answer for specific products without changing the default." type="list">
      <formula1>'WAYFAIR_USE_ONLY'!$P$7:$P9</formula1>
    </dataValidation>
    <dataValidation sqref="CA7" showDropDown="0" showInputMessage="1" showErrorMessage="1" allowBlank="1" errorTitle="Invalid Fireplace Included" error="The value provided is not a valid Fireplace Included." promptTitle="" prompt="If all products in this class consistently have the same answer, you can set a default value to apply automatically. For any exceptions, you can modify the answer for specific products without changing the default." type="list">
      <formula1>'WAYFAIR_USE_ONLY'!$Q$7:$Q9</formula1>
    </dataValidation>
    <dataValidation sqref="CB7" showDropDown="0" showInputMessage="1" showErrorMessage="1" allowBlank="1" errorTitle="Invalid Plug-In" error="The value provided is not a valid Plug-In." promptTitle="" prompt="If all products in this class consistently have the same answer, you can set a default value to apply automatically. For any exceptions, you can modify the answer for specific products without changing the default." type="list">
      <formula1>'WAYFAIR_USE_ONLY'!$R$7:$R9</formula1>
    </dataValidation>
    <dataValidation sqref="CC7" showDropDown="0" showInputMessage="1" showErrorMessage="1" allowBlank="1" errorTitle="Invalid Tipover Restraint Device" error="The value provided is not a valid Tipover Restraint Device Included." promptTitle="" prompt="If all products in this class consistently have the same answer, you can set a default value to apply automatically. For any exceptions, you can modify the answer for specific products without changing the default." type="list">
      <formula1>'WAYFAIR_USE_ONLY'!$S$7:$S9</formula1>
    </dataValidation>
    <dataValidation sqref="CD7" showDropDown="0" showInputMessage="1" showErrorMessage="1" allowBlank="1" errorTitle="Invalid Integrated TV Mount Incl" error="The value provided is not a valid Integrated TV Mount Included." promptTitle="" prompt="If all products in this class consistently have the same answer, you can set a default value to apply automatically. For any exceptions, you can modify the answer for specific products without changing the default." type="list">
      <formula1>'WAYFAIR_USE_ONLY'!$T$7:$T10</formula1>
    </dataValidation>
    <dataValidation sqref="CE7" showDropDown="0" showInputMessage="1" showErrorMessage="1" allowBlank="1" errorTitle="Invalid Adjustable Height" error="The value provided is not a valid Adjustable Height." promptTitle="" prompt="If all products in this class consistently have the same answer, you can set a default value to apply automatically. For any exceptions, you can modify the answer for specific products without changing the default." type="list">
      <formula1>'WAYFAIR_USE_ONLY'!$U$7:$U10</formula1>
    </dataValidation>
    <dataValidation sqref="CF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G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H7" showDropDown="0" showInputMessage="1" showErrorMessage="1" allowBlank="1" errorTitle="Invalid Main Wood Joinery Method" error="The value provided is not a valid Main Wood Joinery Method. Would you like to provide a custom answer?" promptTitle="" prompt="If all products in this class consistently have the same answer, you can set a default value to apply automatically. For any exceptions, you can modify the answer for specific products without changing the default." type="list" errorStyle="warning">
      <formula1>'WAYFAIR_USE_ONLY'!$V$7:$V26</formula1>
    </dataValidation>
    <dataValidation sqref="CI7" showDropDown="0" showInputMessage="1" showErrorMessage="1" allowBlank="1" errorTitle="Invalid Kiln-Dried Wood" error="The value provided is not a valid Kiln-Dried Wood." promptTitle="" prompt="If all products in this class consistently have the same answer, you can set a default value to apply automatically. For any exceptions, you can modify the answer for specific products without changing the default." type="list">
      <formula1>'WAYFAIR_USE_ONLY'!$W$7:$W11</formula1>
    </dataValidation>
    <dataValidation sqref="CJ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K7" showDropDown="0" showInputMessage="1" showErrorMessage="1" allowBlank="1" errorTitle="Invalid Battery or Batteries Inc" error="The value provided is not a valid Battery or Batteries Included." promptTitle="" prompt="If all products in this class consistently have the same answer, you can set a default value to apply automatically. For any exceptions, you can modify the answer for specific products without changing the default." type="list">
      <formula1>'WAYFAIR_USE_ONLY'!$AE$7:$AE10</formula1>
    </dataValidation>
    <dataValidation sqref="CL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CL7" showDropDown="0" showInputMessage="1" showErrorMessage="1" allowBlank="1" errorTitle="Invalid Battery Composition" error="The value provided is not a valid Battery Composition." promptTitle="" prompt="If all products in this class consistently have the same answer, you can set a default value to apply automatically. For any exceptions, you can modify the answer for specific products without changing the default." type="list">
      <formula1>'WAYFAIR_USE_ONLY'!$X$7:$X17</formula1>
    </dataValidation>
    <dataValidation sqref="CM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CM7" showDropDown="0" showInputMessage="1" showErrorMessage="1" allowBlank="1" errorTitle="Invalid Battery Type" error="The value provided is not a valid Battery Type." promptTitle="" prompt="If all products in this class consistently have the same answer, you can set a default value to apply automatically. For any exceptions, you can modify the answer for specific products without changing the default." type="list">
      <formula1>'WAYFAIR_USE_ONLY'!$Y$7:$Y11</formula1>
    </dataValidation>
    <dataValidation sqref="CN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CN7" showDropDown="0" showInputMessage="1" showErrorMessage="1" allowBlank="1" errorTitle="Invalid Number of Batteries" error="The value provided is not a valid Number of Batteries. Would you like to provide a custom answer?" promptTitle="" prompt="If all products in this class consistently have the same answer, you can set a default value to apply automatically. For any exceptions, you can modify the answer for specific products without changing the default." type="list" errorStyle="warning">
      <formula1>'WAYFAIR_USE_ONLY'!$Z$7:$Z19</formula1>
    </dataValidation>
    <dataValidation sqref="CO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CO7" showDropDown="0" showInputMessage="1" showErrorMessage="1" allowBlank="1" errorTitle="Invalid Battery Shipment" error="The value provided is not a valid Battery Shipment." promptTitle="" prompt="If all products in this class consistently have the same answer, you can set a default value to apply automatically. For any exceptions, you can modify the answer for specific products without changing the default." type="list">
      <formula1>'WAYFAIR_USE_ONLY'!$AA$7:$AA11</formula1>
    </dataValidation>
    <dataValidation sqref="CP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CP7" showDropDown="0" showInputMessage="1" showErrorMessage="1" allowBlank="1" errorTitle="Invalid Lithium Content" error="The value provided is not a valid Lithium Content." promptTitle="" prompt="If all products in this class consistently have the same answer, you can set a default value to apply automatically. For any exceptions, you can modify the answer for specific products without changing the default." type="list">
      <formula1>'WAYFAIR_USE_ONLY'!$AB$7:$AB14</formula1>
    </dataValidation>
    <dataValidation sqref="CQ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CQ7" showDropDown="0" showInputMessage="1" showErrorMessage="1" allowBlank="1" errorTitle="Invalid Watt Rating of Cells / B" error="The value provided is not a valid Watt Rating of Cells / Battery." promptTitle="" prompt="If all products in this class consistently have the same answer, you can set a default value to apply automatically. For any exceptions, you can modify the answer for specific products without changing the default." type="list">
      <formula1>'WAYFAIR_USE_ONLY'!$AC$7:$AC14</formula1>
    </dataValidation>
    <dataValidation sqref="CR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CR7" showDropDown="0" showInputMessage="1" showErrorMessage="1" allowBlank="1" errorTitle="Invalid Weight of Cells / Batter" error="The value provided is not a valid Weight of Cells / Battery." promptTitle="" prompt="If all products in this class consistently have the same answer, you can set a default value to apply automatically. For any exceptions, you can modify the answer for specific products without changing the default." type="list">
      <formula1>'WAYFAIR_USE_ONLY'!$AD$7:$AD12</formula1>
    </dataValidation>
    <dataValidation sqref="CS7" showDropDown="0" showInputMessage="1" showErrorMessage="1" allowBlank="1" errorTitle="Invalid Adjustable Temperature" error="The value provided is not a valid Adjustable Temperature." promptTitle="" prompt="If all products in this class consistently have the same answer, you can set a default value to apply automatically. For any exceptions, you can modify the answer for specific products without changing the default." type="list">
      <formula1>'WAYFAIR_USE_ONLY'!$AF$7:$AF11</formula1>
    </dataValidation>
    <dataValidation sqref="CT7" showDropDown="0" showInputMessage="1" showErrorMessage="1" allowBlank="1" errorTitle="Invalid Adjustable Flame" error="The value provided is not a valid Adjustable Flame." promptTitle="" prompt="If all products in this class consistently have the same answer, you can set a default value to apply automatically. For any exceptions, you can modify the answer for specific products without changing the default." type="list">
      <formula1>'WAYFAIR_USE_ONLY'!$AG$7:$AG10</formula1>
    </dataValidation>
    <dataValidation sqref="CU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CV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W7" showDropDown="0" showInputMessage="1" showErrorMessage="1" allowBlank="1" errorTitle="Invalid Unfinished" error="The value provided is not a valid Unfinished." promptTitle="" prompt="If all products in this class consistently have the same answer, you can set a default value to apply automatically. For any exceptions, you can modify the answer for specific products without changing the default." type="list">
      <formula1>'WAYFAIR_USE_ONLY'!$AH$7:$AH10</formula1>
    </dataValidation>
    <dataValidation sqref="CX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Y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Z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A7" showDropDown="0" showInputMessage="1" showErrorMessage="1" allowBlank="1" errorTitle="Invalid Vent Type" error="The value provided is not a valid Vent Type." promptTitle="" prompt="If all products in this class consistently have the same answer, you can set a default value to apply automatically. For any exceptions, you can modify the answer for specific products without changing the default." type="list">
      <formula1>'WAYFAIR_USE_ONLY'!$AI$7:$AI15</formula1>
    </dataValidation>
    <dataValidation sqref="DB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C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D7" showDropDown="0" showInputMessage="1" showErrorMessage="1" allowBlank="1" errorTitle="Invalid Ribbed Detailing" error="The value provided is not a valid Ribbed Detailing." promptTitle="" prompt="If all products in this class consistently have the same answer, you can set a default value to apply automatically. For any exceptions, you can modify the answer for specific products without changing the default." type="list">
      <formula1>'WAYFAIR_USE_ONLY'!$AJ$7:$AJ11</formula1>
    </dataValidation>
    <dataValidation sqref="DE7" showDropDown="0" showInputMessage="1" showErrorMessage="1" allowBlank="1" errorTitle="Invalid Fluted Detailing" error="The value provided is not a valid Fluted Detailing." promptTitle="" prompt="If all products in this class consistently have the same answer, you can set a default value to apply automatically. For any exceptions, you can modify the answer for specific products without changing the default." type="list">
      <formula1>'WAYFAIR_USE_ONLY'!$AK$7:$AK11</formula1>
    </dataValidation>
    <dataValidation sqref="DF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G7" showDropDown="0" showInputMessage="1" showErrorMessage="1" allowBlank="0" errorTitle="Invalid Whole Number" error="The value provided is not a valid Whole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DH7" showDropDown="0" showInputMessage="1" showErrorMessage="1" allowBlank="1" errorTitle="Invalid Drawer Safety Stop" error="The value provided is not a valid Drawer Safety Stop." promptTitle="" prompt="If all products in this class consistently have the same answer, you can set a default value to apply automatically. For any exceptions, you can modify the answer for specific products without changing the default." type="list">
      <formula1>'WAYFAIR_USE_ONLY'!$AL$7:$AL11</formula1>
    </dataValidation>
    <dataValidation sqref="DI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J7" showDropDown="0" showInputMessage="1" showErrorMessage="1" allowBlank="1" errorTitle="Invalid General Certificate of C" error="The value provided is not a valid General Certificate of Conformity (GCC)." promptTitle="" prompt="If all products in this class consistently have the same answer, you can set a default value to apply automatically. For any exceptions, you can modify the answer for specific products without changing the default." type="list">
      <formula1>'WAYFAIR_USE_ONLY'!$AM$7:$AM10</formula1>
    </dataValidation>
    <dataValidation sqref="DK7" showDropDown="0" showInputMessage="1" showErrorMessage="1" allowBlank="1" errorTitle="Invalid Composite Wood Product (" error="The value provided is not a valid Composite Wood Product (CWP)." promptTitle="" prompt="If all products in this class consistently have the same answer, you can set a default value to apply automatically. For any exceptions, you can modify the answer for specific products without changing the default." type="list">
      <formula1>'WAYFAIR_USE_ONLY'!$AQ$7:$AQ10</formula1>
    </dataValidation>
    <dataValidation sqref="DL4" showDropDown="0" showInputMessage="1" showErrorMessage="1" allowBlank="1" promptTitle="Class Specific Child Question" prompt="This Question is directly related to the tag &quot;Composite Wood Product (CWP) Your answer to the related question may influence which answers are accepted here."/>
    <dataValidation sqref="DL7" showDropDown="0" showInputMessage="1" showErrorMessage="1" allowBlank="1" errorTitle="Invalid CARB Phase II Compliant " error="The value provided is not a valid CARB Phase II Compliant (formaldehyde emissions)." promptTitle="" prompt="If all products in this class consistently have the same answer, you can set a default value to apply automatically. For any exceptions, you can modify the answer for specific products without changing the default." type="list">
      <formula1>'WAYFAIR_USE_ONLY'!$AN$7:$AN10</formula1>
    </dataValidation>
    <dataValidation sqref="DM4" showDropDown="0" showInputMessage="1" showErrorMessage="1" allowBlank="1" promptTitle="Class Specific Child Question" prompt="This Question is directly related to the tag &quot;Composite Wood Product (CWP) Your answer to the related question may influence which answers are accepted here."/>
    <dataValidation sqref="DM7" showDropDown="0" showInputMessage="1" showErrorMessage="1" allowBlank="1" errorTitle="Invalid TSCA Title VI Compliant " error="The value provided is not a valid TSCA Title VI Compliant (formaldehyde emissions)." promptTitle="" prompt="If all products in this class consistently have the same answer, you can set a default value to apply automatically. For any exceptions, you can modify the answer for specific products without changing the default." type="list">
      <formula1>'WAYFAIR_USE_ONLY'!$AO$7:$AO10</formula1>
    </dataValidation>
    <dataValidation sqref="DN4" showDropDown="0" showInputMessage="1" showErrorMessage="1" allowBlank="1" promptTitle="Class Specific Child Question" prompt="This Question is directly related to the tag &quot;Composite Wood Product (CWP) Your answer to the related question may influence which answers are accepted here."/>
    <dataValidation sqref="DN7" showDropDown="0" showInputMessage="1" showErrorMessage="1" allowBlank="1" errorTitle="Invalid CANFER Compliant" error="The value provided is not a valid CANFER Compliant." promptTitle="" prompt="If all products in this class consistently have the same answer, you can set a default value to apply automatically. For any exceptions, you can modify the answer for specific products without changing the default." type="list">
      <formula1>'WAYFAIR_USE_ONLY'!$AP$7:$AP11</formula1>
    </dataValidation>
    <dataValidation sqref="DO7" showDropDown="0" showInputMessage="1" showErrorMessage="1" allowBlank="1" errorTitle="Invalid Uniform Packaging and La" error="The value provided is not a valid Uniform Packaging and Labeling Regulations (UPLR) Compliant." promptTitle="" prompt="If all products in this class consistently have the same answer, you can set a default value to apply automatically. For any exceptions, you can modify the answer for specific products without changing the default." type="list">
      <formula1>'WAYFAIR_USE_ONLY'!$AR$7:$AR9</formula1>
    </dataValidation>
    <dataValidation sqref="DP7" showDropDown="0" showInputMessage="1" showErrorMessage="1" allowBlank="1" errorTitle="Invalid Canada Product Restricti" error="The value provided is not a valid Canada Product Restriction." promptTitle="" prompt="If all products in this class consistently have the same answer, you can set a default value to apply automatically. For any exceptions, you can modify the answer for specific products without changing the default." type="list">
      <formula1>'WAYFAIR_USE_ONLY'!$AS$7:$AS9</formula1>
    </dataValidation>
    <dataValidation sqref="DQ4" showDropDown="0" showInputMessage="1" showErrorMessage="1" allowBlank="1" promptTitle="Class Specific Child Question" prompt="This Question is directly related to the tag &quot;Canada Product Restriction Your answer to the related question may influence which answers are accepted here."/>
    <dataValidation sqref="DQ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R7" showDropDown="0" showInputMessage="1" showErrorMessage="1" allowBlank="1" errorTitle="Invalid UL 1678 Listed" error="The value provided is not a valid UL 1678 Listed." promptTitle="" prompt="If all products in this class consistently have the same answer, you can set a default value to apply automatically. For any exceptions, you can modify the answer for specific products without changing the default." type="list">
      <formula1>'WAYFAIR_USE_ONLY'!$AT$7:$AT11</formula1>
    </dataValidation>
    <dataValidation sqref="DS7" showDropDown="0" showInputMessage="1" showErrorMessage="1" allowBlank="1" errorTitle="Invalid Hazardous Material / Dan" error="The value provided is not a valid Hazardous Material / Dangerous Goods." promptTitle="" prompt="If all products in this class consistently have the same answer, you can set a default value to apply automatically. For any exceptions, you can modify the answer for specific products without changing the default." type="list">
      <formula1>'WAYFAIR_USE_ONLY'!$AX$7:$AX9</formula1>
    </dataValidation>
    <dataValidation sqref="DT4" showDropDown="0" showInputMessage="1" showErrorMessage="1" allowBlank="1" promptTitle="Class Specific Child Question" prompt="This Question is directly related to the tag &quot;Hazardous Material / Dangerous Goods Your answer to the related question may influence which answers are accepted here."/>
    <dataValidation sqref="DT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U4" showDropDown="0" showInputMessage="1" showErrorMessage="1" allowBlank="1" promptTitle="Class Specific Child Question" prompt="This Question is directly related to the tag &quot;Hazardous Material / Dangerous Goods Your answer to the related question may influence which answers are accepted here."/>
    <dataValidation sqref="DU7" showDropDown="0" showInputMessage="1" showErrorMessage="1" allowBlank="1" errorTitle="Invalid Hazard Class(es)" error="The value provided is not a valid Hazard Class(es)." promptTitle="" prompt="If all products in this class consistently have the same answer, you can set a default value to apply automatically. For any exceptions, you can modify the answer for specific products without changing the default." type="list">
      <formula1>'WAYFAIR_USE_ONLY'!$AU$7:$AU23</formula1>
    </dataValidation>
    <dataValidation sqref="DV4" showDropDown="0" showInputMessage="1" showErrorMessage="1" allowBlank="1" promptTitle="Class Specific Child Question" prompt="This Question is directly related to the tag &quot;Hazardous Material / Dangerous Goods Your answer to the related question may influence which answers are accepted here."/>
    <dataValidation sqref="DV7" showDropDown="0" showInputMessage="1" showErrorMessage="1" allowBlank="1" errorTitle="Invalid Packing Group" error="The value provided is not a valid Packing Group." promptTitle="" prompt="If all products in this class consistently have the same answer, you can set a default value to apply automatically. For any exceptions, you can modify the answer for specific products without changing the default." type="list">
      <formula1>'WAYFAIR_USE_ONLY'!$AV$7:$AV12</formula1>
    </dataValidation>
    <dataValidation sqref="DW4" showDropDown="0" showInputMessage="1" showErrorMessage="1" allowBlank="1" promptTitle="Class Specific Child Question" prompt="This Question is directly related to the tag &quot;Hazardous Material / Dangerous Goods Your answer to the related question may influence which answers are accepted here."/>
    <dataValidation sqref="DW7" showDropDown="0" showInputMessage="1" showErrorMessage="1" allowBlank="1" errorTitle="Invalid Hazardous Material Weigh" error="The value provided is not a valid Hazardous Material Weight." promptTitle="" prompt="If all products in this class consistently have the same answer, you can set a default value to apply automatically. For any exceptions, you can modify the answer for specific products without changing the default." type="list">
      <formula1>'WAYFAIR_USE_ONLY'!$AW$7:$AW19</formula1>
    </dataValidation>
    <dataValidation sqref="DX7" showDropDown="0" showInputMessage="1" showErrorMessage="1" allowBlank="1" errorTitle="Invalid Energy Efficiency Regula" error="The value provided is not a valid Energy Efficiency Regulations Compliant." promptTitle="" prompt="If all products in this class consistently have the same answer, you can set a default value to apply automatically. For any exceptions, you can modify the answer for specific products without changing the default." type="list">
      <formula1>'WAYFAIR_USE_ONLY'!$AY$7:$AY12</formula1>
    </dataValidation>
    <dataValidation sqref="DY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Z4" showDropDown="0" showInputMessage="1" showErrorMessage="1" allowBlank="1" promptTitle="Class Specific Child Question" prompt="This Question is directly related to the tag &quot;Safety Listing(s) Your answer to the related question may influence which answers are accepted here."/>
    <dataValidation sqref="DZ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EA7" showDropDown="0" showInputMessage="1" showErrorMessage="1" allowBlank="1" errorTitle="Invalid CPSC - 16 CFR 1263 Compl" error="The value provided is not a valid CPSC - 16 CFR 1263 Compliant (Reese's Law)." promptTitle="" prompt="If all products in this class consistently have the same answer, you can set a default value to apply automatically. For any exceptions, you can modify the answer for specific products without changing the default." type="list">
      <formula1>'WAYFAIR_USE_ONLY'!$AZ$7:$AZ11</formula1>
    </dataValidation>
    <dataValidation sqref="EB7" showDropDown="0" showInputMessage="1" showErrorMessage="1" allowBlank="1" errorTitle="Invalid ISTA Certified" error="The value provided is not a valid ISTA Certified." promptTitle="" prompt="If all products in this class consistently have the same answer, you can set a default value to apply automatically. For any exceptions, you can modify the answer for specific products without changing the default." type="list">
      <formula1>'WAYFAIR_USE_ONLY'!$BA$7:$BA10</formula1>
    </dataValidation>
    <dataValidation sqref="EC7" showDropDown="0" showInputMessage="1" showErrorMessage="1" allowBlank="1" errorTitle="Invalid Sustainability &amp; Social " error="The value provided is not a valid Sustainability &amp; Social Responsibility Certifications (North America Only)." promptTitle="" prompt="If all products in this class consistently have the same answer, you can set a default value to apply automatically. For any exceptions, you can modify the answer for specific products without changing the default." type="list">
      <formula1>'WAYFAIR_USE_ONLY'!$BB$7:$BB10</formula1>
    </dataValidation>
    <dataValidation sqref="ED7" showDropDown="0" showInputMessage="1" showErrorMessage="1" allowBlank="1" errorTitle="Invalid Commercial Certification" error="The value provided is not a valid Commercial Certifications." promptTitle="" prompt="If all products in this class consistently have the same answer, you can set a default value to apply automatically. For any exceptions, you can modify the answer for specific products without changing the default." type="list">
      <formula1>'WAYFAIR_USE_ONLY'!$BC$7:$BC12</formula1>
    </dataValidation>
    <dataValidation sqref="EE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EF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EG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EH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EI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EJ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EK7" showDropDown="0" showInputMessage="1" showErrorMessage="1" allowBlank="1" errorTitle="Invalid Maximum TV Screen Size A" error="The value provided is not a valid Maximum TV Screen Size Accommodated." promptTitle="" prompt="If all products in this class consistently have the same answer, you can set a default value to apply automatically. For any exceptions, you can modify the answer for specific products without changing the default." type="list">
      <formula1>'WAYFAIR_USE_ONLY'!$BD$7:$BD26</formula1>
    </dataValidation>
    <dataValidation sqref="EL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EM7" showDropDown="0" showInputMessage="1" showErrorMessage="1" allowBlank="1" errorTitle="Invalid Assembly Required" error="The value provided is not a valid Assembly Required." promptTitle="" prompt="If all products in this class consistently have the same answer, you can set a default value to apply automatically. For any exceptions, you can modify the answer for specific products without changing the default." type="list">
      <formula1>'WAYFAIR_USE_ONLY'!$BE$7:$BE9</formula1>
    </dataValidation>
    <dataValidation sqref="EN7" showDropDown="0" showInputMessage="1" showErrorMessage="1" allowBlank="1" errorTitle="Invalid Level of Assembly" error="The value provided is not a valid Level of Assembly." promptTitle="" prompt="If all products in this class consistently have the same answer, you can set a default value to apply automatically. For any exceptions, you can modify the answer for specific products without changing the default." type="list">
      <formula1>'WAYFAIR_USE_ONLY'!$BF$7:$BF11</formula1>
    </dataValidation>
    <dataValidation sqref="EO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EP7" showDropDown="0" showInputMessage="1" showErrorMessage="1" allowBlank="1" errorTitle="Invalid Commercial Warranty" error="The value provided is not a valid Commercial Warranty." promptTitle="" prompt="If all products in this class consistently have the same answer, you can set a default value to apply automatically. For any exceptions, you can modify the answer for specific products without changing the default." type="list">
      <formula1>'WAYFAIR_USE_ONLY'!$BH$7:$BH10</formula1>
    </dataValidation>
    <dataValidation sqref="EQ4" showDropDown="0" showInputMessage="1" showErrorMessage="1" allowBlank="1" promptTitle="Class Specific Child Question" prompt="This Question is directly related to the tag &quot;Commercial Warranty Your answer to the related question may influence which answers are accepted here."/>
    <dataValidation sqref="EQ7" showDropDown="0" showInputMessage="1" showErrorMessage="1" allowBlank="1" errorTitle="Invalid Commercial Warranty Leng" error="The value provided is not a valid Commercial Warranty Length." promptTitle="" prompt="If all products in this class consistently have the same answer, you can set a default value to apply automatically. For any exceptions, you can modify the answer for specific products without changing the default." type="list">
      <formula1>'WAYFAIR_USE_ONLY'!$BG$7:$BG32</formula1>
    </dataValidation>
    <dataValidation sqref="ER7" showDropDown="0" showInputMessage="1" showErrorMessage="1" allowBlank="1" errorTitle="Invalid Product Warranty" error="The value provided is not a valid Product Warranty." promptTitle="" prompt="If all products in this class consistently have the same answer, you can set a default value to apply automatically. For any exceptions, you can modify the answer for specific products without changing the default." type="list">
      <formula1>'WAYFAIR_USE_ONLY'!$BI$7:$BI9</formula1>
    </dataValidation>
    <dataValidation sqref="ES7" showDropDown="0" showInputMessage="1" showErrorMessage="1" allowBlank="1" errorTitle="Invalid Full or Limited Warranty" error="The value provided is not a valid Full or Limited Warranty." promptTitle="" prompt="If all products in this class consistently have the same answer, you can set a default value to apply automatically. For any exceptions, you can modify the answer for specific products without changing the default." type="list">
      <formula1>'WAYFAIR_USE_ONLY'!$BJ$7:$BJ10</formula1>
    </dataValidation>
    <dataValidation sqref="ET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s>
  <hyperlinks>
    <hyperlink ref="D6" location="'Valid Values'!A1" display="Select"/>
    <hyperlink ref="W6" location="'Valid Values'!B1" display="Select"/>
    <hyperlink ref="X6" location="'Valid Values'!C1" display="Select"/>
    <hyperlink ref="Y6" location="'Valid Values'!D1" display="Select"/>
    <hyperlink ref="Z6" location="'Valid Values'!E1" display="Select"/>
    <hyperlink ref="AI6" location="'Valid Values'!F1" display="Select"/>
    <hyperlink ref="AJ6" location="'Valid Values'!G1" display="Please choose one or more from the following, using a semicolon (;) to separate each value: Cancer; Developmental"/>
    <hyperlink ref="AK6" location="'Valid Values'!H1" display="Select"/>
    <hyperlink ref="AS6" location="'Valid Values'!I1" display="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
    <hyperlink ref="AT6" location="'Valid Values'!J1" display="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
    <hyperlink ref="AU6" location="'Valid Values'!K1" display="Select"/>
    <hyperlink ref="AV6" location="'Valid Values'!L1" display="Select"/>
    <hyperlink ref="AX6" location="'Valid Values'!I1" display="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
    <hyperlink ref="AY6" location="'Valid Values'!J1" display="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
    <hyperlink ref="AZ6" location="'Valid Values'!K1" display="Select"/>
    <hyperlink ref="BA6" location="'Valid Values'!L1" display="Select"/>
    <hyperlink ref="BC6" location="'Valid Values'!I1" display="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
    <hyperlink ref="BD6" location="'Valid Values'!J1" display="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
    <hyperlink ref="BE6" location="'Valid Values'!K1" display="Select"/>
    <hyperlink ref="BF6" location="'Valid Values'!L1" display="Select"/>
    <hyperlink ref="BG6" location="'Valid Values'!M1" display="Select"/>
    <hyperlink ref="BP6" location="'Valid Values'!N1" display="Please choose one or more from the following, using a semicolon (;) to separate each value: Cabinet/Enclosed storage; TV Stand Fireplace; Open shelving; Corner unit; Hutch; Piers; Floating mount; Standard; Demilune; Nesting; Apothecary; Multi-tiered; Floor; Corner; Basket Storage; Tabletop; Hanging; Bombe; Etagere; Wall Mounted; Double Walled; Console; Pedestal; Unavailable; Does Not Apply"/>
    <hyperlink ref="BQ6" location="'Valid Values'!O1" display="Please choose one or more from the following, using a semicolon (;) to separate each value: Glass; Stainless Steel; Cane; Raffia; Mango Wood; Aluminum; Manufactured Wood; Leather; Bamboo; Ceramic; Faux Leather; Iron; Marble / Granite; Metal; Plastic / Acrylic; Teak; Solid + Manufactured Wood; Steel; Solid Wood; Wicker; Reclaimed Wood"/>
    <hyperlink ref="BR6" location="'Valid Values'!P1" display="Please choose one or more from the following, using a semicolon (;) to separate each value: Distressed Leather; Paint Distressing; Distressed Grain Accents; Coat/Paint Distressing; Wormholes; No Natural Variation; No Distressing; Distressed Metal; Worn/Fade; Wood Scoring &amp; Rub Through; Unavailable"/>
    <hyperlink ref="BS6" location="'Valid Values'!Q1" display="Please choose one or more from the following, using a semicolon (;) to separate each value: No Natural Variation; Natural Wood Grain Color Variation; Weathered Steel; Wood Knots; Natural Stone Color Variation; Unavailable"/>
    <hyperlink ref="CC6" location="'Valid Values'!R1" display="Select"/>
    <hyperlink ref="CF6" location="'Valid Values'!S1" display="Please choose one or more from the following, using a semicolon (;) to separate each value: Non Residential Use; Residential Use"/>
    <hyperlink ref="CG6" location="'Valid Values'!T1" display="Please choose one or more from the following, using a semicolon (;) to separate each value: Made in USA; Made in USA of Imported Materials; Product of Canada; Made In Canada; Does Not Apply"/>
    <hyperlink ref="CH6" location="'Valid Values'!U1" display="Select"/>
    <hyperlink ref="CJ6" location="'Valid Values'!V1" display="Please choose one or more from the following, using a semicolon (;) to separate each value: Acacia; Alder; Ash; Bamboo; Beech; Birch; Camphor; Cedar; Cherry; Elm; Eucalyptus; Fir; Hickory; Mahogany; Mango; Maple; Oak; Pine; Poplar; Rosewood; Rubberwood; Sheesham; Spruce; Teak; Walnut; Wenge; Pecan; Shorea; Paulownia; Chestnut; Hemlock; Aspen; Mindi; Ipe; Olive; Ajo; Agarwood; Afzelia; Afrormosia; Bubinga; Brazilwood; Cumaru; Cedar, Mulanje; Cedar, Spanish; Aloewood; Lignum vitae; Mahogany, African; Mahogany, Mexican; Padauk, African; Macacauba; Ebony, Madagascar; Lignum vitae, Argentine; Gavilan; Mahogany, Honduran; Mahogany, Cuban; Stinkwood, red; Yew, Chinese; Pau rosa, Brazilian; Sandalwood, East African; Ramin; Zitan; Yew, Himalayan; Yew, Japanese; Rosewood, Siamese; Yew, Taiwan; Burlwood; Platane Wood; Sungkai; Does Not Apply"/>
    <hyperlink ref="CL6" location="'Valid Values'!W1" display="Select"/>
    <hyperlink ref="CM6" location="'Valid Values'!X1" display="Select"/>
    <hyperlink ref="CN6" location="'Valid Values'!Y1" display="Select"/>
    <hyperlink ref="CO6" location="'Valid Values'!Z1" display="Select"/>
    <hyperlink ref="CP6" location="'Valid Values'!AA1" display="Select"/>
    <hyperlink ref="CQ6" location="'Valid Values'!AB1" display="Select"/>
    <hyperlink ref="CR6" location="'Valid Values'!AC1" display="Select"/>
    <hyperlink ref="CV6" location="'Valid Values'!AD1" display="Please choose one or more from the following, using a semicolon (;) to separate each value: Hand wash recommended; Dishwasher safe; Spot clean only; Hand wash only; Delicate cycle; Commercial laundry safe; Do not use a fabric softener; Cold wash; Sweep / Dust Mop; Cut loose threads using a scissor; Clean with soap and water; Clean spills immediately; Dishwasher safe component; Lay flat to dry; Dryer safe; Warm wash; Non-Abrasive, Neutral Ph Cleaner; Commercial dishwasher safe; Vacuum with no beater bar/rotating brush; Air / Line Dry; Professional / Dry Clean Recommended; Wash With Garden Hose Or Pressure Washer; Machine washable components; Professional / Dry Clean Only; Vacuum with upholstery attachment; Vacuum with beater bar/rotating brush; Clean with bleach and water; Use product specific cleaner; Oil / seal / treat regularly; Shake to remove dust; Tumble dry; Iron safe; Wipe clean with a dry cloth; Cover when not in use; Avoid use of abrasive cleaners; Tile specific cleaner; Do not wash; Dust mop; Hose down; Towel dry immediately; Household floor cleaner; Spot clean; Wipe with wet cloth; Spot clean with water; When cushions are wet, open cushion zippers and prop up to dry in order to maintain quality; Oil 1-2 times per year; No washing / drying care; Do not bleach; Treat with wood protector; Do not dry clean; Clean with diluted vinegar and water; Store indoors or cover when not in use; Use carpet cleaner; Air dry cushions covers; Do not use bleach or bleach solutions; Rinse with water only; Dishwasher safe removable parts; Clean and re-seal with natural stone sealant; To prevent oil stains wipe with a damp cloth before using; After cleaning, use sealant; Apply oil to maintain color and prolong durability; Vacuum; Avoid direct sunlight; Dry after use; Use furniture pads; Apply epoxy clear coat once per year; Clean with cloth, mild soap, and warm water; Spot clean with mild detergent; Spot clean as needed; Automatic; Hot water extraction; Spot clean with dry cloth; Clean the product at least one time per month. We suggest the use of Rejuven"/>
    <hyperlink ref="CX6" location="'Valid Values'!AE1" display="Please choose one or more from the following, using a semicolon (;) to separate each value: Polyethylene; Steel; Wood Veneers; Polyvinyl Chloride (PVC); Polycarbonate; Stainless Steel; Marble; Solid + Manufactured Wood; Wood; Clear Glass; Stone; Glass; Melamine; Aluminum; Acrylic; Resin; Tinted Glass; Laminate; Metal; Wire; Mirrored; Plastic; Manufactured Wood; Glass / Polycarbonate; Wicker; Iron; Solid Wood; Granite; Unavailable; Does Not Apply"/>
    <hyperlink ref="CY6" location="'Valid Values'!AF1" display="Please choose one or more from the following, using a semicolon (;) to separate each value: Clear; Cream; Purple; Gold; Silver; Polished Chrome; Polished Nickel; Stainless Steel; Bronze; Chrome; Oil Rubbed Bronze; Matte Black; Satin Nickel; Brushed Nickel; Antique Brass; Antique Bronze; Copper; Antique Copper; Brushed Brass; Polished Brass; Brass; Satin Brass; Brushed Gold; Nickel; Ivory; Green; Orange; Beige; Teal; Red; Satin; Yellow; Pink; White; Brown; Blue; Satin Black; Rose Gold; Navy; Black; Tan; Gray; Brown Wood; Dark Brown Wood; Medium Yellow Wood; Espresso Wood; Medium Wood; Red Wood; Beige Wood; Natural Wood; Gray Wood; Light Yellow Wood; White Wood; Oak Wood"/>
    <hyperlink ref="CZ6" location="'Valid Values'!AG1" display="Please choose one or more from the following, using a semicolon (;) to separate each value: 0.6 Extension; Ball Bearing; Soft Close; Roller Glides; 0.75 Extension; Full Extension; Metal Slide; 0.5 Extension; Wood Slide; Center Slides; Kenlin; Side-Mounted Glides; Undermount Glides; Euro Glides; Unavailable; Does Not Apply"/>
    <hyperlink ref="DA6" location="'Valid Values'!AH1" display="Select"/>
    <hyperlink ref="DB6" location="'Valid Values'!AI1" display="Please choose one or more from the following, using a semicolon (;) to separate each value: Electric; Dual Fuel; Induction; Wood Pellets; Natural Gas; Liquid Propane; Wood Burning; Gel Fuel; Bio-Ethanol; Propane; Butane; Charcoal; Ethanol; Alcohol; Does Not Apply"/>
    <hyperlink ref="DC6" location="'Valid Values'!AJ1" display="Please choose one or more from the following, using a semicolon (;) to separate each value: Flush; Glass; Louvered; Paneled; Mirrored; Barn Doors; Frosted; Insulated; Contoured; Tinted; See Through; Double Pane; Does Not Apply"/>
    <hyperlink ref="DF6" location="'Valid Values'!AK1" display="Please choose one or more from the following, using a semicolon (;) to separate each value: Drawers; Fireplace; Hutch; Shelves; Bridge; Exterior Shelves; Fireplace Remote; Integrated TV Mount; Interior Shelves; Media Storage; Pier / Bookcase; Sound Bar Shelf; TV Anti-Tip Kit; Wheels / Casters; Cabinets; Unavailable; Does Not Apply"/>
    <hyperlink ref="DI6" location="'Valid Values'!AL1" display="Please choose one or more from the following, using a semicolon (;) to separate each value: Gel; Gas; Wood; Electric; Unavailable; Does Not Apply"/>
    <hyperlink ref="DJ6" location="'Valid Values'!AM1" display="Select"/>
    <hyperlink ref="DL6" location="'Valid Values'!AN1" display="Select"/>
    <hyperlink ref="DM6" location="'Valid Values'!AO1" display="Select"/>
    <hyperlink ref="DN6" location="'Valid Values'!AP1" display="Select"/>
    <hyperlink ref="DO6" location="'Valid Values'!AQ1" display="Select"/>
    <hyperlink ref="DQ6" location="'Valid Values'!AR1" display="Please choose one or more from the following, using a semicolon (;) to separate each value: Dual Language; Distribution Conflict; Logistics; Does Not Apply"/>
    <hyperlink ref="DR6" location="'Valid Values'!AS1" display="Select"/>
    <hyperlink ref="DT6" location="'Valid Values'!AT1" display="Please choose one or more from the following, using a semicolon (;) to separate each value: UN3091; UN3481; UN2800; UN1950; UN3496; ID8000; UN1013; UN3082; UN3077; UN3480; UN2857; UN3358; UN3090; UN1266; UN1993; UN1944; UN1070; UN1044; UN3163; UN1268; UN1760; UN1011; UN2794; UN1759; UN3171; UN1987; UN1263; UN1170; UN3265; UN3260; UN3215; UN1006; UN3175; Does Not Apply"/>
    <hyperlink ref="DU6" location="'Valid Values'!AU1" display="Select"/>
    <hyperlink ref="DV6" location="'Valid Values'!AV1" display="Select"/>
    <hyperlink ref="DW6" location="'Valid Values'!AW1" display="Select"/>
    <hyperlink ref="DX6" location="'Valid Values'!AX1" display="Select"/>
    <hyperlink ref="DY6" location="'Valid Values'!AY1" display="Please choose one or more from the following, using a semicolon (;) to separate each value: TÜV Rheinland Certified; MET Listed; AFNOR UK Ltd; BSI Assurance UK Ltd; cUL Listed; ETL Listed; DBI Certification Ltd; UL Listed; cETL Listed; CSA Certified; SGS North America Listed; Does Not Apply"/>
    <hyperlink ref="EA6" location="'Valid Values'!AZ1" display="Select"/>
    <hyperlink ref="EB6" location="'Valid Values'!BA1" display="Select"/>
    <hyperlink ref="ED6" location="'Valid Values'!BB1" display="Select"/>
    <hyperlink ref="EK6" location="'Valid Values'!BC1" display="Select"/>
    <hyperlink ref="EN6" location="'Valid Values'!BD1" display="Select"/>
    <hyperlink ref="EO6" location="'Valid Values'!BE1" display="Please choose one or more from the following, using a semicolon (;) to separate each value: All Tools Included; Tool Free Assembly; Screwdriver; Allen Wrench; Adjustable Wrench; Socket Wrench; Power Drill; Hammer; Pliers; Ratchet; Utility Saw; Saw; Measuring Tape; Mallet; Level; Box Cutter; Caulk / Adhesive; Anchors / Stakes; Clamps; Drill Bit; Gloves; Hex Key; Glass Cutter; Chop Saw; Circular Saw; Phillips Head Screwdriver; Crescent Wrench; Flat Screwdriver; Adhesive Roller / Tray; Shovel; Drill; Smoother / Squeegee; Ladder; Wire Stripper; Razor Knife; Pencil; Electric Drill; Screw Gun; Scissors; Ruler; Safety Glasses; Utility Knife; Rope; Ear Protection; Stud Finder; Wrench; Tape Measure; Screws; Wire Cap; Hammer / Mallet; Chalk Line; Landscaping Fabric; No Tools Needed; Tile Cutter; Straight Edge; Silicone; Wet Saw; Torx Bit; Unavailable; Does Not Apply"/>
    <hyperlink ref="EQ6" location="'Valid Values'!BF1" display="Select"/>
    <hyperlink ref="ES6" location="'Valid Values'!BG1" display="Select"/>
    <hyperlink ref="ET6" location="'Valid Values'!BH1" display="Please choose one or more from the following, using a semicolon (;) to separate each value: 30 Days; 60 Days; 90 Days; 6 Months; 1 Year; 2 Years; 3 Years; 5 Years; 10 Years; 20 Years; 25 Years; Lifetime; Warranty length varies by part; 15 Years; 18 Months; 12 Years; 6 Years; 4 Years; 8 Years; 7 Years; Does Not Apply"/>
  </hyperlinks>
  <pageMargins left="0.7" right="0.7" top="0.75" bottom="0.75" header="0.3" footer="0.3"/>
  <legacyDrawing xmlns:r="http://schemas.openxmlformats.org/officeDocument/2006/relationships" r:id="anysvml"/>
</worksheet>
</file>

<file path=xl/worksheets/sheet6.xml><?xml version="1.0" encoding="utf-8"?>
<worksheet xmlns="http://schemas.openxmlformats.org/spreadsheetml/2006/main">
  <sheetPr>
    <outlinePr summaryBelow="1" summaryRight="1"/>
    <pageSetUpPr/>
  </sheetPr>
  <dimension ref="A1:ET8"/>
  <sheetViews>
    <sheetView workbookViewId="0">
      <selection activeCell="A1" sqref="A1"/>
    </sheetView>
  </sheetViews>
  <sheetFormatPr baseColWidth="8" defaultRowHeight="15"/>
  <cols>
    <col width="25.7109375" customWidth="1" style="22" min="2" max="2"/>
    <col width="30.7109375" customWidth="1" style="22" min="3" max="3"/>
    <col width="10.7109375" customWidth="1" style="22" min="4" max="4"/>
    <col width="29.7109375" customWidth="1" style="22" min="5" max="5"/>
    <col width="27.7109375" customWidth="1" style="22" min="6" max="6"/>
    <col width="17.7109375" customWidth="1" style="22" min="7" max="7"/>
    <col width="20.7109375" customWidth="1" style="22" min="8" max="8"/>
    <col width="29.7109375" customWidth="1" style="22" min="9" max="9"/>
    <col width="14.7109375" customWidth="1" style="22" min="10" max="10"/>
    <col width="29.7109375" customWidth="1" style="22" min="11" max="11"/>
    <col width="40.7109375" customWidth="1" style="22" min="12" max="12"/>
    <col width="19.7109375" customWidth="1" style="22" min="13" max="13"/>
    <col width="21.7109375" customWidth="1" style="22" min="14" max="18"/>
    <col width="27.7109375" customWidth="1" style="22" min="19" max="19"/>
    <col width="30.7109375" customWidth="1" style="22" min="20" max="20"/>
    <col width="25.7109375" customWidth="1" style="22" min="21" max="21"/>
    <col width="19.7109375" customWidth="1" style="22" min="22" max="22"/>
    <col width="14.7109375" customWidth="1" style="22" min="23" max="23"/>
    <col width="18.7109375" customWidth="1" style="22" min="24" max="24"/>
    <col width="14.7109375" customWidth="1" style="22" min="25" max="25"/>
    <col width="26.7109375" customWidth="1" style="22" min="26" max="26"/>
    <col width="33.7109375" customWidth="1" style="22" min="27" max="27"/>
    <col width="14.7109375" customWidth="1" style="22" min="28" max="28"/>
    <col width="20.7109375" customWidth="1" style="22" min="29" max="31"/>
    <col width="19.7109375" customWidth="1" style="22" min="32" max="33"/>
    <col width="21.7109375" customWidth="1" style="22" min="34" max="34"/>
    <col width="15.7109375" customWidth="1" style="22" min="35" max="36"/>
    <col width="28.7109375" customWidth="1" style="22" min="37" max="37"/>
    <col width="29.7109375" customWidth="1" style="22" min="38" max="43"/>
    <col width="32.7109375" customWidth="1" style="22" min="44" max="44"/>
    <col width="20.7109375" customWidth="1" style="22" min="45" max="45"/>
    <col width="26.7109375" customWidth="1" style="22" min="46" max="46"/>
    <col width="22.7109375" customWidth="1" style="22" min="47" max="47"/>
    <col width="24.7109375" customWidth="1" style="22" min="48" max="48"/>
    <col width="32.7109375" customWidth="1" style="22" min="49" max="49"/>
    <col width="20.7109375" customWidth="1" style="22" min="50" max="50"/>
    <col width="26.7109375" customWidth="1" style="22" min="51" max="51"/>
    <col width="22.7109375" customWidth="1" style="22" min="52" max="52"/>
    <col width="24.7109375" customWidth="1" style="22" min="53" max="53"/>
    <col width="32.7109375" customWidth="1" style="22" min="54" max="54"/>
    <col width="20.7109375" customWidth="1" style="22" min="55" max="55"/>
    <col width="26.7109375" customWidth="1" style="22" min="56" max="56"/>
    <col width="22.7109375" customWidth="1" style="22" min="57" max="57"/>
    <col width="24.7109375" customWidth="1" style="22" min="58" max="58"/>
    <col width="17.7109375" customWidth="1" style="22" min="59" max="59"/>
    <col width="29.7109375" customWidth="1" style="22" min="60" max="60"/>
    <col width="21.7109375" customWidth="1" style="22" min="61" max="61"/>
    <col width="22.7109375" customWidth="1" style="22" min="62" max="63"/>
    <col width="21.7109375" customWidth="1" style="22" min="64" max="64"/>
    <col width="30.7109375" customWidth="1" style="22" min="65" max="66"/>
    <col width="20.7109375" customWidth="1" style="22" min="67" max="67"/>
    <col width="21.7109375" customWidth="1" style="22" min="68" max="68"/>
    <col width="13.7109375" customWidth="1" style="22" min="69" max="69"/>
    <col width="32.7109375" customWidth="1" style="22" min="70" max="70"/>
    <col width="27.7109375" customWidth="1" style="22" min="71" max="71"/>
    <col width="17.7109375" customWidth="1" style="22" min="72" max="72"/>
    <col width="13.7109375" customWidth="1" style="22" min="73" max="73"/>
    <col width="29.7109375" customWidth="1" style="22" min="74" max="74"/>
    <col width="23.7109375" customWidth="1" style="22" min="75" max="75"/>
    <col width="27.7109375" customWidth="1" style="22" min="76" max="76"/>
    <col width="21.7109375" customWidth="1" style="22" min="77" max="77"/>
    <col width="30.7109375" customWidth="1" style="22" min="78" max="78"/>
    <col width="23.7109375" customWidth="1" style="22" min="79" max="79"/>
    <col width="12.7109375" customWidth="1" style="22" min="80" max="80"/>
    <col width="38.7109375" customWidth="1" style="22" min="81" max="81"/>
    <col width="33.7109375" customWidth="1" style="22" min="82" max="82"/>
    <col width="22.7109375" customWidth="1" style="22" min="83" max="83"/>
    <col width="39.7109375" customWidth="1" style="22" min="84" max="84"/>
    <col width="43.7109375" customWidth="1" style="22" min="85" max="85"/>
    <col width="29.7109375" customWidth="1" style="22" min="86" max="86"/>
    <col width="20.7109375" customWidth="1" style="22" min="87" max="87"/>
    <col width="17.7109375" customWidth="1" style="22" min="88" max="88"/>
    <col width="34.7109375" customWidth="1" style="22" min="89" max="89"/>
    <col width="24.7109375" customWidth="1" style="22" min="90" max="90"/>
    <col width="17.7109375" customWidth="1" style="22" min="91" max="91"/>
    <col width="24.7109375" customWidth="1" style="22" min="92" max="92"/>
    <col width="21.7109375" customWidth="1" style="22" min="93" max="93"/>
    <col width="20.7109375" customWidth="1" style="22" min="94" max="94"/>
    <col width="35.7109375" customWidth="1" style="22" min="95" max="95"/>
    <col width="30.7109375" customWidth="1" style="22" min="96" max="96"/>
    <col width="27.7109375" customWidth="1" style="22" min="97" max="97"/>
    <col width="21.7109375" customWidth="1" style="22" min="98" max="98"/>
    <col width="20.7109375" customWidth="1" style="22" min="99" max="99"/>
    <col width="17.7109375" customWidth="1" style="22" min="100" max="100"/>
    <col width="15.7109375" customWidth="1" style="22" min="101" max="101"/>
    <col width="19.7109375" customWidth="1" style="22" min="102" max="103"/>
    <col width="34.7109375" customWidth="1" style="22" min="104" max="104"/>
    <col width="14.7109375" customWidth="1" style="22" min="105" max="106"/>
    <col width="16.7109375" customWidth="1" style="22" min="107" max="107"/>
    <col width="21.7109375" customWidth="1" style="22" min="108" max="109"/>
    <col width="20.7109375" customWidth="1" style="22" min="110" max="110"/>
    <col width="23.7109375" customWidth="1" style="22" min="111" max="112"/>
    <col width="19.7109375" customWidth="1" style="22" min="113" max="113"/>
    <col width="44.7109375" customWidth="1" style="22" min="114" max="114"/>
    <col width="33.7109375" customWidth="1" style="22" min="115" max="115"/>
    <col width="53.7109375" customWidth="1" style="22" min="116" max="117"/>
    <col width="21.7109375" customWidth="1" style="22" min="118" max="118"/>
    <col width="64.7109375" customWidth="1" style="22" min="119" max="119"/>
    <col width="31.7109375" customWidth="1" style="22" min="120" max="120"/>
    <col width="27.7109375" customWidth="1" style="22" min="121" max="121"/>
    <col width="19.7109375" customWidth="1" style="22" min="122" max="122"/>
    <col width="41.7109375" customWidth="1" style="22" min="123" max="123"/>
    <col width="20.7109375" customWidth="1" style="22" min="124" max="124"/>
    <col width="21.7109375" customWidth="1" style="22" min="125" max="125"/>
    <col width="18.7109375" customWidth="1" style="22" min="126" max="126"/>
    <col width="30.7109375" customWidth="1" style="22" min="127" max="127"/>
    <col width="44.7109375" customWidth="1" style="22" min="128" max="128"/>
    <col width="22.7109375" customWidth="1" style="22" min="129" max="129"/>
    <col width="42.7109375" customWidth="1" style="22" min="130" max="130"/>
    <col width="47.7109375" customWidth="1" style="22" min="131" max="131"/>
    <col width="19.7109375" customWidth="1" style="22" min="132" max="132"/>
    <col width="79.7109375" customWidth="1" style="22" min="133" max="133"/>
    <col width="30.7109375" customWidth="1" style="22" min="134" max="134"/>
    <col width="34.7109375" customWidth="1" style="22" min="135" max="135"/>
    <col width="35.7109375" customWidth="1" style="22" min="136" max="136"/>
    <col width="56.7109375" customWidth="1" style="22" min="137" max="137"/>
    <col width="54.7109375" customWidth="1" style="22" min="138" max="138"/>
    <col width="55.7109375" customWidth="1" style="22" min="139" max="139"/>
    <col width="27.7109375" customWidth="1" style="22" min="140" max="140"/>
    <col width="40.7109375" customWidth="1" style="22" min="141" max="141"/>
    <col width="44.7109375" customWidth="1" style="22" min="142" max="142"/>
    <col width="22.7109375" customWidth="1" style="22" min="143" max="144"/>
    <col width="45.7109375" customWidth="1" style="22" min="145" max="145"/>
    <col width="24.7109375" customWidth="1" style="22" min="146" max="146"/>
    <col width="31.7109375" customWidth="1" style="22" min="147" max="147"/>
    <col width="21.7109375" customWidth="1" style="22" min="148" max="148"/>
    <col width="29.7109375" customWidth="1" style="22" min="149" max="149"/>
    <col width="20.7109375" customWidth="1" style="22" min="150" max="150"/>
  </cols>
  <sheetData>
    <row r="1" hidden="1">
      <c r="B1" s="22" t="inlineStr">
        <is>
          <t>core::supplierPartNumber</t>
        </is>
      </c>
      <c r="C1" s="22" t="inlineStr">
        <is>
          <t>core::amazonStandardIdentificationNumber</t>
        </is>
      </c>
      <c r="D1" s="22" t="inlineStr">
        <is>
          <t>core::manufacturerId</t>
        </is>
      </c>
      <c r="E1" s="22" t="inlineStr">
        <is>
          <t>core::manufacturerPartNumber</t>
        </is>
      </c>
      <c r="F1" s="22" t="inlineStr">
        <is>
          <t>core::universalProductCode</t>
        </is>
      </c>
      <c r="G1" s="22" t="inlineStr">
        <is>
          <t>core::productName</t>
        </is>
      </c>
      <c r="H1" s="22" t="inlineStr">
        <is>
          <t>core::collectionName</t>
        </is>
      </c>
      <c r="I1" s="22" t="inlineStr">
        <is>
          <t>core::manufacturerProductUrl</t>
        </is>
      </c>
      <c r="J1" s="22" t="inlineStr">
        <is>
          <t>price::wholesalePrice</t>
        </is>
      </c>
      <c r="K1" s="22" t="inlineStr">
        <is>
          <t>price::minimumAdvertizedPrice</t>
        </is>
      </c>
      <c r="L1" s="22" t="inlineStr">
        <is>
          <t>price::manufacturerSuggestedRetailPrice</t>
        </is>
      </c>
      <c r="M1" s="22" t="inlineStr">
        <is>
          <t>featureDescription::romanceCopy</t>
        </is>
      </c>
      <c r="N1" s="22" t="inlineStr">
        <is>
          <t>featureDescription::genericFeatures</t>
        </is>
      </c>
      <c r="O1" s="22" t="inlineStr">
        <is>
          <t>featureDescription::genericFeatures</t>
        </is>
      </c>
      <c r="P1" s="22" t="inlineStr">
        <is>
          <t>featureDescription::genericFeatures</t>
        </is>
      </c>
      <c r="Q1" s="22" t="inlineStr">
        <is>
          <t>featureDescription::genericFeatures</t>
        </is>
      </c>
      <c r="R1" s="22" t="inlineStr">
        <is>
          <t>featureDescription::genericFeatures</t>
        </is>
      </c>
      <c r="S1" s="22" t="inlineStr">
        <is>
          <t>shippingAndFulfillment::minimumOrderQuantity</t>
        </is>
      </c>
      <c r="T1" s="22" t="inlineStr">
        <is>
          <t>shippingAndFulfillment::forceQuantityMultiplier</t>
        </is>
      </c>
      <c r="U1" s="22" t="inlineStr">
        <is>
          <t>shippingAndFulfillment::displaySetQuantity</t>
        </is>
      </c>
      <c r="V1" s="22" t="inlineStr">
        <is>
          <t>shippingAndFulfillment::productWeight</t>
        </is>
      </c>
      <c r="W1" s="22" t="inlineStr">
        <is>
          <t>shippingAndFulfillment::shipType</t>
        </is>
      </c>
      <c r="X1" s="22" t="inlineStr">
        <is>
          <t>shippingAndFulfillment::freightClass</t>
        </is>
      </c>
      <c r="Y1" s="22" t="inlineStr">
        <is>
          <t>shippingAndFulfillment::leadTime</t>
        </is>
      </c>
      <c r="Z1" s="22" t="inlineStr">
        <is>
          <t>shippingAndFulfillment::replacementLeadTime</t>
        </is>
      </c>
      <c r="AA1" s="22" t="inlineStr">
        <is>
          <t>shippingAndFulfillment::nationalMotorFreightClass</t>
        </is>
      </c>
      <c r="AB1" s="22" t="inlineStr">
        <is>
          <t>shippingAndFulfillment::flatPack</t>
        </is>
      </c>
      <c r="AC1" s="22" t="inlineStr">
        <is>
          <t>shippingAndFulfillment::shipPalletized</t>
        </is>
      </c>
      <c r="AD1" s="22" t="inlineStr">
        <is>
          <t>shippingAndFulfillment::weight</t>
        </is>
      </c>
      <c r="AE1" s="22" t="inlineStr">
        <is>
          <t>shippingAndFulfillment::height</t>
        </is>
      </c>
      <c r="AF1" s="22" t="inlineStr">
        <is>
          <t>shippingAndFulfillment::width</t>
        </is>
      </c>
      <c r="AG1" s="22" t="inlineStr">
        <is>
          <t>shippingAndFulfillment::depth</t>
        </is>
      </c>
      <c r="AH1" s="22" t="inlineStr">
        <is>
          <t>propSixtyFive::warningRequired</t>
        </is>
      </c>
      <c r="AI1" s="22" t="inlineStr">
        <is>
          <t>propSixtyFive::chemicalId</t>
        </is>
      </c>
      <c r="AJ1" s="22" t="inlineStr">
        <is>
          <t>propSixtyFive::toxicity</t>
        </is>
      </c>
      <c r="AK1" s="22" t="inlineStr">
        <is>
          <t>propSixtyFive::countryOfManufacturer</t>
        </is>
      </c>
      <c r="AL1" s="22" t="inlineStr">
        <is>
          <t>media::imageValue</t>
        </is>
      </c>
      <c r="AM1" s="22" t="inlineStr">
        <is>
          <t>media::imageValue</t>
        </is>
      </c>
      <c r="AN1" s="22" t="inlineStr">
        <is>
          <t>media::imageValue</t>
        </is>
      </c>
      <c r="AO1" s="22" t="inlineStr">
        <is>
          <t>media::imageValue</t>
        </is>
      </c>
      <c r="AP1" s="22" t="inlineStr">
        <is>
          <t>media::imageValue</t>
        </is>
      </c>
      <c r="AQ1" s="22" t="inlineStr">
        <is>
          <t>media::videoValue</t>
        </is>
      </c>
      <c r="AR1" s="22" t="inlineStr">
        <is>
          <t>media::documentValue</t>
        </is>
      </c>
      <c r="AS1" s="22" t="inlineStr">
        <is>
          <t>media::documentType</t>
        </is>
      </c>
      <c r="AT1" s="22" t="inlineStr">
        <is>
          <t>media::legalDocumentType</t>
        </is>
      </c>
      <c r="AU1" s="22" t="inlineStr">
        <is>
          <t>media::regionType</t>
        </is>
      </c>
      <c r="AV1" s="22" t="inlineStr">
        <is>
          <t>media::language</t>
        </is>
      </c>
      <c r="AW1" s="22" t="inlineStr">
        <is>
          <t>media::documentValue</t>
        </is>
      </c>
      <c r="AX1" s="22" t="inlineStr">
        <is>
          <t>media::documentType</t>
        </is>
      </c>
      <c r="AY1" s="22" t="inlineStr">
        <is>
          <t>media::legalDocumentType</t>
        </is>
      </c>
      <c r="AZ1" s="22" t="inlineStr">
        <is>
          <t>media::regionType</t>
        </is>
      </c>
      <c r="BA1" s="22" t="inlineStr">
        <is>
          <t>media::language</t>
        </is>
      </c>
      <c r="BB1" s="22" t="inlineStr">
        <is>
          <t>media::documentValue</t>
        </is>
      </c>
      <c r="BC1" s="22" t="inlineStr">
        <is>
          <t>media::documentType</t>
        </is>
      </c>
      <c r="BD1" s="22" t="inlineStr">
        <is>
          <t>media::legalDocumentType</t>
        </is>
      </c>
      <c r="BE1" s="22" t="inlineStr">
        <is>
          <t>media::regionType</t>
        </is>
      </c>
      <c r="BF1" s="22" t="inlineStr">
        <is>
          <t>media::language</t>
        </is>
      </c>
      <c r="BG1" s="22" t="inlineStr">
        <is>
          <t>5620</t>
        </is>
      </c>
      <c r="BH1" s="22" t="inlineStr">
        <is>
          <t>252622</t>
        </is>
      </c>
      <c r="BI1" s="22" t="inlineStr">
        <is>
          <t>5635</t>
        </is>
      </c>
      <c r="BJ1" s="22" t="inlineStr">
        <is>
          <t>5911</t>
        </is>
      </c>
      <c r="BK1" s="22" t="inlineStr">
        <is>
          <t>5636</t>
        </is>
      </c>
      <c r="BL1" s="22" t="inlineStr">
        <is>
          <t>382543</t>
        </is>
      </c>
      <c r="BM1" s="22" t="inlineStr">
        <is>
          <t>5634</t>
        </is>
      </c>
      <c r="BN1" s="22" t="inlineStr">
        <is>
          <t>5678</t>
        </is>
      </c>
      <c r="BO1" s="22" t="inlineStr">
        <is>
          <t>252625</t>
        </is>
      </c>
      <c r="BP1" s="22" t="inlineStr">
        <is>
          <t>5621</t>
        </is>
      </c>
      <c r="BQ1" s="22" t="inlineStr">
        <is>
          <t>5625</t>
        </is>
      </c>
      <c r="BR1" s="22" t="inlineStr">
        <is>
          <t>222860</t>
        </is>
      </c>
      <c r="BS1" s="22" t="inlineStr">
        <is>
          <t>222861</t>
        </is>
      </c>
      <c r="BT1" s="22" t="inlineStr">
        <is>
          <t>5624</t>
        </is>
      </c>
      <c r="BU1" s="22" t="inlineStr">
        <is>
          <t>220722</t>
        </is>
      </c>
      <c r="BV1" s="22" t="inlineStr">
        <is>
          <t>221251</t>
        </is>
      </c>
      <c r="BW1" s="22" t="inlineStr">
        <is>
          <t>218007</t>
        </is>
      </c>
      <c r="BX1" s="22" t="inlineStr">
        <is>
          <t>5648</t>
        </is>
      </c>
      <c r="BY1" s="22" t="inlineStr">
        <is>
          <t>5649</t>
        </is>
      </c>
      <c r="BZ1" s="22" t="inlineStr">
        <is>
          <t>5643</t>
        </is>
      </c>
      <c r="CA1" s="22" t="inlineStr">
        <is>
          <t>5645</t>
        </is>
      </c>
      <c r="CB1" s="22" t="inlineStr">
        <is>
          <t>189876</t>
        </is>
      </c>
      <c r="CC1" s="22" t="inlineStr">
        <is>
          <t>201479</t>
        </is>
      </c>
      <c r="CD1" s="22" t="inlineStr">
        <is>
          <t>5663</t>
        </is>
      </c>
      <c r="CE1" s="22" t="inlineStr">
        <is>
          <t>242478</t>
        </is>
      </c>
      <c r="CF1" s="22" t="inlineStr">
        <is>
          <t>227966</t>
        </is>
      </c>
      <c r="CG1" s="22" t="inlineStr">
        <is>
          <t>244566</t>
        </is>
      </c>
      <c r="CH1" s="22" t="inlineStr">
        <is>
          <t>293480</t>
        </is>
      </c>
      <c r="CI1" s="22" t="inlineStr">
        <is>
          <t>293547</t>
        </is>
      </c>
      <c r="CJ1" s="22" t="inlineStr">
        <is>
          <t>185254</t>
        </is>
      </c>
      <c r="CK1" s="22" t="inlineStr">
        <is>
          <t>344955</t>
        </is>
      </c>
      <c r="CL1" s="22" t="inlineStr">
        <is>
          <t>346869</t>
        </is>
      </c>
      <c r="CM1" s="22" t="inlineStr">
        <is>
          <t>351619</t>
        </is>
      </c>
      <c r="CN1" s="22" t="inlineStr">
        <is>
          <t>367149</t>
        </is>
      </c>
      <c r="CO1" s="22" t="inlineStr">
        <is>
          <t>351641</t>
        </is>
      </c>
      <c r="CP1" s="22" t="inlineStr">
        <is>
          <t>352351</t>
        </is>
      </c>
      <c r="CQ1" s="22" t="inlineStr">
        <is>
          <t>352342</t>
        </is>
      </c>
      <c r="CR1" s="22" t="inlineStr">
        <is>
          <t>351649</t>
        </is>
      </c>
      <c r="CS1" s="22" t="inlineStr">
        <is>
          <t>5949</t>
        </is>
      </c>
      <c r="CT1" s="22" t="inlineStr">
        <is>
          <t>5950</t>
        </is>
      </c>
      <c r="CU1" s="22" t="inlineStr">
        <is>
          <t>5654</t>
        </is>
      </c>
      <c r="CV1" s="22" t="inlineStr">
        <is>
          <t>368645</t>
        </is>
      </c>
      <c r="CW1" s="22" t="inlineStr">
        <is>
          <t>370848</t>
        </is>
      </c>
      <c r="CX1" s="22" t="inlineStr">
        <is>
          <t>5910</t>
        </is>
      </c>
      <c r="CY1" s="22" t="inlineStr">
        <is>
          <t>379875</t>
        </is>
      </c>
      <c r="CZ1" s="22" t="inlineStr">
        <is>
          <t>292794</t>
        </is>
      </c>
      <c r="DA1" s="22" t="inlineStr">
        <is>
          <t>220267</t>
        </is>
      </c>
      <c r="DB1" s="22" t="inlineStr">
        <is>
          <t>220265</t>
        </is>
      </c>
      <c r="DC1" s="22" t="inlineStr">
        <is>
          <t>384286</t>
        </is>
      </c>
      <c r="DD1" s="22" t="inlineStr">
        <is>
          <t>393970</t>
        </is>
      </c>
      <c r="DE1" s="22" t="inlineStr">
        <is>
          <t>400764</t>
        </is>
      </c>
      <c r="DF1" s="22" t="inlineStr">
        <is>
          <t>420139</t>
        </is>
      </c>
      <c r="DG1" s="22" t="inlineStr">
        <is>
          <t>5920</t>
        </is>
      </c>
      <c r="DH1" s="22" t="inlineStr">
        <is>
          <t>5916</t>
        </is>
      </c>
      <c r="DI1" s="22" t="inlineStr">
        <is>
          <t>5938</t>
        </is>
      </c>
      <c r="DJ1" s="22" t="inlineStr">
        <is>
          <t>5671</t>
        </is>
      </c>
      <c r="DK1" s="22" t="inlineStr">
        <is>
          <t>201426</t>
        </is>
      </c>
      <c r="DL1" s="22" t="inlineStr">
        <is>
          <t>224759</t>
        </is>
      </c>
      <c r="DM1" s="22" t="inlineStr">
        <is>
          <t>224980</t>
        </is>
      </c>
      <c r="DN1" s="22" t="inlineStr">
        <is>
          <t>364708</t>
        </is>
      </c>
      <c r="DO1" s="22" t="inlineStr">
        <is>
          <t>236083</t>
        </is>
      </c>
      <c r="DP1" s="22" t="inlineStr">
        <is>
          <t>249364</t>
        </is>
      </c>
      <c r="DQ1" s="22" t="inlineStr">
        <is>
          <t>251110</t>
        </is>
      </c>
      <c r="DR1" s="22" t="inlineStr">
        <is>
          <t>310560</t>
        </is>
      </c>
      <c r="DS1" s="22" t="inlineStr">
        <is>
          <t>339330</t>
        </is>
      </c>
      <c r="DT1" s="22" t="inlineStr">
        <is>
          <t>373560</t>
        </is>
      </c>
      <c r="DU1" s="22" t="inlineStr">
        <is>
          <t>340810</t>
        </is>
      </c>
      <c r="DV1" s="22" t="inlineStr">
        <is>
          <t>341070</t>
        </is>
      </c>
      <c r="DW1" s="22" t="inlineStr">
        <is>
          <t>369614</t>
        </is>
      </c>
      <c r="DX1" s="22" t="inlineStr">
        <is>
          <t>368262</t>
        </is>
      </c>
      <c r="DY1" s="22" t="inlineStr">
        <is>
          <t>375302</t>
        </is>
      </c>
      <c r="DZ1" s="22" t="inlineStr">
        <is>
          <t>376202</t>
        </is>
      </c>
      <c r="EA1" s="22" t="inlineStr">
        <is>
          <t>382060</t>
        </is>
      </c>
      <c r="EB1" s="22" t="inlineStr">
        <is>
          <t>385921</t>
        </is>
      </c>
      <c r="EC1" s="22" t="inlineStr">
        <is>
          <t>415242</t>
        </is>
      </c>
      <c r="ED1" s="22" t="inlineStr">
        <is>
          <t>421601</t>
        </is>
      </c>
      <c r="EE1" s="22" t="inlineStr">
        <is>
          <t>5675</t>
        </is>
      </c>
      <c r="EF1" s="22" t="inlineStr">
        <is>
          <t>5676</t>
        </is>
      </c>
      <c r="EG1" s="22" t="inlineStr">
        <is>
          <t>252485</t>
        </is>
      </c>
      <c r="EH1" s="22" t="inlineStr">
        <is>
          <t>252486</t>
        </is>
      </c>
      <c r="EI1" s="22" t="inlineStr">
        <is>
          <t>252487</t>
        </is>
      </c>
      <c r="EJ1" s="22" t="inlineStr">
        <is>
          <t>5681</t>
        </is>
      </c>
      <c r="EK1" s="22" t="inlineStr">
        <is>
          <t>217965</t>
        </is>
      </c>
      <c r="EL1" s="22" t="inlineStr">
        <is>
          <t>5674</t>
        </is>
      </c>
      <c r="EM1" s="22" t="inlineStr">
        <is>
          <t>5682</t>
        </is>
      </c>
      <c r="EN1" s="22" t="inlineStr">
        <is>
          <t>222775</t>
        </is>
      </c>
      <c r="EO1" s="22" t="inlineStr">
        <is>
          <t>222778</t>
        </is>
      </c>
      <c r="EP1" s="22" t="inlineStr">
        <is>
          <t>228934</t>
        </is>
      </c>
      <c r="EQ1" s="22" t="inlineStr">
        <is>
          <t>333812</t>
        </is>
      </c>
      <c r="ER1" s="22" t="inlineStr">
        <is>
          <t>254186</t>
        </is>
      </c>
      <c r="ES1" s="22" t="inlineStr">
        <is>
          <t>255305</t>
        </is>
      </c>
      <c r="ET1" s="22" t="inlineStr">
        <is>
          <t>256090</t>
        </is>
      </c>
    </row>
    <row r="2">
      <c r="B2" s="23" t="inlineStr">
        <is>
          <t>Basic Information</t>
        </is>
      </c>
      <c r="C2" s="40" t="n"/>
      <c r="D2" s="40" t="n"/>
      <c r="E2" s="40" t="n"/>
      <c r="F2" s="40" t="n"/>
      <c r="G2" s="40" t="n"/>
      <c r="H2" s="40" t="n"/>
      <c r="I2" s="41" t="n"/>
      <c r="J2" s="24" t="inlineStr">
        <is>
          <t>Pricing</t>
        </is>
      </c>
      <c r="K2" s="40" t="n"/>
      <c r="L2" s="41" t="n"/>
      <c r="M2" s="25" t="inlineStr">
        <is>
          <t>Marketing Information</t>
        </is>
      </c>
      <c r="N2" s="40" t="n"/>
      <c r="O2" s="40" t="n"/>
      <c r="P2" s="40" t="n"/>
      <c r="Q2" s="40" t="n"/>
      <c r="R2" s="41" t="n"/>
      <c r="S2" s="26" t="inlineStr">
        <is>
          <t>Fulfillment Information</t>
        </is>
      </c>
      <c r="T2" s="40" t="n"/>
      <c r="U2" s="40" t="n"/>
      <c r="V2" s="40" t="n"/>
      <c r="W2" s="40" t="n"/>
      <c r="X2" s="40" t="n"/>
      <c r="Y2" s="40" t="n"/>
      <c r="Z2" s="40" t="n"/>
      <c r="AA2" s="40" t="n"/>
      <c r="AB2" s="40" t="n"/>
      <c r="AC2" s="41" t="n"/>
      <c r="AD2" s="27" t="inlineStr">
        <is>
          <t>Carton Details</t>
        </is>
      </c>
      <c r="AE2" s="40" t="n"/>
      <c r="AF2" s="40" t="n"/>
      <c r="AG2" s="41" t="n"/>
      <c r="AH2" s="28" t="inlineStr">
        <is>
          <t>Compliance</t>
        </is>
      </c>
      <c r="AI2" s="40" t="n"/>
      <c r="AJ2" s="40" t="n"/>
      <c r="AK2" s="41" t="n"/>
      <c r="AL2" s="29" t="inlineStr">
        <is>
          <t>Media</t>
        </is>
      </c>
      <c r="AM2" s="40" t="n"/>
      <c r="AN2" s="40" t="n"/>
      <c r="AO2" s="40" t="n"/>
      <c r="AP2" s="40" t="n"/>
      <c r="AQ2" s="40" t="n"/>
      <c r="AR2" s="40" t="n"/>
      <c r="AS2" s="40" t="n"/>
      <c r="AT2" s="40" t="n"/>
      <c r="AU2" s="40" t="n"/>
      <c r="AV2" s="40" t="n"/>
      <c r="AW2" s="40" t="n"/>
      <c r="AX2" s="40" t="n"/>
      <c r="AY2" s="40" t="n"/>
      <c r="AZ2" s="40" t="n"/>
      <c r="BA2" s="40" t="n"/>
      <c r="BB2" s="40" t="n"/>
      <c r="BC2" s="40" t="n"/>
      <c r="BD2" s="40" t="n"/>
      <c r="BE2" s="40" t="n"/>
      <c r="BF2" s="41" t="n"/>
      <c r="BG2" s="30" t="inlineStr">
        <is>
          <t>Attributes</t>
        </is>
      </c>
      <c r="BH2" s="40" t="n"/>
      <c r="BI2" s="40" t="n"/>
      <c r="BJ2" s="40" t="n"/>
      <c r="BK2" s="40" t="n"/>
      <c r="BL2" s="40" t="n"/>
      <c r="BM2" s="40" t="n"/>
      <c r="BN2" s="40" t="n"/>
      <c r="BO2" s="40" t="n"/>
      <c r="BP2" s="40" t="n"/>
      <c r="BQ2" s="40" t="n"/>
      <c r="BR2" s="40" t="n"/>
      <c r="BS2" s="40" t="n"/>
      <c r="BT2" s="40" t="n"/>
      <c r="BU2" s="40" t="n"/>
      <c r="BV2" s="40" t="n"/>
      <c r="BW2" s="40" t="n"/>
      <c r="BX2" s="40" t="n"/>
      <c r="BY2" s="40" t="n"/>
      <c r="BZ2" s="40" t="n"/>
      <c r="CA2" s="40" t="n"/>
      <c r="CB2" s="40" t="n"/>
      <c r="CC2" s="40" t="n"/>
      <c r="CD2" s="40" t="n"/>
      <c r="CE2" s="40" t="n"/>
      <c r="CF2" s="40" t="n"/>
      <c r="CG2" s="40" t="n"/>
      <c r="CH2" s="40" t="n"/>
      <c r="CI2" s="40" t="n"/>
      <c r="CJ2" s="40" t="n"/>
      <c r="CK2" s="40" t="n"/>
      <c r="CL2" s="40" t="n"/>
      <c r="CM2" s="40" t="n"/>
      <c r="CN2" s="40" t="n"/>
      <c r="CO2" s="40" t="n"/>
      <c r="CP2" s="40" t="n"/>
      <c r="CQ2" s="40" t="n"/>
      <c r="CR2" s="40" t="n"/>
      <c r="CS2" s="40" t="n"/>
      <c r="CT2" s="40" t="n"/>
      <c r="CU2" s="40" t="n"/>
      <c r="CV2" s="40" t="n"/>
      <c r="CW2" s="40" t="n"/>
      <c r="CX2" s="40" t="n"/>
      <c r="CY2" s="40" t="n"/>
      <c r="CZ2" s="40" t="n"/>
      <c r="DA2" s="40" t="n"/>
      <c r="DB2" s="40" t="n"/>
      <c r="DC2" s="40" t="n"/>
      <c r="DD2" s="40" t="n"/>
      <c r="DE2" s="40" t="n"/>
      <c r="DF2" s="40" t="n"/>
      <c r="DG2" s="40" t="n"/>
      <c r="DH2" s="40" t="n"/>
      <c r="DI2" s="40" t="n"/>
      <c r="DJ2" s="40" t="n"/>
      <c r="DK2" s="40" t="n"/>
      <c r="DL2" s="40" t="n"/>
      <c r="DM2" s="40" t="n"/>
      <c r="DN2" s="40" t="n"/>
      <c r="DO2" s="40" t="n"/>
      <c r="DP2" s="40" t="n"/>
      <c r="DQ2" s="40" t="n"/>
      <c r="DR2" s="40" t="n"/>
      <c r="DS2" s="40" t="n"/>
      <c r="DT2" s="40" t="n"/>
      <c r="DU2" s="40" t="n"/>
      <c r="DV2" s="40" t="n"/>
      <c r="DW2" s="40" t="n"/>
      <c r="DX2" s="40" t="n"/>
      <c r="DY2" s="40" t="n"/>
      <c r="DZ2" s="40" t="n"/>
      <c r="EA2" s="40" t="n"/>
      <c r="EB2" s="40" t="n"/>
      <c r="EC2" s="40" t="n"/>
      <c r="ED2" s="40" t="n"/>
      <c r="EE2" s="40" t="n"/>
      <c r="EF2" s="40" t="n"/>
      <c r="EG2" s="40" t="n"/>
      <c r="EH2" s="40" t="n"/>
      <c r="EI2" s="40" t="n"/>
      <c r="EJ2" s="40" t="n"/>
      <c r="EK2" s="40" t="n"/>
      <c r="EL2" s="40" t="n"/>
      <c r="EM2" s="40" t="n"/>
      <c r="EN2" s="40" t="n"/>
      <c r="EO2" s="40" t="n"/>
      <c r="EP2" s="40" t="n"/>
      <c r="EQ2" s="40" t="n"/>
      <c r="ER2" s="40" t="n"/>
      <c r="ES2" s="40" t="n"/>
      <c r="ET2" s="41" t="n"/>
    </row>
    <row r="3">
      <c r="B3" s="31" t="inlineStr">
        <is>
          <t>Required</t>
        </is>
      </c>
      <c r="C3" s="31" t="inlineStr">
        <is>
          <t>Additional</t>
        </is>
      </c>
      <c r="D3" s="31" t="inlineStr">
        <is>
          <t>Required</t>
        </is>
      </c>
      <c r="E3" s="31" t="inlineStr">
        <is>
          <t>Required</t>
        </is>
      </c>
      <c r="F3" s="31" t="inlineStr">
        <is>
          <t>Recommended</t>
        </is>
      </c>
      <c r="G3" s="31" t="inlineStr">
        <is>
          <t>Required</t>
        </is>
      </c>
      <c r="H3" s="31" t="inlineStr">
        <is>
          <t>Additional</t>
        </is>
      </c>
      <c r="I3" s="31" t="inlineStr">
        <is>
          <t>Additional</t>
        </is>
      </c>
      <c r="J3" s="31" t="inlineStr">
        <is>
          <t>Required</t>
        </is>
      </c>
      <c r="K3" s="31" t="inlineStr">
        <is>
          <t>Additional</t>
        </is>
      </c>
      <c r="L3" s="31" t="inlineStr">
        <is>
          <t>Additional</t>
        </is>
      </c>
      <c r="M3" s="31" t="inlineStr">
        <is>
          <t>Conditional</t>
        </is>
      </c>
      <c r="N3" s="31" t="inlineStr">
        <is>
          <t>Conditional</t>
        </is>
      </c>
      <c r="O3" s="31" t="inlineStr">
        <is>
          <t>Conditional</t>
        </is>
      </c>
      <c r="P3" s="31" t="inlineStr">
        <is>
          <t>Conditional</t>
        </is>
      </c>
      <c r="Q3" s="31" t="inlineStr">
        <is>
          <t>Conditional</t>
        </is>
      </c>
      <c r="R3" s="31" t="inlineStr">
        <is>
          <t>Conditional</t>
        </is>
      </c>
      <c r="S3" s="31" t="inlineStr">
        <is>
          <t>Required</t>
        </is>
      </c>
      <c r="T3" s="31" t="inlineStr">
        <is>
          <t>Required</t>
        </is>
      </c>
      <c r="U3" s="31" t="inlineStr">
        <is>
          <t>Required</t>
        </is>
      </c>
      <c r="V3" s="31" t="inlineStr">
        <is>
          <t>Required</t>
        </is>
      </c>
      <c r="W3" s="31" t="inlineStr">
        <is>
          <t>Required</t>
        </is>
      </c>
      <c r="X3" s="31" t="inlineStr">
        <is>
          <t>Conditional</t>
        </is>
      </c>
      <c r="Y3" s="31" t="inlineStr">
        <is>
          <t>Required</t>
        </is>
      </c>
      <c r="Z3" s="31" t="inlineStr">
        <is>
          <t>Required</t>
        </is>
      </c>
      <c r="AA3" s="31" t="inlineStr">
        <is>
          <t>Additional</t>
        </is>
      </c>
      <c r="AB3" s="31" t="inlineStr">
        <is>
          <t>Additional</t>
        </is>
      </c>
      <c r="AC3" s="31" t="inlineStr">
        <is>
          <t>Additional</t>
        </is>
      </c>
      <c r="AD3" s="31" t="inlineStr">
        <is>
          <t>Required</t>
        </is>
      </c>
      <c r="AE3" s="31" t="inlineStr">
        <is>
          <t>Required</t>
        </is>
      </c>
      <c r="AF3" s="31" t="inlineStr">
        <is>
          <t>Required</t>
        </is>
      </c>
      <c r="AG3" s="31" t="inlineStr">
        <is>
          <t>Required</t>
        </is>
      </c>
      <c r="AH3" s="31" t="inlineStr">
        <is>
          <t>Required</t>
        </is>
      </c>
      <c r="AI3" s="31" t="inlineStr">
        <is>
          <t>Conditional</t>
        </is>
      </c>
      <c r="AJ3" s="31" t="inlineStr">
        <is>
          <t>Conditional</t>
        </is>
      </c>
      <c r="AK3" s="31" t="inlineStr">
        <is>
          <t>Required</t>
        </is>
      </c>
      <c r="AL3" s="31" t="inlineStr">
        <is>
          <t>Required</t>
        </is>
      </c>
      <c r="AM3" s="31" t="inlineStr">
        <is>
          <t>Additional</t>
        </is>
      </c>
      <c r="AN3" s="31" t="inlineStr">
        <is>
          <t>Additional</t>
        </is>
      </c>
      <c r="AO3" s="31" t="inlineStr">
        <is>
          <t>Additional</t>
        </is>
      </c>
      <c r="AP3" s="31" t="inlineStr">
        <is>
          <t>Additional</t>
        </is>
      </c>
      <c r="AQ3" s="31" t="inlineStr">
        <is>
          <t>Additional</t>
        </is>
      </c>
      <c r="AR3" s="31" t="inlineStr">
        <is>
          <t>Conditional</t>
        </is>
      </c>
      <c r="AS3" s="31" t="inlineStr">
        <is>
          <t>Conditional</t>
        </is>
      </c>
      <c r="AT3" s="31" t="inlineStr">
        <is>
          <t>Conditional</t>
        </is>
      </c>
      <c r="AU3" s="31" t="inlineStr">
        <is>
          <t>Conditional</t>
        </is>
      </c>
      <c r="AV3" s="31" t="inlineStr">
        <is>
          <t>Conditional</t>
        </is>
      </c>
      <c r="AW3" s="31" t="inlineStr">
        <is>
          <t>Conditional</t>
        </is>
      </c>
      <c r="AX3" s="31" t="inlineStr">
        <is>
          <t>Conditional</t>
        </is>
      </c>
      <c r="AY3" s="31" t="inlineStr">
        <is>
          <t>Conditional</t>
        </is>
      </c>
      <c r="AZ3" s="31" t="inlineStr">
        <is>
          <t>Conditional</t>
        </is>
      </c>
      <c r="BA3" s="31" t="inlineStr">
        <is>
          <t>Conditional</t>
        </is>
      </c>
      <c r="BB3" s="31" t="inlineStr">
        <is>
          <t>Conditional</t>
        </is>
      </c>
      <c r="BC3" s="31" t="inlineStr">
        <is>
          <t>Conditional</t>
        </is>
      </c>
      <c r="BD3" s="31" t="inlineStr">
        <is>
          <t>Conditional</t>
        </is>
      </c>
      <c r="BE3" s="31" t="inlineStr">
        <is>
          <t>Conditional</t>
        </is>
      </c>
      <c r="BF3" s="31" t="inlineStr">
        <is>
          <t>Conditional</t>
        </is>
      </c>
      <c r="BG3" s="31" t="inlineStr">
        <is>
          <t>Required</t>
        </is>
      </c>
      <c r="BH3" s="31" t="inlineStr">
        <is>
          <t>Recommended</t>
        </is>
      </c>
      <c r="BI3" s="31" t="inlineStr">
        <is>
          <t>Required</t>
        </is>
      </c>
      <c r="BJ3" s="31" t="inlineStr">
        <is>
          <t>Required</t>
        </is>
      </c>
      <c r="BK3" s="31" t="inlineStr">
        <is>
          <t>Required</t>
        </is>
      </c>
      <c r="BL3" s="31" t="inlineStr">
        <is>
          <t>Recommended</t>
        </is>
      </c>
      <c r="BM3" s="31" t="inlineStr">
        <is>
          <t>Recommended</t>
        </is>
      </c>
      <c r="BN3" s="31" t="inlineStr">
        <is>
          <t>Recommended</t>
        </is>
      </c>
      <c r="BO3" s="31" t="inlineStr">
        <is>
          <t>Recommended</t>
        </is>
      </c>
      <c r="BP3" s="31" t="inlineStr">
        <is>
          <t>Required</t>
        </is>
      </c>
      <c r="BQ3" s="31" t="inlineStr">
        <is>
          <t>Required</t>
        </is>
      </c>
      <c r="BR3" s="31" t="inlineStr">
        <is>
          <t>Recommended</t>
        </is>
      </c>
      <c r="BS3" s="31" t="inlineStr">
        <is>
          <t>Recommended</t>
        </is>
      </c>
      <c r="BT3" s="31" t="inlineStr">
        <is>
          <t>Recommended</t>
        </is>
      </c>
      <c r="BU3" s="31" t="inlineStr">
        <is>
          <t>Recommended</t>
        </is>
      </c>
      <c r="BV3" s="31" t="inlineStr">
        <is>
          <t>Recommended</t>
        </is>
      </c>
      <c r="BW3" s="31" t="inlineStr">
        <is>
          <t>Recommended</t>
        </is>
      </c>
      <c r="BX3" s="31" t="inlineStr">
        <is>
          <t>Recommended</t>
        </is>
      </c>
      <c r="BY3" s="31" t="inlineStr">
        <is>
          <t>Recommended</t>
        </is>
      </c>
      <c r="BZ3" s="31" t="inlineStr">
        <is>
          <t>Recommended</t>
        </is>
      </c>
      <c r="CA3" s="31" t="inlineStr">
        <is>
          <t>Required</t>
        </is>
      </c>
      <c r="CB3" s="31" t="inlineStr">
        <is>
          <t>Required</t>
        </is>
      </c>
      <c r="CC3" s="31" t="inlineStr">
        <is>
          <t>Required</t>
        </is>
      </c>
      <c r="CD3" s="31" t="inlineStr">
        <is>
          <t>Recommended</t>
        </is>
      </c>
      <c r="CE3" s="31" t="inlineStr">
        <is>
          <t>Recommended</t>
        </is>
      </c>
      <c r="CF3" s="31" t="inlineStr">
        <is>
          <t>Required</t>
        </is>
      </c>
      <c r="CG3" s="31" t="inlineStr">
        <is>
          <t>Additional</t>
        </is>
      </c>
      <c r="CH3" s="31" t="inlineStr">
        <is>
          <t>Recommended</t>
        </is>
      </c>
      <c r="CI3" s="31" t="inlineStr">
        <is>
          <t>Recommended</t>
        </is>
      </c>
      <c r="CJ3" s="31" t="inlineStr">
        <is>
          <t>Recommended</t>
        </is>
      </c>
      <c r="CK3" s="31" t="inlineStr">
        <is>
          <t>Required</t>
        </is>
      </c>
      <c r="CL3" s="31" t="inlineStr">
        <is>
          <t>Required</t>
        </is>
      </c>
      <c r="CM3" s="31" t="inlineStr">
        <is>
          <t>Required</t>
        </is>
      </c>
      <c r="CN3" s="31" t="inlineStr">
        <is>
          <t>Required</t>
        </is>
      </c>
      <c r="CO3" s="31" t="inlineStr">
        <is>
          <t>Additional</t>
        </is>
      </c>
      <c r="CP3" s="31" t="inlineStr">
        <is>
          <t>Additional</t>
        </is>
      </c>
      <c r="CQ3" s="31" t="inlineStr">
        <is>
          <t>Additional</t>
        </is>
      </c>
      <c r="CR3" s="31" t="inlineStr">
        <is>
          <t>Additional</t>
        </is>
      </c>
      <c r="CS3" s="31" t="inlineStr">
        <is>
          <t>Recommended</t>
        </is>
      </c>
      <c r="CT3" s="31" t="inlineStr">
        <is>
          <t>Recommended</t>
        </is>
      </c>
      <c r="CU3" s="31" t="inlineStr">
        <is>
          <t>Required</t>
        </is>
      </c>
      <c r="CV3" s="31" t="inlineStr">
        <is>
          <t>Recommended</t>
        </is>
      </c>
      <c r="CW3" s="31" t="inlineStr">
        <is>
          <t>Recommended</t>
        </is>
      </c>
      <c r="CX3" s="31" t="inlineStr">
        <is>
          <t>Recommended</t>
        </is>
      </c>
      <c r="CY3" s="31" t="inlineStr">
        <is>
          <t>Required</t>
        </is>
      </c>
      <c r="CZ3" s="31" t="inlineStr">
        <is>
          <t>Recommended</t>
        </is>
      </c>
      <c r="DA3" s="31" t="inlineStr">
        <is>
          <t>Required</t>
        </is>
      </c>
      <c r="DB3" s="31" t="inlineStr">
        <is>
          <t>Required</t>
        </is>
      </c>
      <c r="DC3" s="31" t="inlineStr">
        <is>
          <t>Recommended</t>
        </is>
      </c>
      <c r="DD3" s="31" t="inlineStr">
        <is>
          <t>Recommended</t>
        </is>
      </c>
      <c r="DE3" s="31" t="inlineStr">
        <is>
          <t>Recommended</t>
        </is>
      </c>
      <c r="DF3" s="31" t="inlineStr">
        <is>
          <t>Required</t>
        </is>
      </c>
      <c r="DG3" s="31" t="inlineStr">
        <is>
          <t>Required</t>
        </is>
      </c>
      <c r="DH3" s="31" t="inlineStr">
        <is>
          <t>Recommended</t>
        </is>
      </c>
      <c r="DI3" s="31" t="inlineStr">
        <is>
          <t>Recommended</t>
        </is>
      </c>
      <c r="DJ3" s="31" t="inlineStr">
        <is>
          <t>Required</t>
        </is>
      </c>
      <c r="DK3" s="31" t="inlineStr">
        <is>
          <t>Required</t>
        </is>
      </c>
      <c r="DL3" s="31" t="inlineStr">
        <is>
          <t>Required</t>
        </is>
      </c>
      <c r="DM3" s="31" t="inlineStr">
        <is>
          <t>Required</t>
        </is>
      </c>
      <c r="DN3" s="31" t="inlineStr">
        <is>
          <t>Required</t>
        </is>
      </c>
      <c r="DO3" s="31" t="inlineStr">
        <is>
          <t>Required</t>
        </is>
      </c>
      <c r="DP3" s="31" t="inlineStr">
        <is>
          <t>Required</t>
        </is>
      </c>
      <c r="DQ3" s="31" t="inlineStr">
        <is>
          <t>Required</t>
        </is>
      </c>
      <c r="DR3" s="31" t="inlineStr">
        <is>
          <t>Recommended</t>
        </is>
      </c>
      <c r="DS3" s="31" t="inlineStr">
        <is>
          <t>Recommended</t>
        </is>
      </c>
      <c r="DT3" s="31" t="inlineStr">
        <is>
          <t>Recommended</t>
        </is>
      </c>
      <c r="DU3" s="31" t="inlineStr">
        <is>
          <t>Recommended</t>
        </is>
      </c>
      <c r="DV3" s="31" t="inlineStr">
        <is>
          <t>Recommended</t>
        </is>
      </c>
      <c r="DW3" s="31" t="inlineStr">
        <is>
          <t>Recommended</t>
        </is>
      </c>
      <c r="DX3" s="31" t="inlineStr">
        <is>
          <t>Required</t>
        </is>
      </c>
      <c r="DY3" s="31" t="inlineStr">
        <is>
          <t>Required</t>
        </is>
      </c>
      <c r="DZ3" s="31" t="inlineStr">
        <is>
          <t>Required</t>
        </is>
      </c>
      <c r="EA3" s="31" t="inlineStr">
        <is>
          <t>Required</t>
        </is>
      </c>
      <c r="EB3" s="31" t="inlineStr">
        <is>
          <t>Recommended</t>
        </is>
      </c>
      <c r="EC3" s="31" t="inlineStr">
        <is>
          <t>Recommended</t>
        </is>
      </c>
      <c r="ED3" s="31" t="inlineStr">
        <is>
          <t>Recommended</t>
        </is>
      </c>
      <c r="EE3" s="31" t="inlineStr">
        <is>
          <t>Required</t>
        </is>
      </c>
      <c r="EF3" s="31" t="inlineStr">
        <is>
          <t>Required</t>
        </is>
      </c>
      <c r="EG3" s="31" t="inlineStr">
        <is>
          <t>Required</t>
        </is>
      </c>
      <c r="EH3" s="31" t="inlineStr">
        <is>
          <t>Required</t>
        </is>
      </c>
      <c r="EI3" s="31" t="inlineStr">
        <is>
          <t>Required</t>
        </is>
      </c>
      <c r="EJ3" s="31" t="inlineStr">
        <is>
          <t>Recommended</t>
        </is>
      </c>
      <c r="EK3" s="31" t="inlineStr">
        <is>
          <t>Required</t>
        </is>
      </c>
      <c r="EL3" s="31" t="inlineStr">
        <is>
          <t>Required</t>
        </is>
      </c>
      <c r="EM3" s="31" t="inlineStr">
        <is>
          <t>Required</t>
        </is>
      </c>
      <c r="EN3" s="31" t="inlineStr">
        <is>
          <t>Required</t>
        </is>
      </c>
      <c r="EO3" s="31" t="inlineStr">
        <is>
          <t>Recommended</t>
        </is>
      </c>
      <c r="EP3" s="31" t="inlineStr">
        <is>
          <t>Required</t>
        </is>
      </c>
      <c r="EQ3" s="31" t="inlineStr">
        <is>
          <t>Recommended</t>
        </is>
      </c>
      <c r="ER3" s="31" t="inlineStr">
        <is>
          <t>Recommended</t>
        </is>
      </c>
      <c r="ES3" s="31" t="inlineStr">
        <is>
          <t>Recommended</t>
        </is>
      </c>
      <c r="ET3" s="31" t="inlineStr">
        <is>
          <t>Recommended</t>
        </is>
      </c>
    </row>
    <row r="4" ht="50" customHeight="1">
      <c r="B4" s="19" t="inlineStr">
        <is>
          <t>Supplier Part Number</t>
        </is>
      </c>
      <c r="C4" s="19" t="inlineStr">
        <is>
          <t>ASIN or Amazon Seller SKU</t>
        </is>
      </c>
      <c r="D4" s="19" t="inlineStr">
        <is>
          <t>Brand</t>
        </is>
      </c>
      <c r="E4" s="19" t="inlineStr">
        <is>
          <t>Manufacturer Part Number</t>
        </is>
      </c>
      <c r="F4" s="19" t="inlineStr">
        <is>
          <t>Universal Product Code</t>
        </is>
      </c>
      <c r="G4" s="19" t="inlineStr">
        <is>
          <t>Product Name</t>
        </is>
      </c>
      <c r="H4" s="19" t="inlineStr">
        <is>
          <t>Collection Name</t>
        </is>
      </c>
      <c r="I4" s="19" t="inlineStr">
        <is>
          <t>Manufacturer Product URL</t>
        </is>
      </c>
      <c r="J4" s="19" t="inlineStr">
        <is>
          <t>Base Cost</t>
        </is>
      </c>
      <c r="K4" s="19" t="inlineStr">
        <is>
          <t>Minimum Advertised Price</t>
        </is>
      </c>
      <c r="L4" s="19" t="inlineStr">
        <is>
          <t>Manufacturer Suggested Retail Price</t>
        </is>
      </c>
      <c r="M4" s="19" t="inlineStr">
        <is>
          <t>Marketing Copy</t>
        </is>
      </c>
      <c r="N4" s="19" t="inlineStr">
        <is>
          <t>Feature Bullet 1</t>
        </is>
      </c>
      <c r="O4" s="19" t="inlineStr">
        <is>
          <t>Feature Bullet 2</t>
        </is>
      </c>
      <c r="P4" s="19" t="inlineStr">
        <is>
          <t>Feature Bullet 3</t>
        </is>
      </c>
      <c r="Q4" s="19" t="inlineStr">
        <is>
          <t>Feature Bullet 4</t>
        </is>
      </c>
      <c r="R4" s="19" t="inlineStr">
        <is>
          <t>Feature Bullet 5</t>
        </is>
      </c>
      <c r="S4" s="19" t="inlineStr">
        <is>
          <t>Minimum Order Quantity</t>
        </is>
      </c>
      <c r="T4" s="19" t="inlineStr">
        <is>
          <t>Force Quantity Multiplier</t>
        </is>
      </c>
      <c r="U4" s="19" t="inlineStr">
        <is>
          <t>Display Set Quantity</t>
        </is>
      </c>
      <c r="V4" s="19" t="inlineStr">
        <is>
          <t>Product Weight</t>
        </is>
      </c>
      <c r="W4" s="19" t="inlineStr">
        <is>
          <t>Ship Type</t>
        </is>
      </c>
      <c r="X4" s="19" t="inlineStr">
        <is>
          <t>Freight Class</t>
        </is>
      </c>
      <c r="Y4" s="19" t="inlineStr">
        <is>
          <t>Lead Time</t>
        </is>
      </c>
      <c r="Z4" s="19" t="inlineStr">
        <is>
          <t>Replacement Lead Time</t>
        </is>
      </c>
      <c r="AA4" s="19" t="inlineStr">
        <is>
          <t>National Motor Freight Class</t>
        </is>
      </c>
      <c r="AB4" s="19" t="inlineStr">
        <is>
          <t>Flat Pack</t>
        </is>
      </c>
      <c r="AC4" s="19" t="inlineStr">
        <is>
          <t>Ship Palletized</t>
        </is>
      </c>
      <c r="AD4" s="19" t="inlineStr">
        <is>
          <t>Carton Weight 1</t>
        </is>
      </c>
      <c r="AE4" s="19" t="inlineStr">
        <is>
          <t>Carton Height 1</t>
        </is>
      </c>
      <c r="AF4" s="19" t="inlineStr">
        <is>
          <t>Carton Width 1</t>
        </is>
      </c>
      <c r="AG4" s="19" t="inlineStr">
        <is>
          <t>Carton Depth 1</t>
        </is>
      </c>
      <c r="AH4" s="19" t="inlineStr">
        <is>
          <t>Warning Required</t>
        </is>
      </c>
      <c r="AI4" s="19" t="inlineStr">
        <is>
          <t>Chemical 1</t>
        </is>
      </c>
      <c r="AJ4" s="19" t="inlineStr">
        <is>
          <t>Toxicity 1</t>
        </is>
      </c>
      <c r="AK4" s="19" t="inlineStr">
        <is>
          <t>Country Of Manufacturer</t>
        </is>
      </c>
      <c r="AL4" s="19" t="inlineStr">
        <is>
          <t>Image File Name or URL 1</t>
        </is>
      </c>
      <c r="AM4" s="19" t="inlineStr">
        <is>
          <t>Image File Name or URL 2</t>
        </is>
      </c>
      <c r="AN4" s="19" t="inlineStr">
        <is>
          <t>Image File Name or URL 3</t>
        </is>
      </c>
      <c r="AO4" s="19" t="inlineStr">
        <is>
          <t>Image File Name or URL 4</t>
        </is>
      </c>
      <c r="AP4" s="19" t="inlineStr">
        <is>
          <t>Image File Name or URL 5</t>
        </is>
      </c>
      <c r="AQ4" s="19" t="inlineStr">
        <is>
          <t>Video File Name or URL 1</t>
        </is>
      </c>
      <c r="AR4" s="19" t="inlineStr">
        <is>
          <t>Document File Name or URL 1</t>
        </is>
      </c>
      <c r="AS4" s="19" t="inlineStr">
        <is>
          <t>Document Type 1</t>
        </is>
      </c>
      <c r="AT4" s="19" t="inlineStr">
        <is>
          <t>Legal Document Type 1</t>
        </is>
      </c>
      <c r="AU4" s="19" t="inlineStr">
        <is>
          <t>Document Region 1</t>
        </is>
      </c>
      <c r="AV4" s="19" t="inlineStr">
        <is>
          <t>Document Language 1</t>
        </is>
      </c>
      <c r="AW4" s="19" t="inlineStr">
        <is>
          <t>Document File Name or URL 2</t>
        </is>
      </c>
      <c r="AX4" s="19" t="inlineStr">
        <is>
          <t>Document Type 2</t>
        </is>
      </c>
      <c r="AY4" s="19" t="inlineStr">
        <is>
          <t>Legal Document Type 2</t>
        </is>
      </c>
      <c r="AZ4" s="19" t="inlineStr">
        <is>
          <t>Document Region 2</t>
        </is>
      </c>
      <c r="BA4" s="19" t="inlineStr">
        <is>
          <t>Document Language 2</t>
        </is>
      </c>
      <c r="BB4" s="19" t="inlineStr">
        <is>
          <t>Document File Name or URL 3</t>
        </is>
      </c>
      <c r="BC4" s="19" t="inlineStr">
        <is>
          <t>Document Type 3</t>
        </is>
      </c>
      <c r="BD4" s="19" t="inlineStr">
        <is>
          <t>Legal Document Type 3</t>
        </is>
      </c>
      <c r="BE4" s="19" t="inlineStr">
        <is>
          <t>Document Region 3</t>
        </is>
      </c>
      <c r="BF4" s="19" t="inlineStr">
        <is>
          <t>Document Language 3</t>
        </is>
      </c>
      <c r="BG4" s="19" t="inlineStr">
        <is>
          <t>Product Type</t>
        </is>
      </c>
      <c r="BH4" s="19" t="inlineStr">
        <is>
          <t>Pier / Bookcase Included</t>
        </is>
      </c>
      <c r="BI4" s="19" t="inlineStr">
        <is>
          <t>Drawers Included</t>
        </is>
      </c>
      <c r="BJ4" s="19" t="inlineStr">
        <is>
          <t>Number of Drawers</t>
        </is>
      </c>
      <c r="BK4" s="19" t="inlineStr">
        <is>
          <t>Cabinets Included</t>
        </is>
      </c>
      <c r="BL4" s="19" t="inlineStr">
        <is>
          <t>Shelves Included</t>
        </is>
      </c>
      <c r="BM4" s="19" t="inlineStr">
        <is>
          <t>Exterior Shelves Included</t>
        </is>
      </c>
      <c r="BN4" s="19" t="inlineStr">
        <is>
          <t>Interior Shelves Included</t>
        </is>
      </c>
      <c r="BO4" s="19" t="inlineStr">
        <is>
          <t>Bridge Included</t>
        </is>
      </c>
      <c r="BP4" s="19" t="inlineStr">
        <is>
          <t>Furniture Design</t>
        </is>
      </c>
      <c r="BQ4" s="19" t="inlineStr">
        <is>
          <t>Material</t>
        </is>
      </c>
      <c r="BR4" s="19" t="inlineStr">
        <is>
          <t>Purposeful Distressing Type</t>
        </is>
      </c>
      <c r="BS4" s="19" t="inlineStr">
        <is>
          <t>Natural Variation Type</t>
        </is>
      </c>
      <c r="BT4" s="19" t="inlineStr">
        <is>
          <t>Gloss Finish</t>
        </is>
      </c>
      <c r="BU4" s="19" t="inlineStr">
        <is>
          <t>Mirrored</t>
        </is>
      </c>
      <c r="BV4" s="19" t="inlineStr">
        <is>
          <t>Sound Bar Shelf Included</t>
        </is>
      </c>
      <c r="BW4" s="19" t="inlineStr">
        <is>
          <t>Adjustable Shelves</t>
        </is>
      </c>
      <c r="BX4" s="19" t="inlineStr">
        <is>
          <t>Media Storage Included</t>
        </is>
      </c>
      <c r="BY4" s="19" t="inlineStr">
        <is>
          <t>Cable Management</t>
        </is>
      </c>
      <c r="BZ4" s="19" t="inlineStr">
        <is>
          <t>Wheels / Casters Included</t>
        </is>
      </c>
      <c r="CA4" s="19" t="inlineStr">
        <is>
          <t>Fireplace Included</t>
        </is>
      </c>
      <c r="CB4" s="19" t="inlineStr">
        <is>
          <t>Plug-In</t>
        </is>
      </c>
      <c r="CC4" s="19" t="inlineStr">
        <is>
          <t>Tipover Restraint Device Included</t>
        </is>
      </c>
      <c r="CD4" s="19" t="inlineStr">
        <is>
          <t>Integrated TV Mount Included</t>
        </is>
      </c>
      <c r="CE4" s="19" t="inlineStr">
        <is>
          <t>Adjustable Height</t>
        </is>
      </c>
      <c r="CF4" s="19" t="inlineStr">
        <is>
          <t>Supplier Intended and Approved Use</t>
        </is>
      </c>
      <c r="CG4" s="19" t="inlineStr">
        <is>
          <t>Country of Origin - Additional Details</t>
        </is>
      </c>
      <c r="CH4" s="19" t="inlineStr">
        <is>
          <t>Main Wood Joinery Method</t>
        </is>
      </c>
      <c r="CI4" s="19" t="inlineStr">
        <is>
          <t>Kiln-Dried Wood</t>
        </is>
      </c>
      <c r="CJ4" s="19" t="inlineStr">
        <is>
          <t>Wood Species</t>
        </is>
      </c>
      <c r="CK4" s="32" t="inlineStr">
        <is>
          <t>Battery or Batteries Included</t>
        </is>
      </c>
      <c r="CL4" s="33" t="inlineStr">
        <is>
          <t>Battery Composition</t>
        </is>
      </c>
      <c r="CM4" s="33" t="inlineStr">
        <is>
          <t>Battery Type</t>
        </is>
      </c>
      <c r="CN4" s="33" t="inlineStr">
        <is>
          <t>Number of Batteries</t>
        </is>
      </c>
      <c r="CO4" s="33" t="inlineStr">
        <is>
          <t>Battery Shipment</t>
        </is>
      </c>
      <c r="CP4" s="33" t="inlineStr">
        <is>
          <t>Lithium Content</t>
        </is>
      </c>
      <c r="CQ4" s="33" t="inlineStr">
        <is>
          <t>Watt Rating of Cells / Battery</t>
        </is>
      </c>
      <c r="CR4" s="33" t="inlineStr">
        <is>
          <t>Weight of Cells / Battery</t>
        </is>
      </c>
      <c r="CS4" s="19" t="inlineStr">
        <is>
          <t>Adjustable Temperature</t>
        </is>
      </c>
      <c r="CT4" s="19" t="inlineStr">
        <is>
          <t>Adjustable Flame</t>
        </is>
      </c>
      <c r="CU4" s="19" t="inlineStr">
        <is>
          <t>Weight Capacity</t>
        </is>
      </c>
      <c r="CV4" s="19" t="inlineStr">
        <is>
          <t>Product Care</t>
        </is>
      </c>
      <c r="CW4" s="19" t="inlineStr">
        <is>
          <t>Unfinished</t>
        </is>
      </c>
      <c r="CX4" s="19" t="inlineStr">
        <is>
          <t>Shelf Material</t>
        </is>
      </c>
      <c r="CY4" s="19" t="inlineStr">
        <is>
          <t>Color / Finish</t>
        </is>
      </c>
      <c r="CZ4" s="19" t="inlineStr">
        <is>
          <t>Drawer Glide Type &amp; Extension</t>
        </is>
      </c>
      <c r="DA4" s="19" t="inlineStr">
        <is>
          <t>Vent Type</t>
        </is>
      </c>
      <c r="DB4" s="19" t="inlineStr">
        <is>
          <t>Fuel Type</t>
        </is>
      </c>
      <c r="DC4" s="19" t="inlineStr">
        <is>
          <t>Door Design</t>
        </is>
      </c>
      <c r="DD4" s="19" t="inlineStr">
        <is>
          <t>Ribbed Detailing</t>
        </is>
      </c>
      <c r="DE4" s="19" t="inlineStr">
        <is>
          <t>Fluted Detailing</t>
        </is>
      </c>
      <c r="DF4" s="19" t="inlineStr">
        <is>
          <t>Pieces Included</t>
        </is>
      </c>
      <c r="DG4" s="19" t="inlineStr">
        <is>
          <t>Number of Cabinets</t>
        </is>
      </c>
      <c r="DH4" s="19" t="inlineStr">
        <is>
          <t>Drawer Safety Stop</t>
        </is>
      </c>
      <c r="DI4" s="19" t="inlineStr">
        <is>
          <t>Fireplace Type</t>
        </is>
      </c>
      <c r="DJ4" s="19" t="inlineStr">
        <is>
          <t>General Certificate of Conformity (GCC)</t>
        </is>
      </c>
      <c r="DK4" s="32" t="inlineStr">
        <is>
          <t>Composite Wood Product (CWP)</t>
        </is>
      </c>
      <c r="DL4" s="33" t="inlineStr">
        <is>
          <t>CARB Phase II Compliant (formaldehyde emissions)</t>
        </is>
      </c>
      <c r="DM4" s="33" t="inlineStr">
        <is>
          <t>TSCA Title VI Compliant (formaldehyde emissions)</t>
        </is>
      </c>
      <c r="DN4" s="33" t="inlineStr">
        <is>
          <t>CANFER Compliant</t>
        </is>
      </c>
      <c r="DO4" s="19" t="inlineStr">
        <is>
          <t>Uniform Packaging and Labeling Regulations (UPLR) Compliant</t>
        </is>
      </c>
      <c r="DP4" s="32" t="inlineStr">
        <is>
          <t>Canada Product Restriction</t>
        </is>
      </c>
      <c r="DQ4" s="33" t="inlineStr">
        <is>
          <t>Reason for Restriction</t>
        </is>
      </c>
      <c r="DR4" s="19" t="inlineStr">
        <is>
          <t>UL 1678 Listed</t>
        </is>
      </c>
      <c r="DS4" s="32" t="inlineStr">
        <is>
          <t>Hazardous Material / Dangerous Goods</t>
        </is>
      </c>
      <c r="DT4" s="33" t="inlineStr">
        <is>
          <t>UN or ID number</t>
        </is>
      </c>
      <c r="DU4" s="33" t="inlineStr">
        <is>
          <t>Hazard Class(es)</t>
        </is>
      </c>
      <c r="DV4" s="33" t="inlineStr">
        <is>
          <t>Packing Group</t>
        </is>
      </c>
      <c r="DW4" s="33" t="inlineStr">
        <is>
          <t>Hazardous Material Weight</t>
        </is>
      </c>
      <c r="DX4" s="19" t="inlineStr">
        <is>
          <t>Energy Efficiency Regulations Compliant</t>
        </is>
      </c>
      <c r="DY4" s="32" t="inlineStr">
        <is>
          <t>Safety Listing(s)</t>
        </is>
      </c>
      <c r="DZ4" s="33" t="inlineStr">
        <is>
          <t>Safety Listing(s) Registration Number</t>
        </is>
      </c>
      <c r="EA4" s="19" t="inlineStr">
        <is>
          <t>CPSC - 16 CFR 1263 Compliant (Reese's Law)</t>
        </is>
      </c>
      <c r="EB4" s="19" t="inlineStr">
        <is>
          <t>ISTA Certified</t>
        </is>
      </c>
      <c r="EC4" s="19" t="inlineStr">
        <is>
          <t>Sustainability &amp; Social Responsibility Certifications (North America Only)</t>
        </is>
      </c>
      <c r="ED4" s="19" t="inlineStr">
        <is>
          <t>Commercial Certifications</t>
        </is>
      </c>
      <c r="EE4" s="19" t="inlineStr">
        <is>
          <t>TV Stand Width - Side to Side</t>
        </is>
      </c>
      <c r="EF4" s="19" t="inlineStr">
        <is>
          <t>TV Stand Depth - Front to Back</t>
        </is>
      </c>
      <c r="EG4" s="19" t="inlineStr">
        <is>
          <t>Overall Entertainment Center Height - Top to Bottom</t>
        </is>
      </c>
      <c r="EH4" s="19" t="inlineStr">
        <is>
          <t>Overall Entertainment Center Width - Side to Side</t>
        </is>
      </c>
      <c r="EI4" s="19" t="inlineStr">
        <is>
          <t>Overall Entertainment Center Depth - Front to Back</t>
        </is>
      </c>
      <c r="EJ4" s="19" t="inlineStr">
        <is>
          <t>Overall Product Weight</t>
        </is>
      </c>
      <c r="EK4" s="19" t="inlineStr">
        <is>
          <t>Maximum TV Screen Size Accommodated</t>
        </is>
      </c>
      <c r="EL4" s="19" t="inlineStr">
        <is>
          <t>TV Stand Overall Height - Top to Bottom</t>
        </is>
      </c>
      <c r="EM4" s="19" t="inlineStr">
        <is>
          <t>Assembly Required</t>
        </is>
      </c>
      <c r="EN4" s="19" t="inlineStr">
        <is>
          <t>Level of Assembly</t>
        </is>
      </c>
      <c r="EO4" s="19" t="inlineStr">
        <is>
          <t>Additional Tools Required (Not Included)</t>
        </is>
      </c>
      <c r="EP4" s="32" t="inlineStr">
        <is>
          <t>Commercial Warranty</t>
        </is>
      </c>
      <c r="EQ4" s="33" t="inlineStr">
        <is>
          <t>Commercial Warranty Length</t>
        </is>
      </c>
      <c r="ER4" s="19" t="inlineStr">
        <is>
          <t>Product Warranty</t>
        </is>
      </c>
      <c r="ES4" s="19" t="inlineStr">
        <is>
          <t>Full or Limited Warranty</t>
        </is>
      </c>
      <c r="ET4" s="19" t="inlineStr">
        <is>
          <t>Warranty Length</t>
        </is>
      </c>
    </row>
    <row r="5" ht="50" customHeight="1">
      <c r="B5" s="34" t="inlineStr">
        <is>
          <t>Must be less than 64 characters and must be a unique value (products cannot be added if they have the same part number as something you already have in your catalog). This is the supplier-specific value for the product as it appears on your Inventory Feed and Purchased Orders.</t>
        </is>
      </c>
      <c r="C5" s="34" t="inlineStr">
        <is>
          <t>The Amazon Standard Identification Number (ASIN) is a 10-character alphanumeric unique identifier assigned by Amazon.com and its partners for product identification within the Amazon organization. The Amazon Seller SKU is Amazon's identifier for your product that allows you to fulfill the product through Amazon shipping even when selling the product on other sites like Wayfair.</t>
        </is>
      </c>
      <c r="D5" s="34" t="inlineStr">
        <is>
          <t>Enter your product's brand (may be the same as the product's manufacturer). New brands must be created in the brand management tool in Partner Home before they can be selected here.</t>
        </is>
      </c>
      <c r="E5" s="34" t="inlineStr">
        <is>
          <t>Must be less than 64 characters and must be a unique value (products cannot be added if they have the same part number as something you already have in your catalog). This is the part number provided by the manufacturer.</t>
        </is>
      </c>
      <c r="F5" s="34" t="inlineStr">
        <is>
          <t>Must follow the standard UPC format and must be a unique value (products cannot be added if they have the same UPC as something you already have in your catalog).</t>
        </is>
      </c>
      <c r="G5" s="34" t="inlineStr">
        <is>
          <t>Please do not use abbreviations or exceed the 255 character limit. Wayfair may adjust the provided name based on marketing standards per class.</t>
        </is>
      </c>
      <c r="H5" s="34" t="inlineStr">
        <is>
          <t>If the product belongs to a collection of associated products that are not just product variances/options, enter the collection here. This can match with collections of products you already sell on site. For example, a collection may be a bed and nightstand that both follow a modern theme, but would not be a bed that comes in two separate colors. Products in a collection do not share the same listing on site.</t>
        </is>
      </c>
      <c r="I5" s="34" t="inlineStr">
        <is>
          <t>Enter the URL for the specific manufacturer product page of your product.</t>
        </is>
      </c>
      <c r="J5" s="34" t="inlineStr">
        <is>
          <t>Your supplier profile preference for currency is used to determine the currency of the base (wholesale) cost provided.</t>
        </is>
      </c>
      <c r="K5" s="34" t="inlineStr">
        <is>
          <t>The region selected for this sheet is used to determine the currency of the MAP provided. This may differ from the currency of your base cost.</t>
        </is>
      </c>
      <c r="L5" s="34" t="inlineStr">
        <is>
          <t>The region selected for this sheet is used to determine the currency of the MSRP provided. This may differ from the currency of your base cost.</t>
        </is>
      </c>
      <c r="M5" s="34" t="inlineStr">
        <is>
          <t>Please do not use special symbols (trademark, copyright, etc.) or extra lines/spacing. This should be a short, single paragraph product description in complete sentences highlighting details about key product information.</t>
        </is>
      </c>
      <c r="N5" s="34" t="inlineStr">
        <is>
          <t>15 words or less, describing one aspect of the product, eg., Unique aspects, benefits, use cases, technology. These provide customers with key facts at first glance and help them to decide whether they want to make the purchase. If no marketing copy is provided, then at least 3 feature bullets must be provided.</t>
        </is>
      </c>
      <c r="O5" s="34" t="inlineStr">
        <is>
          <t>15 words or less, describing one aspect of the product, eg., Unique aspects, benefits, use cases, technology. These provide customers with key facts at first glance and help them to decide whether they want to make the purchase. If no marketing copy is provided, then at least 3 feature bullets must be provided.</t>
        </is>
      </c>
      <c r="P5" s="34" t="inlineStr">
        <is>
          <t>15 words or less, describing one aspect of the product, eg., Unique aspects, benefits, use cases, technology. These provide customers with key facts at first glance and help them to decide whether they want to make the purchase. If no marketing copy is provided, then at least 3 feature bullets must be provided.</t>
        </is>
      </c>
      <c r="Q5" s="34" t="inlineStr">
        <is>
          <t>15 words or less, describing one aspect of the product, eg., Unique aspects, benefits, use cases, technology. These provide customers with key facts at first glance and help them to decide whether they want to make the purchase. If no marketing copy is provided, then at least 3 feature bullets must be provided.</t>
        </is>
      </c>
      <c r="R5" s="34" t="inlineStr">
        <is>
          <t>15 words or less, describing one aspect of the product, eg., Unique aspects, benefits, use cases, technology. These provide customers with key facts at first glance and help them to decide whether they want to make the purchase. If no marketing copy is provided, then at least 3 feature bullets must be provided.</t>
        </is>
      </c>
      <c r="S5" s="34" t="inlineStr">
        <is>
          <t>The minimum count of items a customer must choose to purchase the product.</t>
        </is>
      </c>
      <c r="T5" s="34" t="inlineStr">
        <is>
          <t>This represents how many items the customer must buy in increments of, or in addition to. For example, a multiplier of 2 would mean a custom must buy 1 quantity, 3 quantity, 5 quantity, or some other multiple of 2.</t>
        </is>
      </c>
      <c r="U5" s="34" t="inlineStr">
        <is>
          <t>Number of items represented by the part number and wholesale price. For example, if you want to sell a bundle of pillows, and the part number and wholesale cost you provided represents that full bundle of pillows, then you would answer the Display Set Quantity question with how many pillows are in the bundle.</t>
        </is>
      </c>
      <c r="V5" s="34" t="inlineStr">
        <is>
          <t>[Pounds] What is the total weight of this product once assembled? Please enter just the number (i.e. 45.5) without a unit of measurement.</t>
        </is>
      </c>
      <c r="W5" s="34" t="inlineStr">
        <is>
          <t>Enter small parcel or LTL to indicate how the product can ship based on size and weight.</t>
        </is>
      </c>
      <c r="X5" s="34" t="inlineStr">
        <is>
          <t>Each product falls into 1 of 18 classes determined by a product's 'transportability' and are crucial for calculating shipping cost. The field is required when ship type is LTL.</t>
        </is>
      </c>
      <c r="Y5" s="34" t="inlineStr">
        <is>
          <t>[Hours] This is the length of time from receipt of PO to shipment from the warehouse.</t>
        </is>
      </c>
      <c r="Z5" s="34" t="inlineStr">
        <is>
          <t>[Hours] This is length of time from receipt of a replacement PO to shipment from the warehouse</t>
        </is>
      </c>
      <c r="AA5" s="34" t="inlineStr">
        <is>
          <t>5 to 7 digit number in length (depending on any sub classification) that will identify what is shipping in the box</t>
        </is>
      </c>
      <c r="AB5" s="34" t="inlineStr">
        <is>
          <t>Also known as 'knocked down'. Select 'Yes' if this product ships disassembled in a flat pack box.</t>
        </is>
      </c>
      <c r="AC5" s="34" t="inlineStr">
        <is>
          <t>Select 'Yes' if this product ships on a pallet.</t>
        </is>
      </c>
      <c r="AD5" s="34" t="inlineStr">
        <is>
          <t>[Pounds] Enter in the shipping weight (i.e. 45.5) of the packaging used for the product.  If the product ships in more than one box, this measurement is per box.</t>
        </is>
      </c>
      <c r="AE5" s="34" t="inlineStr">
        <is>
          <t>[Inches] Enter in the shipping height (i.e. 45.5) of the packaging used for the product.  If the product ships in more than one box, this measurement is per box.</t>
        </is>
      </c>
      <c r="AF5" s="34" t="inlineStr">
        <is>
          <t>[Inches] Enter in the shipping width (i.e. 45.5) of the packaging used for the product.  If the product ships in more than one box, this measurement is per box.</t>
        </is>
      </c>
      <c r="AG5" s="34" t="inlineStr">
        <is>
          <t>[Inches] Enter in the shipping depth (i.e. 45.5) of the packaging used for the product.  If the product ships in more than one box, this measurement is per box.</t>
        </is>
      </c>
      <c r="AH5" s="34" t="inlineStr">
        <is>
          <t>If the product requires a warning for Proposition 65 compliance in California, answer 'Yes' and indicate which chemicals and toxicities are applicable.</t>
        </is>
      </c>
      <c r="AI5" s="34" t="inlineStr">
        <is>
          <t>Select the chemical that requires the Prop65 warning.</t>
        </is>
      </c>
      <c r="AJ5" s="34" t="inlineStr">
        <is>
          <t>Select the toxicity that can result from the selected chemical.</t>
        </is>
      </c>
      <c r="AK5" s="34" t="inlineStr">
        <is>
          <t>Provide only a single country of manufacture for each product.</t>
        </is>
      </c>
      <c r="AL5" s="34" t="inlineStr">
        <is>
          <t>Your first image will be set as the lead image for this listing, however, is subject to change upon Wayfair review. For each image uploaded, provide the file name with extension (e.g. PART_1.jpeg) or a direct public URL which leads to a single image (tip: to isolate the image, right click + select Open Image in New Tab). Elements like logos, buttons, etc will interfere with our ability to download the image. Do not exceed 20 images per product.</t>
        </is>
      </c>
      <c r="AM5" s="34" t="inlineStr">
        <is>
          <t>Your first image will be set as the lead image for this listing, however, is subject to change upon Wayfair review. For each image uploaded, provide the file name with extension (e.g. PART_1.jpeg) or a direct public URL which leads to a single image (tip: to isolate the image, right click + select Open Image in New Tab). Elements like logos, buttons, etc will interfere with our ability to download the image. Do not exceed 20 images per product.</t>
        </is>
      </c>
      <c r="AN5" s="34" t="inlineStr">
        <is>
          <t>Your first image will be set as the lead image for this listing, however, is subject to change upon Wayfair review. For each image uploaded, provide the file name with extension (e.g. PART_1.jpeg) or a direct public URL which leads to a single image (tip: to isolate the image, right click + select Open Image in New Tab). Elements like logos, buttons, etc will interfere with our ability to download the image. Do not exceed 20 images per product.</t>
        </is>
      </c>
      <c r="AO5" s="34" t="inlineStr">
        <is>
          <t>Your first image will be set as the lead image for this listing, however, is subject to change upon Wayfair review. For each image uploaded, provide the file name with extension (e.g. PART_1.jpeg) or a direct public URL which leads to a single image (tip: to isolate the image, right click + select Open Image in New Tab). Elements like logos, buttons, etc will interfere with our ability to download the image. Do not exceed 20 images per product.</t>
        </is>
      </c>
      <c r="AP5" s="34" t="inlineStr">
        <is>
          <t>Your first image will be set as the lead image for this listing, however, is subject to change upon Wayfair review. For each image uploaded, provide the file name with extension (e.g. PART_1.jpeg) or a direct public URL which leads to a single image (tip: to isolate the image, right click + select Open Image in New Tab). Elements like logos, buttons, etc will interfere with our ability to download the image. Do not exceed 20 images per product.</t>
        </is>
      </c>
      <c r="AQ5" s="34" t="inlineStr">
        <is>
          <t>Provide the video’s file name with extension for separate uploads or a direct public URL. Do not exceed 10 videos per product.</t>
        </is>
      </c>
      <c r="AR5" s="34" t="inlineStr">
        <is>
          <t>Provide the document’s file name with extension for separate uploads or a direct public URL. Do not exceed 10 documents per product.</t>
        </is>
      </c>
      <c r="AS5" s="34" t="inlineStr">
        <is>
          <t>Select one or more values from the provided list that best describe the document’s purpose. This classification helps customers easily find information like “Installation &amp; Assembly” guides, “Warranty Information,” or “Specifications.</t>
        </is>
      </c>
      <c r="AT5" s="34" t="inlineStr">
        <is>
          <t>If the document serves as a legal notice or certification (e.g., “ASTM F2057 - 19,” “ANSI A117.1 Compliant”), select the specific type(s) from the provided list. This is used for compliance and to display certifications to customers.</t>
        </is>
      </c>
      <c r="AU5" s="34" t="inlineStr">
        <is>
          <t>Select the country or region where this document is legally applicable. This is crucial for compliance-related documents that may differ across locations.</t>
        </is>
      </c>
      <c r="AV5" s="34" t="inlineStr">
        <is>
          <t>Select the language in which the document is written.</t>
        </is>
      </c>
      <c r="AW5" s="34" t="inlineStr">
        <is>
          <t>Provide the document’s file name with extension for separate uploads or a direct public URL. Do not exceed 10 documents per product.</t>
        </is>
      </c>
      <c r="AX5" s="34" t="inlineStr">
        <is>
          <t>Select one or more values from the provided list that best describe the document’s purpose. This classification helps customers easily find information like “Installation &amp; Assembly” guides, “Warranty Information,” or “Specifications.</t>
        </is>
      </c>
      <c r="AY5" s="34" t="inlineStr">
        <is>
          <t>If the document serves as a legal notice or certification (e.g., “ASTM F2057 - 19,” “ANSI A117.1 Compliant”), select the specific type(s) from the provided list. This is used for compliance and to display certifications to customers.</t>
        </is>
      </c>
      <c r="AZ5" s="34" t="inlineStr">
        <is>
          <t>Select the country or region where this document is legally applicable. This is crucial for compliance-related documents that may differ across locations.</t>
        </is>
      </c>
      <c r="BA5" s="34" t="inlineStr">
        <is>
          <t>Select the language in which the document is written.</t>
        </is>
      </c>
      <c r="BB5" s="34" t="inlineStr">
        <is>
          <t>Provide the document’s file name with extension for separate uploads or a direct public URL. Do not exceed 10 documents per product.</t>
        </is>
      </c>
      <c r="BC5" s="34" t="inlineStr">
        <is>
          <t>Select one or more values from the provided list that best describe the document’s purpose. This classification helps customers easily find information like “Installation &amp; Assembly” guides, “Warranty Information,” or “Specifications.</t>
        </is>
      </c>
      <c r="BD5" s="34" t="inlineStr">
        <is>
          <t>If the document serves as a legal notice or certification (e.g., “ASTM F2057 - 19,” “ANSI A117.1 Compliant”), select the specific type(s) from the provided list. This is used for compliance and to display certifications to customers.</t>
        </is>
      </c>
      <c r="BE5" s="34" t="inlineStr">
        <is>
          <t>Select the country or region where this document is legally applicable. This is crucial for compliance-related documents that may differ across locations.</t>
        </is>
      </c>
      <c r="BF5" s="34" t="inlineStr">
        <is>
          <t>Select the language in which the document is written.</t>
        </is>
      </c>
      <c r="BG5" s="34" t="inlineStr">
        <is>
          <t>What type of product is this?</t>
        </is>
      </c>
      <c r="BH5" s="34" t="inlineStr">
        <is>
          <t>Does this product have a pier / bookcase included?</t>
        </is>
      </c>
      <c r="BI5" s="34" t="inlineStr">
        <is>
          <t>Does this product have any drawers?</t>
        </is>
      </c>
      <c r="BJ5" s="34" t="inlineStr">
        <is>
          <t>How many drawers are included in this product?</t>
        </is>
      </c>
      <c r="BK5" s="34" t="inlineStr">
        <is>
          <t>Does this product include cabinets?</t>
        </is>
      </c>
      <c r="BL5" s="34" t="inlineStr">
        <is>
          <t>Does this product include shelves?</t>
        </is>
      </c>
      <c r="BM5" s="34" t="inlineStr">
        <is>
          <t>Does this product have an open space with either another shelf above it or the top surface of the product above it? We do not define the top surface of the Accent Chest/Cabinet as an exterior shelf.</t>
        </is>
      </c>
      <c r="BN5" s="34" t="inlineStr">
        <is>
          <t>Does this product have interior shelves included?</t>
        </is>
      </c>
      <c r="BO5" s="34" t="inlineStr">
        <is>
          <t>Does this product have a bridge included?</t>
        </is>
      </c>
      <c r="BP5" s="34" t="inlineStr">
        <is>
          <t>What is the design of the piece of furniture?</t>
        </is>
      </c>
      <c r="BQ5" s="34" t="inlineStr">
        <is>
          <t>What material is the product made of?</t>
        </is>
      </c>
      <c r="BR5" s="34" t="inlineStr">
        <is>
          <t>What specific type of distressing does this product have? Select all that apply.</t>
        </is>
      </c>
      <c r="BS5" s="34" t="inlineStr">
        <is>
          <t>Which of the following types of natural variation and texture does the product have? Multiple can be selected if applicable. If the product does NOT have natural variation, please select No Natural Variation.</t>
        </is>
      </c>
      <c r="BT5" s="34" t="inlineStr">
        <is>
          <t>Does this product have a shiny and sheer gloss finish over the normal painted finish?</t>
        </is>
      </c>
      <c r="BU5" s="34" t="inlineStr">
        <is>
          <t>Is the surface of the product mirrored? Please do not select “yes” if the product only features a mirror. This question refers to the surface material of the product, and if it is reflective.</t>
        </is>
      </c>
      <c r="BV5" s="34" t="inlineStr">
        <is>
          <t>Does this product have a sound bar shelf included?</t>
        </is>
      </c>
      <c r="BW5" s="34" t="inlineStr">
        <is>
          <t>Does this product have adjustable shelves?</t>
        </is>
      </c>
      <c r="BX5" s="34" t="inlineStr">
        <is>
          <t>Does this product have media storage included?</t>
        </is>
      </c>
      <c r="BY5" s="34" t="inlineStr">
        <is>
          <t>Does this product have any built-in cable or wire management, such as a hole specifically for wires (a grommet) or a tray where wires can be stored?</t>
        </is>
      </c>
      <c r="BZ5" s="34" t="inlineStr">
        <is>
          <t>Does this product have wheels or casters?</t>
        </is>
      </c>
      <c r="CA5" s="34" t="inlineStr">
        <is>
          <t>Does this product have a fireplace included?</t>
        </is>
      </c>
      <c r="CB5" s="34" t="inlineStr">
        <is>
          <t>If this product requires electricity can it be plugged into a household outlet via an integral corded plug or an AC adapter? If this product does not require electricity or if this product requires electricity but does not/cannot use household AC voltages (with or without an AC adapter) please select "No".</t>
        </is>
      </c>
      <c r="CC5" s="34" t="inlineStr">
        <is>
          <t>Does this product include a device to prevent the product from tipping over? Tipover restraint devices (TRDs) include brackets, straps, or other specialized hardware</t>
        </is>
      </c>
      <c r="CD5" s="34" t="inlineStr">
        <is>
          <t>Does this product have an integrated tv mount included?</t>
        </is>
      </c>
      <c r="CE5" s="34" t="inlineStr">
        <is>
          <t>Is the height of this product adjustable?</t>
        </is>
      </c>
      <c r="CF5" s="34" t="inlineStr">
        <is>
          <t>What type of environmental setting was this product designed and manufactured to be used in? Note: your answer indicates that Wayfair is able to market this product as being intended for use in the selected setting(s). Please select both, if both options apply.</t>
        </is>
      </c>
      <c r="CG5" s="34" t="inlineStr">
        <is>
          <t>Does this product and/or packaging have additional advertising or labeling details regarding claims about the product’s origin? Please use this field to provide a qualified or unqualified claim regarding the product origin in accordance with US Federal Trade Commission (FTC) and Canada Competition Bureau regulations. Additionally, if applicable, please use this field to communicate any appropriate qualified, comparative, or descriptive claims regarding the origin of the product. Examples include, but are not limited to, communicating relevant percentage of domestic and non-domestic content (ex: 60% U.S. Content), communicating the origin of certain components of the product (ex: "Hand carved in U.S. — Wood from Philippines"), or communicating where the product was assembled (Ex : “Assembled In Mexico”). See https://www.ftc.gov/tips-advice/business-center/guidance/complying-made-usa-standard#qualified  and https://www.competitionbureau.gc.ca/eic/site/cb-bc.nsf/eng/03169.html</t>
        </is>
      </c>
      <c r="CH5" s="34" t="inlineStr">
        <is>
          <t>Which technique was used to join together the main pieces of wood to construct the overall product?</t>
        </is>
      </c>
      <c r="CI5" s="34" t="inlineStr">
        <is>
          <t>Is the wood kiln-dried? If product is not made of wood, please select "does not apply."</t>
        </is>
      </c>
      <c r="CJ5" s="34" t="inlineStr">
        <is>
          <t>What type of wood was used to construct this product? This describes the actual materials used, not the product's appearance.</t>
        </is>
      </c>
      <c r="CK5" s="34" t="inlineStr">
        <is>
          <t>Is the product a battery or does the product include batteries?</t>
        </is>
      </c>
      <c r="CL5" s="34" t="inlineStr">
        <is>
          <t>What is the composition of the batteries included with product?</t>
        </is>
      </c>
      <c r="CM5" s="34" t="inlineStr">
        <is>
          <t>What type is the battery? Button Cell, Cell, Battery?</t>
        </is>
      </c>
      <c r="CN5" s="34" t="inlineStr">
        <is>
          <t>Confirm number of batteries in this product</t>
        </is>
      </c>
      <c r="CO5" s="34" t="inlineStr">
        <is>
          <t>Do the cells/batteries ship stand alone/packed with the equipment/ contained (installed) in the equipment?</t>
        </is>
      </c>
      <c r="CP5" s="34" t="inlineStr">
        <is>
          <t>What is the aggregate lithium content of the cell/battery?  Aggregate lithium content means the sum of the grams of lithium content contained by the cells comprising a battery.
Please note, this is the weight weight of the lithium in the cell or battery, and not the weight of the entire cell or battery.</t>
        </is>
      </c>
      <c r="CQ5" s="34" t="inlineStr">
        <is>
          <t>What is the Watt-hour(Wh) rating of the cell/battery?  The Watt-hour rating of a lithium cell or battery is calculated by multiplying the rated capacity in ampere-hours by the nominal voltage.
If only the milliampere-hours (mAh) are marked on the battery then divide that number by 1000 to get ampere-hours (Ah) (i.e. 4400 mAh / 1000 = 4.4. Ah).</t>
        </is>
      </c>
      <c r="CR5" s="34" t="inlineStr">
        <is>
          <t>What is the net weight of the cells or batteries that ship with the product in grams or kilograms.</t>
        </is>
      </c>
      <c r="CS5" s="34" t="inlineStr">
        <is>
          <t>Can the amount of heat be adjusted?</t>
        </is>
      </c>
      <c r="CT5" s="34" t="inlineStr">
        <is>
          <t>Can the brightness, size, or color of the flame be adjusted?</t>
        </is>
      </c>
      <c r="CU5" s="34" t="inlineStr">
        <is>
          <t>[Pounds] What is the maximum weight capacity of the product? Please enter just the number (i.e., 45.5).</t>
        </is>
      </c>
      <c r="CV5" s="34" t="inlineStr">
        <is>
          <t>What is the appropriate way to clean and/or care for this product? Please select as many answers as applicable.</t>
        </is>
      </c>
      <c r="CW5" s="34" t="inlineStr">
        <is>
          <t>Is this product unfinished (no paint, stain, or varnish)?</t>
        </is>
      </c>
      <c r="CX5" s="34" t="inlineStr">
        <is>
          <t>What material are the shelves made of?</t>
        </is>
      </c>
      <c r="CY5" s="34" t="inlineStr">
        <is>
          <t>What is the color or finish of the product? If your color/finish name is not listed, please type in the value.</t>
        </is>
      </c>
      <c r="CZ5" s="34" t="inlineStr">
        <is>
          <t>Please select which type of glide the drawer features and/or how far it can extend.</t>
        </is>
      </c>
      <c r="DA5" s="34" t="inlineStr">
        <is>
          <t>What type of vent does this product have?</t>
        </is>
      </c>
      <c r="DB5" s="34" t="inlineStr">
        <is>
          <t>What is the source of fuel needed in order for this product to function?</t>
        </is>
      </c>
      <c r="DC5" s="34" t="inlineStr">
        <is>
          <t>Please select the design of the product.</t>
        </is>
      </c>
      <c r="DD5" s="34" t="inlineStr">
        <is>
          <t>Is there a a raised pattern of parallel lines on a surface of this product?</t>
        </is>
      </c>
      <c r="DE5" s="34" t="inlineStr">
        <is>
          <t>Is there a a concave pattern of parallel lines on a surface of this product?</t>
        </is>
      </c>
      <c r="DF5" s="34" t="inlineStr">
        <is>
          <t>What pieces are included with this product?</t>
        </is>
      </c>
      <c r="DG5" s="34" t="inlineStr">
        <is>
          <t>How many cabinets does this product have?</t>
        </is>
      </c>
      <c r="DH5" s="34" t="inlineStr">
        <is>
          <t>Do any drawers feature safety stops (intended to keep the drawers from pulling all the way out)?</t>
        </is>
      </c>
      <c r="DI5" s="34" t="inlineStr">
        <is>
          <t>What type of Fireplace is included?</t>
        </is>
      </c>
      <c r="DJ5" s="34" t="inlineStr">
        <is>
          <t>Does this product have a General Certificate of Conformity (GCC), as required by the U.S. CPSC for certain product classes?</t>
        </is>
      </c>
      <c r="DK5" s="34" t="inlineStr">
        <is>
          <t>FOR COMPLIANCE PURPOSES. Not customer facing information. 
 Does this product include any pieces made of manufactured or composite wood products (CWP)  This includes any of the following
 1) HWPW-CC [Hardwood Plywood with Composite Core] 
 2) HWPW-VC [Hardwood Plywood with Veneer Core] 
 3) PB [Particleboard] 
 4) MDF or thin-MDF [Medium Density Fiberboard]</t>
        </is>
      </c>
      <c r="DL5" s="34" t="inlineStr">
        <is>
          <t>Is this product certified compliant for CARB ATCM Phase II formaldehyde emission standards from Composite Wood Products [California Air Resources Board (CARB)- Airborne Toxic Control Measures (ATCM) Phase II]</t>
        </is>
      </c>
      <c r="DM5" s="34" t="inlineStr">
        <is>
          <t>Is this product certified TSCA Title VI compliant regarding formaldehyde emissions from Composite Wood Products [Environmental Protection Agency (EPA)-Toxic Substance Control Act (TSCA)-Title VI]</t>
        </is>
      </c>
      <c r="DN5" s="34" t="inlineStr">
        <is>
          <t>Is this product CANFER compliant regarding formaldehyde emissions from composite wood products? [Canada Formaldehyde Emissions Regulation] NOTE: Please provide proof of certification to applicable formaldehyde emissions standards and a Declaration of Certification.
More information on the Declaration of Certification and on other requirements for CANFER compliance can be found in Health Canada's Guidance Document (https://bit.ly/3FvYK2B) or by contacting any of our Product Compliance Resources (https://bit.ly/3h8EIlw).</t>
        </is>
      </c>
      <c r="DO5" s="34" t="inlineStr">
        <is>
          <t>Does your product comply with the Uniform Packaging and Labeling Regulations, which requires product packaging to be accurate and provide adequate information as to the identity and quantity of its contents, as well as the name and address of the manufacturer and/or distributor?</t>
        </is>
      </c>
      <c r="DP5" s="34" t="inlineStr">
        <is>
          <t>Is this product legally or operationally restricted from being offered for sale to Canadian customers on Wayfair.ca or delivered to Canadian addresses? Select “Yes” only if the product cannot legally be sold or shipped to Canada. For example, if it requires a license or certification you do not hold, or if you operate through a separate Canadian entity that cannot support the listing.</t>
        </is>
      </c>
      <c r="DQ5" s="34" t="inlineStr">
        <is>
          <t>Please select the reason this product can not ship to Canada?  Please select from the options or write in a reason if not selectable</t>
        </is>
      </c>
      <c r="DR5" s="34" t="inlineStr">
        <is>
          <t>Is this product UL 1678 Listed? This means that the international standards testing company UL (Underwriters' Laboratories) has tested this product and found it to be in compliance with Category 1678 safety standards.</t>
        </is>
      </c>
      <c r="DS5" s="34" t="inlineStr">
        <is>
          <t>Is the product regulated as Hazardous Material / Dangerous Goods?
Hazardous Materials/Dangerous Goods are substances that when transported pose a risk to health, safety, property or the environment.  
These materials may include explosives, compressed gases (aerosols), flammable liquids, oxidizers, toxic/poisonous, radioactive, corrosive, batteries, etc.
An SDS is is a document that lists information relating to occupational safety and health for the use of various substances and products. 
The SDS includes information such as the properties of each chemical; the physical, health, and environmental health hazards; protective measures; and safety precautions for handling, storing, and transporting the chemical or product.</t>
        </is>
      </c>
      <c r="DT5" s="34" t="inlineStr">
        <is>
          <t>Please provide the UN or ID number. The UN or ID number is a 4 digit numeric code that identifies hazardous materials/dangerous goods, and articles in the framework of international and domestic transport. This can be found in section 14 of the Safety Data Sheet (SDS). Example - "UN3480" - Lithium Ion Batteries. If your UN number is not one of the options in the dropdown, please write this in manually.</t>
        </is>
      </c>
      <c r="DU5" s="34" t="inlineStr">
        <is>
          <t>Please provide the Hazard Class(es).  This is the category of hazard assigned to a hazardous material/dangerous goods under the definitional criteria of the transportation regulations. A material may meet the defining criteria for more than one hazard class but is assigned to only one hazard class. Hazard classes vary from 1-9.This can be found in section 14 of the Safety Data Sheet (SDS).</t>
        </is>
      </c>
      <c r="DV5" s="34" t="inlineStr">
        <is>
          <t>Please provide the packing group (if applicable).  Packing Groups I, II and III indicate the degree of danger presented by the material is great, medium or minor, respectively. Some hazardous materials/dangerous goods do not have a packing group assigned. This can be found in section 14 of the Safety Data Sheet (SDS).</t>
        </is>
      </c>
      <c r="DW5" s="34" t="inlineStr">
        <is>
          <t>Please provide the net weight or, for liquids, the net volume of hazardous material per unit of product. Provide the net weight of the hazardous materials/dangerous goods in your product in grams or kilograms.  For example -if your product is a vacuum containing a lithium ion battery, you would enter the net weight of the battery.</t>
        </is>
      </c>
      <c r="DX5" s="34" t="inlineStr">
        <is>
          <t>Is this product compliant with U.S. Energy Efficiency requirements, including those set forth in the Energy Policy and Conservation Act of 1975 (ECPA), the National Appliance Energy Conservation Act (NAECA), the Energy Policy Act of 1992 and 2005, and the Energy Independence and Security Act of 2007, as applicable?</t>
        </is>
      </c>
      <c r="DY5" s="34" t="inlineStr">
        <is>
          <t>Which of the following certification or verification marks does your product have? If the item is not certified/verified with any safety listing, please select Does Not Apply.</t>
        </is>
      </c>
      <c r="DZ5" s="34" t="inlineStr">
        <is>
          <t>In a comma separated list, please outline the registration numbers associated to the safety listings you claimed this product has, in the following structure: Safety Listing - Registration Number. Example: UL Listed - ABC1234567, TÜV Rheinland Certified - DEFGH8910. This number may be referred to as a "Certification Number", "File Number", "Model Number", "Listing Number" or "Certification ID Number" depending on where the certification is from</t>
        </is>
      </c>
      <c r="EA5" s="34" t="inlineStr">
        <is>
          <t>Is this product compliant with 16 CFR 1263, the safety standard for button cell or coin batteries adopted per the requirements under Reese's Law? Testing to ANSI/UL 4200A-2023 demonstrates compliance. Please Note: A "No" answer to this question will result in your product being restricted from sale.</t>
        </is>
      </c>
      <c r="EB5" s="34" t="inlineStr">
        <is>
          <t>Is the packaging for this SKU ISTA Certified (1A, 3A, 6A)?</t>
        </is>
      </c>
      <c r="EC5" s="34" t="inlineStr">
        <is>
          <t>Do you have any certifications or credentials related to environmental sustainability, social responsibility, or ethical sourcing (e.g.,OEKO-TEX®, GREENGUARD, GoodWeave, Fair Trade, FSC, etc.)? To see examples of certificates currently part of our Shop Sustainably program, please visit: https://www.aboutwayfair.com/shop-sustainably. Please upload all related certificates so your products can be merchandised as part of the Shop Sustainably program.</t>
        </is>
      </c>
      <c r="ED5" s="34" t="inlineStr">
        <is>
          <t>For BIFMA Accredited products, suppliers must upload an ANSI/BIFMA durability-related testing document for the product from an ISO 17025 accredited lab. For BIFMA Equivalent products, suppliers must upload an ANSI/BIFMA durability-related testing document for the product, but the lab is not required to be ISO 17025 accredited. For Contract Grade Accredited products, suppliers must upload a testing document that aligns with Wayfair’s contract grade standards, along with a signed consent letter. Reference the Contract Grade help center article or reach out to your relationship manager for more information.</t>
        </is>
      </c>
      <c r="EE5" s="34" t="inlineStr">
        <is>
          <t>[Inches] What is the overall width of the TV Stand (side to side)? Please enter just the number (i.e. 45.5). Please DO NOT duplicate this tag - any additional information can be stored in Shelf Dimensions, Cabinet Dimensions, or as a bullet.</t>
        </is>
      </c>
      <c r="EF5" s="34" t="inlineStr">
        <is>
          <t>[Inches] What is the overall depth of the TV Stand (front to back)? Please enter just the number (i.e. 45.5).</t>
        </is>
      </c>
      <c r="EG5" s="34" t="inlineStr">
        <is>
          <t>[Inches] What is the overall height of the Entertainment Center (top to bottom)? Enter just the value (i.e., 45.5).</t>
        </is>
      </c>
      <c r="EH5" s="34" t="inlineStr">
        <is>
          <t>[Inches] What is the overall width of the Entertainment Center (side to side)? Please enter just the number (i.e. 45.5). Please DO NOT duplicate this tag - any additional information can be stored in Shelf Dimensions, Cabinet Dimensions, or as a bullet.</t>
        </is>
      </c>
      <c r="EI5" s="34" t="inlineStr">
        <is>
          <t>[Inches] What is the overall depth of the Entertainment Center (front to back)? Enter just the value (i.e., 45.5).</t>
        </is>
      </c>
      <c r="EJ5" s="34" t="inlineStr">
        <is>
          <t>[Pounds] What is the total weight of this product once assembled? If this product includes multiples of the same item, add weight of one individual unit (e.g. 1 Dining Chair in a set of 2). Please enter just the number (i.e. 45.5).</t>
        </is>
      </c>
      <c r="EK5" s="34" t="inlineStr">
        <is>
          <t>What is the largest size of TV this stand can hold, in inches? The TV size is the diagonal measurement (the distance between opposite corners) of the screen in inches. Please use the following calculation, based on a standard 16:9 HDTV aspect ratio: for TV Stands, calculate TV Stand Overall Width * 1.15, and for Entertainment Centers calculate TV Opening Width * 1.15. Both calculations should be rounded down to the closest standard TV size.</t>
        </is>
      </c>
      <c r="EL5" s="34" t="inlineStr">
        <is>
          <t>[Inches] What is the overall height of the TV stand (top to bottom)? Enter just the value (i.e., 45.5).</t>
        </is>
      </c>
      <c r="EM5" s="34" t="inlineStr">
        <is>
          <t>Does the product require any form of assembly prior to use as intended?</t>
        </is>
      </c>
      <c r="EN5" s="34" t="inlineStr">
        <is>
          <t>What is the level of assembly required?</t>
        </is>
      </c>
      <c r="EO5" s="34" t="inlineStr">
        <is>
          <t>What additional tools will the customer need to set-up this product that are NOT included with purchase?</t>
        </is>
      </c>
      <c r="EP5" s="34" t="inlineStr">
        <is>
          <t>Does the manufacturer warranty cover the use of this product in a commercial environment?</t>
        </is>
      </c>
      <c r="EQ5" s="34" t="inlineStr">
        <is>
          <t>How long does the manufacturer warranty apply for the product used in a commercial (non-residential) environment? If the correct value is not found, please select the closest available answer that is shorter than the warranty length. If warranty length varies by part, please select the answer that matches the part of the product with the shortest warranty. Please use the “Warranty Details” tag for any additional details.</t>
        </is>
      </c>
      <c r="ER5" s="34" t="inlineStr">
        <is>
          <t>Please indicate if there is a warranty on this product if it were to be used in a residential setting.</t>
        </is>
      </c>
      <c r="ES5" s="34" t="inlineStr">
        <is>
          <t>Please indicate if the warranty is Full or Limited.</t>
        </is>
      </c>
      <c r="ET5" s="34" t="inlineStr">
        <is>
          <t>Please indicate the length of the warranty offered from our list if this product were to be used in a residential setting. If the correct value is not found, please indicate both the number and unit (Days, Months, Years) that is appropriate.</t>
        </is>
      </c>
    </row>
    <row r="6" ht="50" customHeight="1">
      <c r="B6" s="34" t="inlineStr">
        <is>
          <t>Text</t>
        </is>
      </c>
      <c r="C6" s="34" t="inlineStr">
        <is>
          <t>Text</t>
        </is>
      </c>
      <c r="D6" s="35" t="inlineStr">
        <is>
          <t>Select</t>
        </is>
      </c>
      <c r="E6" s="34" t="inlineStr">
        <is>
          <t>Text</t>
        </is>
      </c>
      <c r="F6" s="34" t="inlineStr">
        <is>
          <t>Text</t>
        </is>
      </c>
      <c r="G6" s="34" t="inlineStr">
        <is>
          <t>Text</t>
        </is>
      </c>
      <c r="H6" s="34" t="inlineStr">
        <is>
          <t>Text</t>
        </is>
      </c>
      <c r="I6" s="34" t="inlineStr">
        <is>
          <t>Text</t>
        </is>
      </c>
      <c r="J6" s="34" t="inlineStr">
        <is>
          <t>Number</t>
        </is>
      </c>
      <c r="K6" s="34" t="inlineStr">
        <is>
          <t>Number</t>
        </is>
      </c>
      <c r="L6" s="34" t="inlineStr">
        <is>
          <t>Number</t>
        </is>
      </c>
      <c r="M6" s="34" t="inlineStr">
        <is>
          <t>Text</t>
        </is>
      </c>
      <c r="N6" s="34" t="inlineStr">
        <is>
          <t>Text</t>
        </is>
      </c>
      <c r="O6" s="34" t="inlineStr">
        <is>
          <t>Text</t>
        </is>
      </c>
      <c r="P6" s="34" t="inlineStr">
        <is>
          <t>Text</t>
        </is>
      </c>
      <c r="Q6" s="34" t="inlineStr">
        <is>
          <t>Text</t>
        </is>
      </c>
      <c r="R6" s="34" t="inlineStr">
        <is>
          <t>Text</t>
        </is>
      </c>
      <c r="S6" s="34" t="inlineStr">
        <is>
          <t>Whole Number</t>
        </is>
      </c>
      <c r="T6" s="34" t="inlineStr">
        <is>
          <t>Whole Number</t>
        </is>
      </c>
      <c r="U6" s="34" t="inlineStr">
        <is>
          <t>Whole Number</t>
        </is>
      </c>
      <c r="V6" s="34" t="inlineStr">
        <is>
          <t>Number</t>
        </is>
      </c>
      <c r="W6" s="35" t="inlineStr">
        <is>
          <t>Select</t>
        </is>
      </c>
      <c r="X6" s="35" t="inlineStr">
        <is>
          <t>Select</t>
        </is>
      </c>
      <c r="Y6" s="35" t="inlineStr">
        <is>
          <t>Select</t>
        </is>
      </c>
      <c r="Z6" s="35" t="inlineStr">
        <is>
          <t>Select</t>
        </is>
      </c>
      <c r="AA6" s="34" t="inlineStr">
        <is>
          <t>Text</t>
        </is>
      </c>
      <c r="AB6" s="34" t="inlineStr">
        <is>
          <t>Yes or No</t>
        </is>
      </c>
      <c r="AC6" s="34" t="inlineStr">
        <is>
          <t>Yes or No</t>
        </is>
      </c>
      <c r="AD6" s="34" t="inlineStr">
        <is>
          <t>Number</t>
        </is>
      </c>
      <c r="AE6" s="34" t="inlineStr">
        <is>
          <t>Number</t>
        </is>
      </c>
      <c r="AF6" s="34" t="inlineStr">
        <is>
          <t>Number</t>
        </is>
      </c>
      <c r="AG6" s="34" t="inlineStr">
        <is>
          <t>Number</t>
        </is>
      </c>
      <c r="AH6" s="34" t="inlineStr">
        <is>
          <t>Yes or No</t>
        </is>
      </c>
      <c r="AI6" s="35" t="inlineStr">
        <is>
          <t>Select</t>
        </is>
      </c>
      <c r="AJ6" s="35" t="inlineStr">
        <is>
          <t>Please choose one or more from the following, using a semicolon (;) to separate each value: Cancer; Developmental</t>
        </is>
      </c>
      <c r="AK6" s="35" t="inlineStr">
        <is>
          <t>Select</t>
        </is>
      </c>
      <c r="AL6" s="34" t="inlineStr">
        <is>
          <t>Text</t>
        </is>
      </c>
      <c r="AM6" s="34" t="inlineStr">
        <is>
          <t>Text</t>
        </is>
      </c>
      <c r="AN6" s="34" t="inlineStr">
        <is>
          <t>Text</t>
        </is>
      </c>
      <c r="AO6" s="34" t="inlineStr">
        <is>
          <t>Text</t>
        </is>
      </c>
      <c r="AP6" s="34" t="inlineStr">
        <is>
          <t>Text</t>
        </is>
      </c>
      <c r="AQ6" s="34" t="inlineStr">
        <is>
          <t>Text</t>
        </is>
      </c>
      <c r="AR6" s="34" t="inlineStr">
        <is>
          <t>Text</t>
        </is>
      </c>
      <c r="AS6" s="35" t="inlineStr">
        <is>
          <t>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t>
        </is>
      </c>
      <c r="AT6" s="35" t="inlineStr">
        <is>
          <t>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t>
        </is>
      </c>
      <c r="AU6" s="35" t="inlineStr">
        <is>
          <t>Select</t>
        </is>
      </c>
      <c r="AV6" s="35" t="inlineStr">
        <is>
          <t>Select</t>
        </is>
      </c>
      <c r="AW6" s="34" t="inlineStr">
        <is>
          <t>Text</t>
        </is>
      </c>
      <c r="AX6" s="35" t="inlineStr">
        <is>
          <t>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t>
        </is>
      </c>
      <c r="AY6" s="35" t="inlineStr">
        <is>
          <t>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t>
        </is>
      </c>
      <c r="AZ6" s="35" t="inlineStr">
        <is>
          <t>Select</t>
        </is>
      </c>
      <c r="BA6" s="35" t="inlineStr">
        <is>
          <t>Select</t>
        </is>
      </c>
      <c r="BB6" s="34" t="inlineStr">
        <is>
          <t>Text</t>
        </is>
      </c>
      <c r="BC6" s="35" t="inlineStr">
        <is>
          <t>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t>
        </is>
      </c>
      <c r="BD6" s="35" t="inlineStr">
        <is>
          <t>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t>
        </is>
      </c>
      <c r="BE6" s="35" t="inlineStr">
        <is>
          <t>Select</t>
        </is>
      </c>
      <c r="BF6" s="35" t="inlineStr">
        <is>
          <t>Select</t>
        </is>
      </c>
      <c r="BG6" s="35" t="inlineStr">
        <is>
          <t>Select</t>
        </is>
      </c>
      <c r="BH6" s="34" t="inlineStr">
        <is>
          <t>Yes or No</t>
        </is>
      </c>
      <c r="BI6" s="34" t="inlineStr">
        <is>
          <t>Yes or No</t>
        </is>
      </c>
      <c r="BJ6" s="34" t="inlineStr">
        <is>
          <t>Whole Number</t>
        </is>
      </c>
      <c r="BK6" s="34" t="inlineStr">
        <is>
          <t>Yes or No</t>
        </is>
      </c>
      <c r="BL6" s="34" t="inlineStr">
        <is>
          <t>Yes or No</t>
        </is>
      </c>
      <c r="BM6" s="34" t="inlineStr">
        <is>
          <t>Yes or No</t>
        </is>
      </c>
      <c r="BN6" s="34" t="inlineStr">
        <is>
          <t>Yes or No</t>
        </is>
      </c>
      <c r="BO6" s="34" t="inlineStr">
        <is>
          <t>Yes or No</t>
        </is>
      </c>
      <c r="BP6" s="35" t="inlineStr">
        <is>
          <t>Please choose one or more from the following, using a semicolon (;) to separate each value: Cabinet/Enclosed storage; TV Stand Fireplace; Open shelving; Corner unit; Hutch; Piers; Floating mount; Standard; Demilune; Nesting; Apothecary; Multi-tiered; Floor; Corner; Basket Storage; Tabletop; Hanging; Bombe; Etagere; Wall Mounted; Double Walled; Console; Pedestal; Unavailable; Does Not Apply</t>
        </is>
      </c>
      <c r="BQ6" s="35" t="inlineStr">
        <is>
          <t>Please choose one or more from the following, using a semicolon (;) to separate each value: Glass; Stainless Steel; Cane; Raffia; Mango Wood; Aluminum; Manufactured Wood; Leather; Bamboo; Ceramic; Faux Leather; Iron; Marble / Granite; Metal; Plastic / Acrylic; Teak; Solid + Manufactured Wood; Steel; Solid Wood; Wicker; Reclaimed Wood</t>
        </is>
      </c>
      <c r="BR6" s="35" t="inlineStr">
        <is>
          <t>Please choose one or more from the following, using a semicolon (;) to separate each value: Distressed Leather; Paint Distressing; Distressed Grain Accents; Coat/Paint Distressing; Wormholes; No Natural Variation; No Distressing; Distressed Metal; Worn/Fade; Wood Scoring &amp; Rub Through; Unavailable</t>
        </is>
      </c>
      <c r="BS6" s="35" t="inlineStr">
        <is>
          <t>Please choose one or more from the following, using a semicolon (;) to separate each value: No Natural Variation; Natural Wood Grain Color Variation; Weathered Steel; Wood Knots; Natural Stone Color Variation; Unavailable</t>
        </is>
      </c>
      <c r="BT6" s="34" t="inlineStr">
        <is>
          <t>Yes or No</t>
        </is>
      </c>
      <c r="BU6" s="34" t="inlineStr">
        <is>
          <t>Yes or No</t>
        </is>
      </c>
      <c r="BV6" s="34" t="inlineStr">
        <is>
          <t>Yes or No</t>
        </is>
      </c>
      <c r="BW6" s="34" t="inlineStr">
        <is>
          <t>Yes or No</t>
        </is>
      </c>
      <c r="BX6" s="34" t="inlineStr">
        <is>
          <t>Yes or No</t>
        </is>
      </c>
      <c r="BY6" s="34" t="inlineStr">
        <is>
          <t>Yes or No</t>
        </is>
      </c>
      <c r="BZ6" s="34" t="inlineStr">
        <is>
          <t>Yes or No</t>
        </is>
      </c>
      <c r="CA6" s="34" t="inlineStr">
        <is>
          <t>Yes or No</t>
        </is>
      </c>
      <c r="CB6" s="34" t="inlineStr">
        <is>
          <t>Yes or No</t>
        </is>
      </c>
      <c r="CC6" s="35" t="inlineStr">
        <is>
          <t>Select</t>
        </is>
      </c>
      <c r="CD6" s="34" t="inlineStr">
        <is>
          <t>Yes or No</t>
        </is>
      </c>
      <c r="CE6" s="34" t="inlineStr">
        <is>
          <t>Yes or No</t>
        </is>
      </c>
      <c r="CF6" s="35" t="inlineStr">
        <is>
          <t>Please choose one or more from the following, using a semicolon (;) to separate each value: Non Residential Use; Residential Use</t>
        </is>
      </c>
      <c r="CG6" s="35" t="inlineStr">
        <is>
          <t>Please choose one or more from the following, using a semicolon (;) to separate each value: Made in USA; Made in USA of Imported Materials; Product of Canada; Made In Canada; Does Not Apply</t>
        </is>
      </c>
      <c r="CH6" s="35" t="inlineStr">
        <is>
          <t>Select</t>
        </is>
      </c>
      <c r="CI6" s="34" t="inlineStr">
        <is>
          <t>Yes or No</t>
        </is>
      </c>
      <c r="CJ6" s="35" t="inlineStr">
        <is>
          <t>Please choose one or more from the following, using a semicolon (;) to separate each value: Acacia; Alder; Ash; Bamboo; Beech; Birch; Camphor; Cedar; Cherry; Elm; Eucalyptus; Fir; Hickory; Mahogany; Mango; Maple; Oak; Pine; Poplar; Rosewood; Rubberwood; Sheesham; Spruce; Teak; Walnut; Wenge; Pecan; Shorea; Paulownia; Chestnut; Hemlock; Aspen; Mindi; Ipe; Olive; Ajo; Agarwood; Afzelia; Afrormosia; Bubinga; Brazilwood; Cumaru; Cedar, Mulanje; Cedar, Spanish; Aloewood; Lignum vitae; Mahogany, African; Mahogany, Mexican; Padauk, African; Macacauba; Ebony, Madagascar; Lignum vitae, Argentine; Gavilan; Mahogany, Honduran; Mahogany, Cuban; Stinkwood, red; Yew, Chinese; Pau rosa, Brazilian; Sandalwood, East African; Ramin; Zitan; Yew, Himalayan; Yew, Japanese; Rosewood, Siamese; Yew, Taiwan; Burlwood; Platane Wood; Sungkai; Does Not Apply</t>
        </is>
      </c>
      <c r="CK6" s="34" t="inlineStr">
        <is>
          <t>Yes or No</t>
        </is>
      </c>
      <c r="CL6" s="35" t="inlineStr">
        <is>
          <t>Select</t>
        </is>
      </c>
      <c r="CM6" s="35" t="inlineStr">
        <is>
          <t>Select</t>
        </is>
      </c>
      <c r="CN6" s="35" t="inlineStr">
        <is>
          <t>Select</t>
        </is>
      </c>
      <c r="CO6" s="35" t="inlineStr">
        <is>
          <t>Select</t>
        </is>
      </c>
      <c r="CP6" s="35" t="inlineStr">
        <is>
          <t>Select</t>
        </is>
      </c>
      <c r="CQ6" s="35" t="inlineStr">
        <is>
          <t>Select</t>
        </is>
      </c>
      <c r="CR6" s="35" t="inlineStr">
        <is>
          <t>Select</t>
        </is>
      </c>
      <c r="CS6" s="34" t="inlineStr">
        <is>
          <t>Yes or No</t>
        </is>
      </c>
      <c r="CT6" s="34" t="inlineStr">
        <is>
          <t>Yes or No</t>
        </is>
      </c>
      <c r="CU6" s="34" t="inlineStr">
        <is>
          <t>Number</t>
        </is>
      </c>
      <c r="CV6" s="35" t="inlineStr">
        <is>
          <t>Please choose one or more from the following, using a semicolon (;) to separate each value: Hand wash recommended; Dishwasher safe; Spot clean only; Hand wash only; Delicate cycle; Commercial laundry safe; Do not use a fabric softener; Cold wash; Sweep / Dust Mop; Cut loose threads using a scissor; Clean with soap and water; Clean spills immediately; Dishwasher safe component; Lay flat to dry; Dryer safe; Warm wash; Non-Abrasive, Neutral Ph Cleaner; Commercial dishwasher safe; Vacuum with no beater bar/rotating brush; Air / Line Dry; Professional / Dry Clean Recommended; Wash With Garden Hose Or Pressure Washer; Machine washable components; Professional / Dry Clean Only; Vacuum with upholstery attachment; Vacuum with beater bar/rotating brush; Clean with bleach and water; Use product specific cleaner; Oil / seal / treat regularly; Shake to remove dust; Tumble dry; Iron safe; Wipe clean with a dry cloth; Cover when not in use; Avoid use of abrasive cleaners; Tile specific cleaner; Do not wash; Dust mop; Hose down; Towel dry immediately; Household floor cleaner; Spot clean; Wipe with wet cloth; Spot clean with water; When cushions are wet, open cushion zippers and prop up to dry in order to maintain quality; Oil 1-2 times per year; No washing / drying care; Do not bleach; Treat with wood protector; Do not dry clean; Clean with diluted vinegar and water; Store indoors or cover when not in use; Use carpet cleaner; Air dry cushions covers; Do not use bleach or bleach solutions; Rinse with water only; Dishwasher safe removable parts; Clean and re-seal with natural stone sealant; To prevent oil stains wipe with a damp cloth before using; After cleaning, use sealant; Apply oil to maintain color and prolong durability; Vacuum; Avoid direct sunlight; Dry after use; Use furniture pads; Apply epoxy clear coat once per year; Clean with cloth, mild soap, and warm water; Spot clean with mild detergent; Spot clean as needed; Automatic; Hot water extraction; Spot clean with dry cloth; Clean the product at least one time per month. We suggest the use of Rejuven</t>
        </is>
      </c>
      <c r="CW6" s="34" t="inlineStr">
        <is>
          <t>Yes or No</t>
        </is>
      </c>
      <c r="CX6" s="35" t="inlineStr">
        <is>
          <t>Please choose one or more from the following, using a semicolon (;) to separate each value: Polyethylene; Steel; Wood Veneers; Polyvinyl Chloride (PVC); Polycarbonate; Stainless Steel; Marble; Solid + Manufactured Wood; Wood; Clear Glass; Stone; Glass; Melamine; Aluminum; Acrylic; Resin; Tinted Glass; Laminate; Metal; Wire; Mirrored; Plastic; Manufactured Wood; Glass / Polycarbonate; Wicker; Iron; Solid Wood; Granite; Unavailable; Does Not Apply</t>
        </is>
      </c>
      <c r="CY6" s="35" t="inlineStr">
        <is>
          <t>Please choose one or more from the following, using a semicolon (;) to separate each value: Clear; Cream; Purple; Gold; Silver; Polished Chrome; Polished Nickel; Stainless Steel; Bronze; Chrome; Oil Rubbed Bronze; Matte Black; Satin Nickel; Brushed Nickel; Antique Brass; Antique Bronze; Copper; Antique Copper; Brushed Brass; Polished Brass; Brass; Satin Brass; Brushed Gold; Nickel; Ivory; Green; Orange; Beige; Teal; Red; Satin; Yellow; Pink; White; Brown; Blue; Satin Black; Rose Gold; Navy; Black; Tan; Gray; Brown Wood; Dark Brown Wood; Medium Yellow Wood; Espresso Wood; Medium Wood; Red Wood; Beige Wood; Natural Wood; Gray Wood; Light Yellow Wood; White Wood; Oak Wood</t>
        </is>
      </c>
      <c r="CZ6" s="35" t="inlineStr">
        <is>
          <t>Please choose one or more from the following, using a semicolon (;) to separate each value: 0.6 Extension; Ball Bearing; Soft Close; Roller Glides; 0.75 Extension; Full Extension; Metal Slide; 0.5 Extension; Wood Slide; Center Slides; Kenlin; Side-Mounted Glides; Undermount Glides; Euro Glides; Unavailable; Does Not Apply</t>
        </is>
      </c>
      <c r="DA6" s="35" t="inlineStr">
        <is>
          <t>Select</t>
        </is>
      </c>
      <c r="DB6" s="35" t="inlineStr">
        <is>
          <t>Please choose one or more from the following, using a semicolon (;) to separate each value: Electric; Dual Fuel; Induction; Wood Pellets; Natural Gas; Liquid Propane; Wood Burning; Gel Fuel; Bio-Ethanol; Propane; Butane; Charcoal; Ethanol; Alcohol; Does Not Apply</t>
        </is>
      </c>
      <c r="DC6" s="35" t="inlineStr">
        <is>
          <t>Please choose one or more from the following, using a semicolon (;) to separate each value: Flush; Glass; Louvered; Paneled; Mirrored; Barn Doors; Frosted; Insulated; Contoured; Tinted; See Through; Double Pane; Does Not Apply</t>
        </is>
      </c>
      <c r="DD6" s="34" t="inlineStr">
        <is>
          <t>Yes or No</t>
        </is>
      </c>
      <c r="DE6" s="34" t="inlineStr">
        <is>
          <t>Yes or No</t>
        </is>
      </c>
      <c r="DF6" s="35" t="inlineStr">
        <is>
          <t>Please choose one or more from the following, using a semicolon (;) to separate each value: Drawers; Fireplace; Hutch; Shelves; Bridge; Exterior Shelves; Fireplace Remote; Integrated TV Mount; Interior Shelves; Media Storage; Pier / Bookcase; Sound Bar Shelf; TV Anti-Tip Kit; Wheels / Casters; Cabinets; Unavailable; Does Not Apply</t>
        </is>
      </c>
      <c r="DG6" s="34" t="inlineStr">
        <is>
          <t>Whole Number</t>
        </is>
      </c>
      <c r="DH6" s="34" t="inlineStr">
        <is>
          <t>Yes or No</t>
        </is>
      </c>
      <c r="DI6" s="35" t="inlineStr">
        <is>
          <t>Please choose one or more from the following, using a semicolon (;) to separate each value: Gel; Gas; Wood; Electric; Unavailable; Does Not Apply</t>
        </is>
      </c>
      <c r="DJ6" s="35" t="inlineStr">
        <is>
          <t>Select</t>
        </is>
      </c>
      <c r="DK6" s="34" t="inlineStr">
        <is>
          <t>Yes or No</t>
        </is>
      </c>
      <c r="DL6" s="35" t="inlineStr">
        <is>
          <t>Select</t>
        </is>
      </c>
      <c r="DM6" s="35" t="inlineStr">
        <is>
          <t>Select</t>
        </is>
      </c>
      <c r="DN6" s="35" t="inlineStr">
        <is>
          <t>Select</t>
        </is>
      </c>
      <c r="DO6" s="35" t="inlineStr">
        <is>
          <t>Select</t>
        </is>
      </c>
      <c r="DP6" s="34" t="inlineStr">
        <is>
          <t>Yes or No</t>
        </is>
      </c>
      <c r="DQ6" s="35" t="inlineStr">
        <is>
          <t>Please choose one or more from the following, using a semicolon (;) to separate each value: Dual Language; Distribution Conflict; Logistics; Does Not Apply</t>
        </is>
      </c>
      <c r="DR6" s="35" t="inlineStr">
        <is>
          <t>Select</t>
        </is>
      </c>
      <c r="DS6" s="34" t="inlineStr">
        <is>
          <t>Yes or No</t>
        </is>
      </c>
      <c r="DT6" s="35" t="inlineStr">
        <is>
          <t>Please choose one or more from the following, using a semicolon (;) to separate each value: UN3091; UN3481; UN2800; UN1950; UN3496; ID8000; UN1013; UN3082; UN3077; UN3480; UN2857; UN3358; UN3090; UN1266; UN1993; UN1944; UN1070; UN1044; UN3163; UN1268; UN1760; UN1011; UN2794; UN1759; UN3171; UN1987; UN1263; UN1170; UN3265; UN3260; UN3215; UN1006; UN3175; Does Not Apply</t>
        </is>
      </c>
      <c r="DU6" s="35" t="inlineStr">
        <is>
          <t>Select</t>
        </is>
      </c>
      <c r="DV6" s="35" t="inlineStr">
        <is>
          <t>Select</t>
        </is>
      </c>
      <c r="DW6" s="35" t="inlineStr">
        <is>
          <t>Select</t>
        </is>
      </c>
      <c r="DX6" s="35" t="inlineStr">
        <is>
          <t>Select</t>
        </is>
      </c>
      <c r="DY6" s="35" t="inlineStr">
        <is>
          <t>Please choose one or more from the following, using a semicolon (;) to separate each value: TÜV Rheinland Certified; MET Listed; AFNOR UK Ltd; BSI Assurance UK Ltd; cUL Listed; ETL Listed; DBI Certification Ltd; UL Listed; cETL Listed; CSA Certified; SGS North America Listed; Does Not Apply</t>
        </is>
      </c>
      <c r="DZ6" s="34" t="inlineStr">
        <is>
          <t>Text</t>
        </is>
      </c>
      <c r="EA6" s="35" t="inlineStr">
        <is>
          <t>Select</t>
        </is>
      </c>
      <c r="EB6" s="35" t="inlineStr">
        <is>
          <t>Select</t>
        </is>
      </c>
      <c r="EC6" s="34" t="inlineStr">
        <is>
          <t>Yes or No</t>
        </is>
      </c>
      <c r="ED6" s="35" t="inlineStr">
        <is>
          <t>Select</t>
        </is>
      </c>
      <c r="EE6" s="34" t="inlineStr">
        <is>
          <t>Number</t>
        </is>
      </c>
      <c r="EF6" s="34" t="inlineStr">
        <is>
          <t>Number</t>
        </is>
      </c>
      <c r="EG6" s="34" t="inlineStr">
        <is>
          <t>Number</t>
        </is>
      </c>
      <c r="EH6" s="34" t="inlineStr">
        <is>
          <t>Number</t>
        </is>
      </c>
      <c r="EI6" s="34" t="inlineStr">
        <is>
          <t>Number</t>
        </is>
      </c>
      <c r="EJ6" s="34" t="inlineStr">
        <is>
          <t>Number</t>
        </is>
      </c>
      <c r="EK6" s="35" t="inlineStr">
        <is>
          <t>Select</t>
        </is>
      </c>
      <c r="EL6" s="34" t="inlineStr">
        <is>
          <t>Number</t>
        </is>
      </c>
      <c r="EM6" s="34" t="inlineStr">
        <is>
          <t>Yes or No</t>
        </is>
      </c>
      <c r="EN6" s="35" t="inlineStr">
        <is>
          <t>Select</t>
        </is>
      </c>
      <c r="EO6" s="35" t="inlineStr">
        <is>
          <t>Please choose one or more from the following, using a semicolon (;) to separate each value: All Tools Included; Tool Free Assembly; Screwdriver; Allen Wrench; Adjustable Wrench; Socket Wrench; Power Drill; Hammer; Pliers; Ratchet; Utility Saw; Saw; Measuring Tape; Mallet; Level; Box Cutter; Caulk / Adhesive; Anchors / Stakes; Clamps; Drill Bit; Gloves; Hex Key; Glass Cutter; Chop Saw; Circular Saw; Phillips Head Screwdriver; Crescent Wrench; Flat Screwdriver; Adhesive Roller / Tray; Shovel; Drill; Smoother / Squeegee; Ladder; Wire Stripper; Razor Knife; Pencil; Electric Drill; Screw Gun; Scissors; Ruler; Safety Glasses; Utility Knife; Rope; Ear Protection; Stud Finder; Wrench; Tape Measure; Screws; Wire Cap; Hammer / Mallet; Chalk Line; Landscaping Fabric; No Tools Needed; Tile Cutter; Straight Edge; Silicone; Wet Saw; Torx Bit; Unavailable; Does Not Apply</t>
        </is>
      </c>
      <c r="EP6" s="34" t="inlineStr">
        <is>
          <t>Yes or No</t>
        </is>
      </c>
      <c r="EQ6" s="35" t="inlineStr">
        <is>
          <t>Select</t>
        </is>
      </c>
      <c r="ER6" s="34" t="inlineStr">
        <is>
          <t>Yes or No</t>
        </is>
      </c>
      <c r="ES6" s="35" t="inlineStr">
        <is>
          <t>Select</t>
        </is>
      </c>
      <c r="ET6" s="35" t="inlineStr">
        <is>
          <t>Please choose one or more from the following, using a semicolon (;) to separate each value: 30 Days; 60 Days; 90 Days; 6 Months; 1 Year; 2 Years; 3 Years; 5 Years; 10 Years; 20 Years; 25 Years; Lifetime; Warranty length varies by part; 15 Years; 18 Months; 12 Years; 6 Years; 4 Years; 8 Years; 7 Years; Does Not Apply</t>
        </is>
      </c>
    </row>
    <row r="7">
      <c r="B7" s="36" t="inlineStr">
        <is>
          <t>Default Row:</t>
        </is>
      </c>
      <c r="C7" s="36" t="inlineStr">
        <is>
          <t>N/A</t>
        </is>
      </c>
      <c r="D7" s="37" t="n"/>
      <c r="E7" s="36" t="inlineStr">
        <is>
          <t>N/A</t>
        </is>
      </c>
      <c r="F7" s="36" t="inlineStr">
        <is>
          <t>N/A</t>
        </is>
      </c>
      <c r="G7" s="36" t="inlineStr">
        <is>
          <t>N/A</t>
        </is>
      </c>
      <c r="H7" s="37" t="n"/>
      <c r="I7" s="36" t="inlineStr">
        <is>
          <t>N/A</t>
        </is>
      </c>
      <c r="J7" s="36" t="inlineStr">
        <is>
          <t>N/A</t>
        </is>
      </c>
      <c r="K7" s="37" t="n"/>
      <c r="L7" s="37" t="n"/>
      <c r="M7" s="37" t="n"/>
      <c r="N7" s="37" t="n"/>
      <c r="O7" s="37" t="n"/>
      <c r="P7" s="37" t="n"/>
      <c r="Q7" s="37" t="n"/>
      <c r="R7" s="37" t="n"/>
      <c r="S7" s="37" t="n"/>
      <c r="T7" s="37" t="n"/>
      <c r="U7" s="37" t="n"/>
      <c r="V7" s="37" t="n"/>
      <c r="W7" s="37" t="n"/>
      <c r="X7" s="37" t="n"/>
      <c r="Y7" s="37" t="n"/>
      <c r="Z7" s="37" t="n"/>
      <c r="AA7" s="37" t="n"/>
      <c r="AB7" s="37" t="n"/>
      <c r="AC7" s="37" t="n"/>
      <c r="AD7" s="37" t="n"/>
      <c r="AE7" s="37" t="n"/>
      <c r="AF7" s="37" t="n"/>
      <c r="AG7" s="37" t="n"/>
      <c r="AH7" s="37" t="n"/>
      <c r="AI7" s="37" t="n"/>
      <c r="AJ7" s="37" t="n"/>
      <c r="AK7" s="37" t="n"/>
      <c r="AL7" s="36" t="inlineStr">
        <is>
          <t>N/A</t>
        </is>
      </c>
      <c r="AM7" s="36" t="inlineStr">
        <is>
          <t>N/A</t>
        </is>
      </c>
      <c r="AN7" s="36" t="inlineStr">
        <is>
          <t>N/A</t>
        </is>
      </c>
      <c r="AO7" s="36" t="inlineStr">
        <is>
          <t>N/A</t>
        </is>
      </c>
      <c r="AP7" s="36" t="inlineStr">
        <is>
          <t>N/A</t>
        </is>
      </c>
      <c r="AQ7" s="36" t="inlineStr">
        <is>
          <t>N/A</t>
        </is>
      </c>
      <c r="AR7" s="37" t="n"/>
      <c r="AS7" s="37" t="n"/>
      <c r="AT7" s="37" t="n"/>
      <c r="AU7" s="37" t="n"/>
      <c r="AV7" s="37" t="n"/>
      <c r="AW7" s="37" t="n"/>
      <c r="AX7" s="37" t="n"/>
      <c r="AY7" s="37" t="n"/>
      <c r="AZ7" s="37" t="n"/>
      <c r="BA7" s="37" t="n"/>
      <c r="BB7" s="37" t="n"/>
      <c r="BC7" s="37" t="n"/>
      <c r="BD7" s="37" t="n"/>
      <c r="BE7" s="37" t="n"/>
      <c r="BF7" s="37" t="n"/>
      <c r="BG7" s="37" t="n"/>
      <c r="BH7" s="37" t="n"/>
      <c r="BI7" s="37" t="n"/>
      <c r="BJ7" s="37" t="n"/>
      <c r="BK7" s="37" t="n"/>
      <c r="BL7" s="37" t="n"/>
      <c r="BM7" s="37" t="n"/>
      <c r="BN7" s="37" t="n"/>
      <c r="BO7" s="37" t="n"/>
      <c r="BP7" s="37" t="n"/>
      <c r="BQ7" s="37" t="n"/>
      <c r="BR7" s="37" t="n"/>
      <c r="BS7" s="37" t="n"/>
      <c r="BT7" s="37" t="n"/>
      <c r="BU7" s="37" t="n"/>
      <c r="BV7" s="37" t="n"/>
      <c r="BW7" s="37" t="n"/>
      <c r="BX7" s="37" t="n"/>
      <c r="BY7" s="37" t="n"/>
      <c r="BZ7" s="37" t="n"/>
      <c r="CA7" s="37" t="n"/>
      <c r="CB7" s="37" t="n"/>
      <c r="CC7" s="37" t="n"/>
      <c r="CD7" s="37" t="n"/>
      <c r="CE7" s="37" t="n"/>
      <c r="CF7" s="37" t="n"/>
      <c r="CG7" s="37" t="n"/>
      <c r="CH7" s="37" t="n"/>
      <c r="CI7" s="37" t="n"/>
      <c r="CJ7" s="37" t="n"/>
      <c r="CK7" s="37" t="n"/>
      <c r="CL7" s="37" t="n"/>
      <c r="CM7" s="37" t="n"/>
      <c r="CN7" s="37" t="n"/>
      <c r="CO7" s="37" t="n"/>
      <c r="CP7" s="37" t="n"/>
      <c r="CQ7" s="37" t="n"/>
      <c r="CR7" s="37" t="n"/>
      <c r="CS7" s="37" t="n"/>
      <c r="CT7" s="37" t="n"/>
      <c r="CU7" s="37" t="n"/>
      <c r="CV7" s="37" t="n"/>
      <c r="CW7" s="37" t="n"/>
      <c r="CX7" s="37" t="n"/>
      <c r="CY7" s="37" t="n"/>
      <c r="CZ7" s="37" t="n"/>
      <c r="DA7" s="37" t="n"/>
      <c r="DB7" s="37" t="n"/>
      <c r="DC7" s="37" t="n"/>
      <c r="DD7" s="37" t="n"/>
      <c r="DE7" s="37" t="n"/>
      <c r="DF7" s="37" t="n"/>
      <c r="DG7" s="37" t="n"/>
      <c r="DH7" s="37" t="n"/>
      <c r="DI7" s="37" t="n"/>
      <c r="DJ7" s="37" t="n"/>
      <c r="DK7" s="37" t="n"/>
      <c r="DL7" s="37" t="n"/>
      <c r="DM7" s="37" t="n"/>
      <c r="DN7" s="37" t="n"/>
      <c r="DO7" s="37" t="n"/>
      <c r="DP7" s="37" t="n"/>
      <c r="DQ7" s="37" t="n"/>
      <c r="DR7" s="37" t="n"/>
      <c r="DS7" s="37" t="n"/>
      <c r="DT7" s="37" t="n"/>
      <c r="DU7" s="37" t="n"/>
      <c r="DV7" s="37" t="n"/>
      <c r="DW7" s="37" t="n"/>
      <c r="DX7" s="37" t="n"/>
      <c r="DY7" s="37" t="n"/>
      <c r="DZ7" s="37" t="n"/>
      <c r="EA7" s="37" t="n"/>
      <c r="EB7" s="37" t="n"/>
      <c r="EC7" s="37" t="n"/>
      <c r="ED7" s="37" t="n"/>
      <c r="EE7" s="37" t="n"/>
      <c r="EF7" s="37" t="n"/>
      <c r="EG7" s="37" t="n"/>
      <c r="EH7" s="37" t="n"/>
      <c r="EI7" s="37" t="n"/>
      <c r="EJ7" s="37" t="n"/>
      <c r="EK7" s="37" t="n"/>
      <c r="EL7" s="37" t="n"/>
      <c r="EM7" s="37" t="n"/>
      <c r="EN7" s="37" t="n"/>
      <c r="EO7" s="37" t="n"/>
      <c r="EP7" s="37" t="n"/>
      <c r="EQ7" s="37" t="n"/>
      <c r="ER7" s="37" t="n"/>
      <c r="ES7" s="37" t="n"/>
      <c r="ET7" s="37" t="n"/>
    </row>
    <row r="8">
      <c r="A8">
        <f t="array" ref="A8">_xlfn.BYROW(B8:EU507, _xlfn.LAMBDA(_xlpm.r, _xlfn.LET(_xlpm.high_priority_idx, IFERROR(MATCH(TRUE, (_xlpm.r = "Error") + (_xlpm.r = "Required") &gt; 0, 0), 0), IF(_xlpm.high_priority_idx &gt; 0, _xlpm.high_priority_idx + 1, IFERROR(MATCH(1, (_xlpm.r = "Warning") * 1, 0) + 1, "")))))</f>
        <v/>
      </c>
      <c r="B8" s="22">
        <f t="array" ref="B8">_xlfn.MAP('6 - TV Stands &amp; Enterta'!B8:B507, '6 - TV Stands &amp; Enterta'!B8:B507, '6 - TV Stands &amp; Enterta-WUO_ERR'!B8:B507, _xlfn.LAMBDA(_xlpm.part, _xlpm.val, _xlpm.error, IF(_xlpm.part = "", "", IF(LEN(_xlpm.error), _xlfn.SWITCH(IFERROR(_xlfn.TEXTBEFORE(_xlpm.error,":"), ""), "1", "Error", "2", "Disabled", "3", "Required", "4", "Warning", "Valid"), "Valid"))))</f>
        <v/>
      </c>
      <c r="C8" s="22">
        <f t="array" ref="C8">_xlfn.MAP('6 - TV Stands &amp; Enterta'!B8:B507, '6 - TV Stands &amp; Enterta'!C8:C507, '6 - TV Stands &amp; Enterta-WUO_ERR'!C8:C507, _xlfn.LAMBDA(_xlpm.part, _xlpm.val, _xlpm.error, IF(_xlpm.part = "", "", IF(LEN(_xlpm.error), _xlfn.SWITCH(IFERROR(_xlfn.TEXTBEFORE(_xlpm.error,":"), ""), "1", "Error", "2", "Disabled", "3", "Required", "4", "Warning", "Valid"), "Valid"))))</f>
        <v/>
      </c>
      <c r="D8" s="22">
        <f t="array" ref="D8">_xlfn.MAP('6 - TV Stands &amp; Enterta'!B8:B507, '6 - TV Stands &amp; Enterta'!D8:D507, '6 - TV Stands &amp; Enterta-WUO_ERR'!D8:D507, _xlfn.LAMBDA(_xlpm.part, _xlpm.val, _xlpm.error, IF(_xlpm.part = "", "", IF(LEN(_xlpm.error), _xlfn.SWITCH(IFERROR(_xlfn.TEXTBEFORE(_xlpm.error,":"), ""), "1", "Error", "2", "Disabled", "3", "Required", "4", "Warning", "Valid"), "Valid"))))</f>
        <v/>
      </c>
      <c r="E8" s="22">
        <f t="array" ref="E8">_xlfn.MAP('6 - TV Stands &amp; Enterta'!B8:B507, '6 - TV Stands &amp; Enterta'!E8:E507, '6 - TV Stands &amp; Enterta-WUO_ERR'!E8:E507, _xlfn.LAMBDA(_xlpm.part, _xlpm.val, _xlpm.error, IF(_xlpm.part = "", "", IF(LEN(_xlpm.error), _xlfn.SWITCH(IFERROR(_xlfn.TEXTBEFORE(_xlpm.error,":"), ""), "1", "Error", "2", "Disabled", "3", "Required", "4", "Warning", "Valid"), "Valid"))))</f>
        <v/>
      </c>
      <c r="F8" s="22">
        <f t="array" ref="F8">_xlfn.MAP('6 - TV Stands &amp; Enterta'!B8:B507, '6 - TV Stands &amp; Enterta'!F8:F507, '6 - TV Stands &amp; Enterta-WUO_ERR'!F8:F507, _xlfn.LAMBDA(_xlpm.part, _xlpm.val, _xlpm.error, IF(_xlpm.part = "", "", IF(LEN(_xlpm.error), _xlfn.SWITCH(IFERROR(_xlfn.TEXTBEFORE(_xlpm.error,":"), ""), "1", "Error", "2", "Disabled", "3", "Required", "4", "Warning", "Valid"), "Valid"))))</f>
        <v/>
      </c>
      <c r="G8" s="22">
        <f t="array" ref="G8">_xlfn.MAP('6 - TV Stands &amp; Enterta'!B8:B507, '6 - TV Stands &amp; Enterta'!G8:G507, '6 - TV Stands &amp; Enterta-WUO_ERR'!G8:G507, _xlfn.LAMBDA(_xlpm.part, _xlpm.val, _xlpm.error, IF(_xlpm.part = "", "", IF(LEN(_xlpm.error), _xlfn.SWITCH(IFERROR(_xlfn.TEXTBEFORE(_xlpm.error,":"), ""), "1", "Error", "2", "Disabled", "3", "Required", "4", "Warning", "Valid"), "Valid"))))</f>
        <v/>
      </c>
      <c r="H8" s="22">
        <f t="array" ref="H8">_xlfn.MAP('6 - TV Stands &amp; Enterta'!B8:B507, '6 - TV Stands &amp; Enterta'!H8:H507, '6 - TV Stands &amp; Enterta-WUO_ERR'!H8:H507, _xlfn.LAMBDA(_xlpm.part, _xlpm.val, _xlpm.error, IF(_xlpm.part = "", "", IF(LEN(_xlpm.error), _xlfn.SWITCH(IFERROR(_xlfn.TEXTBEFORE(_xlpm.error,":"), ""), "1", "Error", "2", "Disabled", "3", "Required", "4", "Warning", "Valid"), "Valid"))))</f>
        <v/>
      </c>
      <c r="I8" s="22">
        <f t="array" ref="I8">_xlfn.MAP('6 - TV Stands &amp; Enterta'!B8:B507, '6 - TV Stands &amp; Enterta'!I8:I507, '6 - TV Stands &amp; Enterta-WUO_ERR'!I8:I507, _xlfn.LAMBDA(_xlpm.part, _xlpm.val, _xlpm.error, IF(_xlpm.part = "", "", IF(LEN(_xlpm.error), _xlfn.SWITCH(IFERROR(_xlfn.TEXTBEFORE(_xlpm.error,":"), ""), "1", "Error", "2", "Disabled", "3", "Required", "4", "Warning", "Valid"), "Valid"))))</f>
        <v/>
      </c>
      <c r="J8" s="22">
        <f t="array" ref="J8">_xlfn.MAP('6 - TV Stands &amp; Enterta'!B8:B507, '6 - TV Stands &amp; Enterta'!J8:J507, '6 - TV Stands &amp; Enterta-WUO_ERR'!J8:J507, _xlfn.LAMBDA(_xlpm.part, _xlpm.val, _xlpm.error, IF(_xlpm.part = "", "", IF(LEN(_xlpm.error), _xlfn.SWITCH(IFERROR(_xlfn.TEXTBEFORE(_xlpm.error,":"), ""), "1", "Error", "2", "Disabled", "3", "Required", "4", "Warning", "Valid"), "Valid"))))</f>
        <v/>
      </c>
      <c r="K8" s="22">
        <f t="array" ref="K8">_xlfn.MAP('6 - TV Stands &amp; Enterta'!B8:B507, '6 - TV Stands &amp; Enterta'!K8:K507, '6 - TV Stands &amp; Enterta-WUO_ERR'!K8:K507, _xlfn.LAMBDA(_xlpm.part, _xlpm.val, _xlpm.error, IF(_xlpm.part = "", "", IF(LEN(_xlpm.error), _xlfn.SWITCH(IFERROR(_xlfn.TEXTBEFORE(_xlpm.error,":"), ""), "1", "Error", "2", "Disabled", "3", "Required", "4", "Warning", "Valid"), "Valid"))))</f>
        <v/>
      </c>
      <c r="L8" s="22">
        <f t="array" ref="L8">_xlfn.MAP('6 - TV Stands &amp; Enterta'!B8:B507, '6 - TV Stands &amp; Enterta'!L8:L507, '6 - TV Stands &amp; Enterta-WUO_ERR'!L8:L507, _xlfn.LAMBDA(_xlpm.part, _xlpm.val, _xlpm.error, IF(_xlpm.part = "", "", IF(LEN(_xlpm.error), _xlfn.SWITCH(IFERROR(_xlfn.TEXTBEFORE(_xlpm.error,":"), ""), "1", "Error", "2", "Disabled", "3", "Required", "4", "Warning", "Valid"), "Valid"))))</f>
        <v/>
      </c>
      <c r="M8" s="22">
        <f t="array" ref="M8">_xlfn.MAP('6 - TV Stands &amp; Enterta'!B8:B507, '6 - TV Stands &amp; Enterta'!M8:M507, '6 - TV Stands &amp; Enterta-WUO_ERR'!M8:M507, _xlfn.LAMBDA(_xlpm.part, _xlpm.val, _xlpm.error, IF(_xlpm.part = "", "", IF(LEN(_xlpm.error), _xlfn.SWITCH(IFERROR(_xlfn.TEXTBEFORE(_xlpm.error,":"), ""), "1", "Error", "2", "Disabled", "3", "Required", "4", "Warning", "Valid"), "Valid"))))</f>
        <v/>
      </c>
      <c r="N8" s="22">
        <f t="array" ref="N8">_xlfn.MAP('6 - TV Stands &amp; Enterta'!B8:B507, '6 - TV Stands &amp; Enterta'!N8:N507, '6 - TV Stands &amp; Enterta-WUO_ERR'!N8:N507, _xlfn.LAMBDA(_xlpm.part, _xlpm.val, _xlpm.error, IF(_xlpm.part = "", "", IF(LEN(_xlpm.error), _xlfn.SWITCH(IFERROR(_xlfn.TEXTBEFORE(_xlpm.error,":"), ""), "1", "Error", "2", "Disabled", "3", "Required", "4", "Warning", "Valid"), "Valid"))))</f>
        <v/>
      </c>
      <c r="O8" s="22">
        <f t="array" ref="O8">_xlfn.MAP('6 - TV Stands &amp; Enterta'!B8:B507, '6 - TV Stands &amp; Enterta'!O8:O507, '6 - TV Stands &amp; Enterta-WUO_ERR'!O8:O507, _xlfn.LAMBDA(_xlpm.part, _xlpm.val, _xlpm.error, IF(_xlpm.part = "", "", IF(LEN(_xlpm.error), _xlfn.SWITCH(IFERROR(_xlfn.TEXTBEFORE(_xlpm.error,":"), ""), "1", "Error", "2", "Disabled", "3", "Required", "4", "Warning", "Valid"), "Valid"))))</f>
        <v/>
      </c>
      <c r="P8" s="22">
        <f t="array" ref="P8">_xlfn.MAP('6 - TV Stands &amp; Enterta'!B8:B507, '6 - TV Stands &amp; Enterta'!P8:P507, '6 - TV Stands &amp; Enterta-WUO_ERR'!P8:P507, _xlfn.LAMBDA(_xlpm.part, _xlpm.val, _xlpm.error, IF(_xlpm.part = "", "", IF(LEN(_xlpm.error), _xlfn.SWITCH(IFERROR(_xlfn.TEXTBEFORE(_xlpm.error,":"), ""), "1", "Error", "2", "Disabled", "3", "Required", "4", "Warning", "Valid"), "Valid"))))</f>
        <v/>
      </c>
      <c r="Q8" s="22">
        <f t="array" ref="Q8">_xlfn.MAP('6 - TV Stands &amp; Enterta'!B8:B507, '6 - TV Stands &amp; Enterta'!Q8:Q507, '6 - TV Stands &amp; Enterta-WUO_ERR'!Q8:Q507, _xlfn.LAMBDA(_xlpm.part, _xlpm.val, _xlpm.error, IF(_xlpm.part = "", "", IF(LEN(_xlpm.error), _xlfn.SWITCH(IFERROR(_xlfn.TEXTBEFORE(_xlpm.error,":"), ""), "1", "Error", "2", "Disabled", "3", "Required", "4", "Warning", "Valid"), "Valid"))))</f>
        <v/>
      </c>
      <c r="R8" s="22">
        <f t="array" ref="R8">_xlfn.MAP('6 - TV Stands &amp; Enterta'!B8:B507, '6 - TV Stands &amp; Enterta'!R8:R507, '6 - TV Stands &amp; Enterta-WUO_ERR'!R8:R507, _xlfn.LAMBDA(_xlpm.part, _xlpm.val, _xlpm.error, IF(_xlpm.part = "", "", IF(LEN(_xlpm.error), _xlfn.SWITCH(IFERROR(_xlfn.TEXTBEFORE(_xlpm.error,":"), ""), "1", "Error", "2", "Disabled", "3", "Required", "4", "Warning", "Valid"), "Valid"))))</f>
        <v/>
      </c>
      <c r="S8" s="22">
        <f t="array" ref="S8">_xlfn.MAP('6 - TV Stands &amp; Enterta'!B8:B507, '6 - TV Stands &amp; Enterta'!S8:S507, '6 - TV Stands &amp; Enterta-WUO_ERR'!S8:S507, _xlfn.LAMBDA(_xlpm.part, _xlpm.val, _xlpm.error, IF(_xlpm.part = "", "", IF(LEN(_xlpm.error), _xlfn.SWITCH(IFERROR(_xlfn.TEXTBEFORE(_xlpm.error,":"), ""), "1", "Error", "2", "Disabled", "3", "Required", "4", "Warning", "Valid"), "Valid"))))</f>
        <v/>
      </c>
      <c r="T8" s="22">
        <f t="array" ref="T8">_xlfn.MAP('6 - TV Stands &amp; Enterta'!B8:B507, '6 - TV Stands &amp; Enterta'!T8:T507, '6 - TV Stands &amp; Enterta-WUO_ERR'!T8:T507, _xlfn.LAMBDA(_xlpm.part, _xlpm.val, _xlpm.error, IF(_xlpm.part = "", "", IF(LEN(_xlpm.error), _xlfn.SWITCH(IFERROR(_xlfn.TEXTBEFORE(_xlpm.error,":"), ""), "1", "Error", "2", "Disabled", "3", "Required", "4", "Warning", "Valid"), "Valid"))))</f>
        <v/>
      </c>
      <c r="U8" s="22">
        <f t="array" ref="U8">_xlfn.MAP('6 - TV Stands &amp; Enterta'!B8:B507, '6 - TV Stands &amp; Enterta'!U8:U507, '6 - TV Stands &amp; Enterta-WUO_ERR'!U8:U507, _xlfn.LAMBDA(_xlpm.part, _xlpm.val, _xlpm.error, IF(_xlpm.part = "", "", IF(LEN(_xlpm.error), _xlfn.SWITCH(IFERROR(_xlfn.TEXTBEFORE(_xlpm.error,":"), ""), "1", "Error", "2", "Disabled", "3", "Required", "4", "Warning", "Valid"), "Valid"))))</f>
        <v/>
      </c>
      <c r="V8" s="22">
        <f t="array" ref="V8">_xlfn.MAP('6 - TV Stands &amp; Enterta'!B8:B507, '6 - TV Stands &amp; Enterta'!V8:V507, '6 - TV Stands &amp; Enterta-WUO_ERR'!V8:V507, _xlfn.LAMBDA(_xlpm.part, _xlpm.val, _xlpm.error, IF(_xlpm.part = "", "", IF(LEN(_xlpm.error), _xlfn.SWITCH(IFERROR(_xlfn.TEXTBEFORE(_xlpm.error,":"), ""), "1", "Error", "2", "Disabled", "3", "Required", "4", "Warning", "Valid"), "Valid"))))</f>
        <v/>
      </c>
      <c r="W8" s="22">
        <f t="array" ref="W8">_xlfn.MAP('6 - TV Stands &amp; Enterta'!B8:B507, '6 - TV Stands &amp; Enterta'!W8:W507, '6 - TV Stands &amp; Enterta-WUO_ERR'!W8:W507, _xlfn.LAMBDA(_xlpm.part, _xlpm.val, _xlpm.error, IF(_xlpm.part = "", "", IF(LEN(_xlpm.error), _xlfn.SWITCH(IFERROR(_xlfn.TEXTBEFORE(_xlpm.error,":"), ""), "1", "Error", "2", "Disabled", "3", "Required", "4", "Warning", "Valid"), "Valid"))))</f>
        <v/>
      </c>
      <c r="X8" s="22">
        <f t="array" ref="X8">_xlfn.MAP('6 - TV Stands &amp; Enterta'!B8:B507, '6 - TV Stands &amp; Enterta'!X8:X507, '6 - TV Stands &amp; Enterta-WUO_ERR'!X8:X507, _xlfn.LAMBDA(_xlpm.part, _xlpm.val, _xlpm.error, IF(_xlpm.part = "", "", IF(LEN(_xlpm.error), _xlfn.SWITCH(IFERROR(_xlfn.TEXTBEFORE(_xlpm.error,":"), ""), "1", "Error", "2", "Disabled", "3", "Required", "4", "Warning", "Valid"), "Valid"))))</f>
        <v/>
      </c>
      <c r="Y8" s="22">
        <f t="array" ref="Y8">_xlfn.MAP('6 - TV Stands &amp; Enterta'!B8:B507, '6 - TV Stands &amp; Enterta'!Y8:Y507, '6 - TV Stands &amp; Enterta-WUO_ERR'!Y8:Y507, _xlfn.LAMBDA(_xlpm.part, _xlpm.val, _xlpm.error, IF(_xlpm.part = "", "", IF(LEN(_xlpm.error), _xlfn.SWITCH(IFERROR(_xlfn.TEXTBEFORE(_xlpm.error,":"), ""), "1", "Error", "2", "Disabled", "3", "Required", "4", "Warning", "Valid"), "Valid"))))</f>
        <v/>
      </c>
      <c r="Z8" s="22">
        <f t="array" ref="Z8">_xlfn.MAP('6 - TV Stands &amp; Enterta'!B8:B507, '6 - TV Stands &amp; Enterta'!Z8:Z507, '6 - TV Stands &amp; Enterta-WUO_ERR'!Z8:Z507, _xlfn.LAMBDA(_xlpm.part, _xlpm.val, _xlpm.error, IF(_xlpm.part = "", "", IF(LEN(_xlpm.error), _xlfn.SWITCH(IFERROR(_xlfn.TEXTBEFORE(_xlpm.error,":"), ""), "1", "Error", "2", "Disabled", "3", "Required", "4", "Warning", "Valid"), "Valid"))))</f>
        <v/>
      </c>
      <c r="AA8" s="22">
        <f t="array" ref="AA8">_xlfn.MAP('6 - TV Stands &amp; Enterta'!B8:B507, '6 - TV Stands &amp; Enterta'!AA8:AA507, '6 - TV Stands &amp; Enterta-WUO_ERR'!AA8:AA507, _xlfn.LAMBDA(_xlpm.part, _xlpm.val, _xlpm.error, IF(_xlpm.part = "", "", IF(LEN(_xlpm.error), _xlfn.SWITCH(IFERROR(_xlfn.TEXTBEFORE(_xlpm.error,":"), ""), "1", "Error", "2", "Disabled", "3", "Required", "4", "Warning", "Valid"), "Valid"))))</f>
        <v/>
      </c>
      <c r="AB8" s="22">
        <f t="array" ref="AB8">_xlfn.MAP('6 - TV Stands &amp; Enterta'!B8:B507, '6 - TV Stands &amp; Enterta'!AB8:AB507, '6 - TV Stands &amp; Enterta-WUO_ERR'!AB8:AB507, _xlfn.LAMBDA(_xlpm.part, _xlpm.val, _xlpm.error, IF(_xlpm.part = "", "", IF(LEN(_xlpm.error), _xlfn.SWITCH(IFERROR(_xlfn.TEXTBEFORE(_xlpm.error,":"), ""), "1", "Error", "2", "Disabled", "3", "Required", "4", "Warning", "Valid"), "Valid"))))</f>
        <v/>
      </c>
      <c r="AC8" s="22">
        <f t="array" ref="AC8">_xlfn.MAP('6 - TV Stands &amp; Enterta'!B8:B507, '6 - TV Stands &amp; Enterta'!AC8:AC507, '6 - TV Stands &amp; Enterta-WUO_ERR'!AC8:AC507, _xlfn.LAMBDA(_xlpm.part, _xlpm.val, _xlpm.error, IF(_xlpm.part = "", "", IF(LEN(_xlpm.error), _xlfn.SWITCH(IFERROR(_xlfn.TEXTBEFORE(_xlpm.error,":"), ""), "1", "Error", "2", "Disabled", "3", "Required", "4", "Warning", "Valid"), "Valid"))))</f>
        <v/>
      </c>
      <c r="AD8" s="22">
        <f t="array" ref="AD8">_xlfn.MAP('6 - TV Stands &amp; Enterta'!B8:B507, '6 - TV Stands &amp; Enterta'!AD8:AD507, '6 - TV Stands &amp; Enterta-WUO_ERR'!AD8:AD507, _xlfn.LAMBDA(_xlpm.part, _xlpm.val, _xlpm.error, IF(_xlpm.part = "", "", IF(LEN(_xlpm.error), _xlfn.SWITCH(IFERROR(_xlfn.TEXTBEFORE(_xlpm.error,":"), ""), "1", "Error", "2", "Disabled", "3", "Required", "4", "Warning", "Valid"), "Valid"))))</f>
        <v/>
      </c>
      <c r="AE8" s="22">
        <f t="array" ref="AE8">_xlfn.MAP('6 - TV Stands &amp; Enterta'!B8:B507, '6 - TV Stands &amp; Enterta'!AE8:AE507, '6 - TV Stands &amp; Enterta-WUO_ERR'!AE8:AE507, _xlfn.LAMBDA(_xlpm.part, _xlpm.val, _xlpm.error, IF(_xlpm.part = "", "", IF(LEN(_xlpm.error), _xlfn.SWITCH(IFERROR(_xlfn.TEXTBEFORE(_xlpm.error,":"), ""), "1", "Error", "2", "Disabled", "3", "Required", "4", "Warning", "Valid"), "Valid"))))</f>
        <v/>
      </c>
      <c r="AF8" s="22">
        <f t="array" ref="AF8">_xlfn.MAP('6 - TV Stands &amp; Enterta'!B8:B507, '6 - TV Stands &amp; Enterta'!AF8:AF507, '6 - TV Stands &amp; Enterta-WUO_ERR'!AF8:AF507, _xlfn.LAMBDA(_xlpm.part, _xlpm.val, _xlpm.error, IF(_xlpm.part = "", "", IF(LEN(_xlpm.error), _xlfn.SWITCH(IFERROR(_xlfn.TEXTBEFORE(_xlpm.error,":"), ""), "1", "Error", "2", "Disabled", "3", "Required", "4", "Warning", "Valid"), "Valid"))))</f>
        <v/>
      </c>
      <c r="AG8" s="22">
        <f t="array" ref="AG8">_xlfn.MAP('6 - TV Stands &amp; Enterta'!B8:B507, '6 - TV Stands &amp; Enterta'!AG8:AG507, '6 - TV Stands &amp; Enterta-WUO_ERR'!AG8:AG507, _xlfn.LAMBDA(_xlpm.part, _xlpm.val, _xlpm.error, IF(_xlpm.part = "", "", IF(LEN(_xlpm.error), _xlfn.SWITCH(IFERROR(_xlfn.TEXTBEFORE(_xlpm.error,":"), ""), "1", "Error", "2", "Disabled", "3", "Required", "4", "Warning", "Valid"), "Valid"))))</f>
        <v/>
      </c>
      <c r="AH8" s="22">
        <f t="array" ref="AH8">_xlfn.MAP('6 - TV Stands &amp; Enterta'!B8:B507, '6 - TV Stands &amp; Enterta'!AH8:AH507, '6 - TV Stands &amp; Enterta-WUO_ERR'!AH8:AH507, _xlfn.LAMBDA(_xlpm.part, _xlpm.val, _xlpm.error, IF(_xlpm.part = "", "", IF(LEN(_xlpm.error), _xlfn.SWITCH(IFERROR(_xlfn.TEXTBEFORE(_xlpm.error,":"), ""), "1", "Error", "2", "Disabled", "3", "Required", "4", "Warning", "Valid"), "Valid"))))</f>
        <v/>
      </c>
      <c r="AI8" s="22">
        <f t="array" ref="AI8">_xlfn.MAP('6 - TV Stands &amp; Enterta'!B8:B507, '6 - TV Stands &amp; Enterta'!AI8:AI507, '6 - TV Stands &amp; Enterta-WUO_ERR'!AI8:AI507, _xlfn.LAMBDA(_xlpm.part, _xlpm.val, _xlpm.error, IF(_xlpm.part = "", "", IF(LEN(_xlpm.error), _xlfn.SWITCH(IFERROR(_xlfn.TEXTBEFORE(_xlpm.error,":"), ""), "1", "Error", "2", "Disabled", "3", "Required", "4", "Warning", "Valid"), "Valid"))))</f>
        <v/>
      </c>
      <c r="AJ8" s="22">
        <f t="array" ref="AJ8">_xlfn.MAP('6 - TV Stands &amp; Enterta'!B8:B507, '6 - TV Stands &amp; Enterta'!AJ8:AJ507, '6 - TV Stands &amp; Enterta-WUO_ERR'!AJ8:AJ507, _xlfn.LAMBDA(_xlpm.part, _xlpm.val, _xlpm.error, IF(_xlpm.part = "", "", IF(LEN(_xlpm.error), _xlfn.SWITCH(IFERROR(_xlfn.TEXTBEFORE(_xlpm.error,":"), ""), "1", "Error", "2", "Disabled", "3", "Required", "4", "Warning", "Valid"), "Valid"))))</f>
        <v/>
      </c>
      <c r="AK8" s="22">
        <f t="array" ref="AK8">_xlfn.MAP('6 - TV Stands &amp; Enterta'!B8:B507, '6 - TV Stands &amp; Enterta'!AK8:AK507, '6 - TV Stands &amp; Enterta-WUO_ERR'!AK8:AK507, _xlfn.LAMBDA(_xlpm.part, _xlpm.val, _xlpm.error, IF(_xlpm.part = "", "", IF(LEN(_xlpm.error), _xlfn.SWITCH(IFERROR(_xlfn.TEXTBEFORE(_xlpm.error,":"), ""), "1", "Error", "2", "Disabled", "3", "Required", "4", "Warning", "Valid"), "Valid"))))</f>
        <v/>
      </c>
      <c r="AL8" s="22">
        <f t="array" ref="AL8">_xlfn.MAP('6 - TV Stands &amp; Enterta'!B8:B507, '6 - TV Stands &amp; Enterta'!AL8:AL507, '6 - TV Stands &amp; Enterta-WUO_ERR'!AL8:AL507, _xlfn.LAMBDA(_xlpm.part, _xlpm.val, _xlpm.error, IF(_xlpm.part = "", "", IF(LEN(_xlpm.error), _xlfn.SWITCH(IFERROR(_xlfn.TEXTBEFORE(_xlpm.error,":"), ""), "1", "Error", "2", "Disabled", "3", "Required", "4", "Warning", "Valid"), "Valid"))))</f>
        <v/>
      </c>
      <c r="AM8" s="22">
        <f t="array" ref="AM8">_xlfn.MAP('6 - TV Stands &amp; Enterta'!B8:B507, '6 - TV Stands &amp; Enterta'!AM8:AM507, '6 - TV Stands &amp; Enterta-WUO_ERR'!AM8:AM507, _xlfn.LAMBDA(_xlpm.part, _xlpm.val, _xlpm.error, IF(_xlpm.part = "", "", IF(LEN(_xlpm.error), _xlfn.SWITCH(IFERROR(_xlfn.TEXTBEFORE(_xlpm.error,":"), ""), "1", "Error", "2", "Disabled", "3", "Required", "4", "Warning", "Valid"), "Valid"))))</f>
        <v/>
      </c>
      <c r="AN8" s="22">
        <f t="array" ref="AN8">_xlfn.MAP('6 - TV Stands &amp; Enterta'!B8:B507, '6 - TV Stands &amp; Enterta'!AN8:AN507, '6 - TV Stands &amp; Enterta-WUO_ERR'!AN8:AN507, _xlfn.LAMBDA(_xlpm.part, _xlpm.val, _xlpm.error, IF(_xlpm.part = "", "", IF(LEN(_xlpm.error), _xlfn.SWITCH(IFERROR(_xlfn.TEXTBEFORE(_xlpm.error,":"), ""), "1", "Error", "2", "Disabled", "3", "Required", "4", "Warning", "Valid"), "Valid"))))</f>
        <v/>
      </c>
      <c r="AO8" s="22">
        <f t="array" ref="AO8">_xlfn.MAP('6 - TV Stands &amp; Enterta'!B8:B507, '6 - TV Stands &amp; Enterta'!AO8:AO507, '6 - TV Stands &amp; Enterta-WUO_ERR'!AO8:AO507, _xlfn.LAMBDA(_xlpm.part, _xlpm.val, _xlpm.error, IF(_xlpm.part = "", "", IF(LEN(_xlpm.error), _xlfn.SWITCH(IFERROR(_xlfn.TEXTBEFORE(_xlpm.error,":"), ""), "1", "Error", "2", "Disabled", "3", "Required", "4", "Warning", "Valid"), "Valid"))))</f>
        <v/>
      </c>
      <c r="AP8" s="22">
        <f t="array" ref="AP8">_xlfn.MAP('6 - TV Stands &amp; Enterta'!B8:B507, '6 - TV Stands &amp; Enterta'!AP8:AP507, '6 - TV Stands &amp; Enterta-WUO_ERR'!AP8:AP507, _xlfn.LAMBDA(_xlpm.part, _xlpm.val, _xlpm.error, IF(_xlpm.part = "", "", IF(LEN(_xlpm.error), _xlfn.SWITCH(IFERROR(_xlfn.TEXTBEFORE(_xlpm.error,":"), ""), "1", "Error", "2", "Disabled", "3", "Required", "4", "Warning", "Valid"), "Valid"))))</f>
        <v/>
      </c>
      <c r="AQ8" s="22">
        <f t="array" ref="AQ8">_xlfn.MAP('6 - TV Stands &amp; Enterta'!B8:B507, '6 - TV Stands &amp; Enterta'!AQ8:AQ507, '6 - TV Stands &amp; Enterta-WUO_ERR'!AQ8:AQ507, _xlfn.LAMBDA(_xlpm.part, _xlpm.val, _xlpm.error, IF(_xlpm.part = "", "", IF(LEN(_xlpm.error), _xlfn.SWITCH(IFERROR(_xlfn.TEXTBEFORE(_xlpm.error,":"), ""), "1", "Error", "2", "Disabled", "3", "Required", "4", "Warning", "Valid"), "Valid"))))</f>
        <v/>
      </c>
      <c r="AR8" s="22">
        <f t="array" ref="AR8">_xlfn.MAP('6 - TV Stands &amp; Enterta'!B8:B507, '6 - TV Stands &amp; Enterta'!AR8:AR507, '6 - TV Stands &amp; Enterta-WUO_ERR'!AR8:AR507, _xlfn.LAMBDA(_xlpm.part, _xlpm.val, _xlpm.error, IF(_xlpm.part = "", "", IF(LEN(_xlpm.error), _xlfn.SWITCH(IFERROR(_xlfn.TEXTBEFORE(_xlpm.error,":"), ""), "1", "Error", "2", "Disabled", "3", "Required", "4", "Warning", "Valid"), "Valid"))))</f>
        <v/>
      </c>
      <c r="AS8" s="22">
        <f t="array" ref="AS8">_xlfn.MAP('6 - TV Stands &amp; Enterta'!B8:B507, '6 - TV Stands &amp; Enterta'!AS8:AS507, '6 - TV Stands &amp; Enterta-WUO_ERR'!AS8:AS507, _xlfn.LAMBDA(_xlpm.part, _xlpm.val, _xlpm.error, IF(_xlpm.part = "", "", IF(LEN(_xlpm.error), _xlfn.SWITCH(IFERROR(_xlfn.TEXTBEFORE(_xlpm.error,":"), ""), "1", "Error", "2", "Disabled", "3", "Required", "4", "Warning", "Valid"), "Valid"))))</f>
        <v/>
      </c>
      <c r="AT8" s="22">
        <f t="array" ref="AT8">_xlfn.MAP('6 - TV Stands &amp; Enterta'!B8:B507, '6 - TV Stands &amp; Enterta'!AT8:AT507, '6 - TV Stands &amp; Enterta-WUO_ERR'!AT8:AT507, _xlfn.LAMBDA(_xlpm.part, _xlpm.val, _xlpm.error, IF(_xlpm.part = "", "", IF(LEN(_xlpm.error), _xlfn.SWITCH(IFERROR(_xlfn.TEXTBEFORE(_xlpm.error,":"), ""), "1", "Error", "2", "Disabled", "3", "Required", "4", "Warning", "Valid"), "Valid"))))</f>
        <v/>
      </c>
      <c r="AU8" s="22">
        <f t="array" ref="AU8">_xlfn.MAP('6 - TV Stands &amp; Enterta'!B8:B507, '6 - TV Stands &amp; Enterta'!AU8:AU507, '6 - TV Stands &amp; Enterta-WUO_ERR'!AU8:AU507, _xlfn.LAMBDA(_xlpm.part, _xlpm.val, _xlpm.error, IF(_xlpm.part = "", "", IF(LEN(_xlpm.error), _xlfn.SWITCH(IFERROR(_xlfn.TEXTBEFORE(_xlpm.error,":"), ""), "1", "Error", "2", "Disabled", "3", "Required", "4", "Warning", "Valid"), "Valid"))))</f>
        <v/>
      </c>
      <c r="AV8" s="22">
        <f t="array" ref="AV8">_xlfn.MAP('6 - TV Stands &amp; Enterta'!B8:B507, '6 - TV Stands &amp; Enterta'!AV8:AV507, '6 - TV Stands &amp; Enterta-WUO_ERR'!AV8:AV507, _xlfn.LAMBDA(_xlpm.part, _xlpm.val, _xlpm.error, IF(_xlpm.part = "", "", IF(LEN(_xlpm.error), _xlfn.SWITCH(IFERROR(_xlfn.TEXTBEFORE(_xlpm.error,":"), ""), "1", "Error", "2", "Disabled", "3", "Required", "4", "Warning", "Valid"), "Valid"))))</f>
        <v/>
      </c>
      <c r="AW8" s="22">
        <f t="array" ref="AW8">_xlfn.MAP('6 - TV Stands &amp; Enterta'!B8:B507, '6 - TV Stands &amp; Enterta'!AW8:AW507, '6 - TV Stands &amp; Enterta-WUO_ERR'!AW8:AW507, _xlfn.LAMBDA(_xlpm.part, _xlpm.val, _xlpm.error, IF(_xlpm.part = "", "", IF(LEN(_xlpm.error), _xlfn.SWITCH(IFERROR(_xlfn.TEXTBEFORE(_xlpm.error,":"), ""), "1", "Error", "2", "Disabled", "3", "Required", "4", "Warning", "Valid"), "Valid"))))</f>
        <v/>
      </c>
      <c r="AX8" s="22">
        <f t="array" ref="AX8">_xlfn.MAP('6 - TV Stands &amp; Enterta'!B8:B507, '6 - TV Stands &amp; Enterta'!AX8:AX507, '6 - TV Stands &amp; Enterta-WUO_ERR'!AX8:AX507, _xlfn.LAMBDA(_xlpm.part, _xlpm.val, _xlpm.error, IF(_xlpm.part = "", "", IF(LEN(_xlpm.error), _xlfn.SWITCH(IFERROR(_xlfn.TEXTBEFORE(_xlpm.error,":"), ""), "1", "Error", "2", "Disabled", "3", "Required", "4", "Warning", "Valid"), "Valid"))))</f>
        <v/>
      </c>
      <c r="AY8" s="22">
        <f t="array" ref="AY8">_xlfn.MAP('6 - TV Stands &amp; Enterta'!B8:B507, '6 - TV Stands &amp; Enterta'!AY8:AY507, '6 - TV Stands &amp; Enterta-WUO_ERR'!AY8:AY507, _xlfn.LAMBDA(_xlpm.part, _xlpm.val, _xlpm.error, IF(_xlpm.part = "", "", IF(LEN(_xlpm.error), _xlfn.SWITCH(IFERROR(_xlfn.TEXTBEFORE(_xlpm.error,":"), ""), "1", "Error", "2", "Disabled", "3", "Required", "4", "Warning", "Valid"), "Valid"))))</f>
        <v/>
      </c>
      <c r="AZ8" s="22">
        <f t="array" ref="AZ8">_xlfn.MAP('6 - TV Stands &amp; Enterta'!B8:B507, '6 - TV Stands &amp; Enterta'!AZ8:AZ507, '6 - TV Stands &amp; Enterta-WUO_ERR'!AZ8:AZ507, _xlfn.LAMBDA(_xlpm.part, _xlpm.val, _xlpm.error, IF(_xlpm.part = "", "", IF(LEN(_xlpm.error), _xlfn.SWITCH(IFERROR(_xlfn.TEXTBEFORE(_xlpm.error,":"), ""), "1", "Error", "2", "Disabled", "3", "Required", "4", "Warning", "Valid"), "Valid"))))</f>
        <v/>
      </c>
      <c r="BA8" s="22">
        <f t="array" ref="BA8">_xlfn.MAP('6 - TV Stands &amp; Enterta'!B8:B507, '6 - TV Stands &amp; Enterta'!BA8:BA507, '6 - TV Stands &amp; Enterta-WUO_ERR'!BA8:BA507, _xlfn.LAMBDA(_xlpm.part, _xlpm.val, _xlpm.error, IF(_xlpm.part = "", "", IF(LEN(_xlpm.error), _xlfn.SWITCH(IFERROR(_xlfn.TEXTBEFORE(_xlpm.error,":"), ""), "1", "Error", "2", "Disabled", "3", "Required", "4", "Warning", "Valid"), "Valid"))))</f>
        <v/>
      </c>
      <c r="BB8" s="22">
        <f t="array" ref="BB8">_xlfn.MAP('6 - TV Stands &amp; Enterta'!B8:B507, '6 - TV Stands &amp; Enterta'!BB8:BB507, '6 - TV Stands &amp; Enterta-WUO_ERR'!BB8:BB507, _xlfn.LAMBDA(_xlpm.part, _xlpm.val, _xlpm.error, IF(_xlpm.part = "", "", IF(LEN(_xlpm.error), _xlfn.SWITCH(IFERROR(_xlfn.TEXTBEFORE(_xlpm.error,":"), ""), "1", "Error", "2", "Disabled", "3", "Required", "4", "Warning", "Valid"), "Valid"))))</f>
        <v/>
      </c>
      <c r="BC8" s="22">
        <f t="array" ref="BC8">_xlfn.MAP('6 - TV Stands &amp; Enterta'!B8:B507, '6 - TV Stands &amp; Enterta'!BC8:BC507, '6 - TV Stands &amp; Enterta-WUO_ERR'!BC8:BC507, _xlfn.LAMBDA(_xlpm.part, _xlpm.val, _xlpm.error, IF(_xlpm.part = "", "", IF(LEN(_xlpm.error), _xlfn.SWITCH(IFERROR(_xlfn.TEXTBEFORE(_xlpm.error,":"), ""), "1", "Error", "2", "Disabled", "3", "Required", "4", "Warning", "Valid"), "Valid"))))</f>
        <v/>
      </c>
      <c r="BD8" s="22">
        <f t="array" ref="BD8">_xlfn.MAP('6 - TV Stands &amp; Enterta'!B8:B507, '6 - TV Stands &amp; Enterta'!BD8:BD507, '6 - TV Stands &amp; Enterta-WUO_ERR'!BD8:BD507, _xlfn.LAMBDA(_xlpm.part, _xlpm.val, _xlpm.error, IF(_xlpm.part = "", "", IF(LEN(_xlpm.error), _xlfn.SWITCH(IFERROR(_xlfn.TEXTBEFORE(_xlpm.error,":"), ""), "1", "Error", "2", "Disabled", "3", "Required", "4", "Warning", "Valid"), "Valid"))))</f>
        <v/>
      </c>
      <c r="BE8" s="22">
        <f t="array" ref="BE8">_xlfn.MAP('6 - TV Stands &amp; Enterta'!B8:B507, '6 - TV Stands &amp; Enterta'!BE8:BE507, '6 - TV Stands &amp; Enterta-WUO_ERR'!BE8:BE507, _xlfn.LAMBDA(_xlpm.part, _xlpm.val, _xlpm.error, IF(_xlpm.part = "", "", IF(LEN(_xlpm.error), _xlfn.SWITCH(IFERROR(_xlfn.TEXTBEFORE(_xlpm.error,":"), ""), "1", "Error", "2", "Disabled", "3", "Required", "4", "Warning", "Valid"), "Valid"))))</f>
        <v/>
      </c>
      <c r="BF8" s="22">
        <f t="array" ref="BF8">_xlfn.MAP('6 - TV Stands &amp; Enterta'!B8:B507, '6 - TV Stands &amp; Enterta'!BF8:BF507, '6 - TV Stands &amp; Enterta-WUO_ERR'!BF8:BF507, _xlfn.LAMBDA(_xlpm.part, _xlpm.val, _xlpm.error, IF(_xlpm.part = "", "", IF(LEN(_xlpm.error), _xlfn.SWITCH(IFERROR(_xlfn.TEXTBEFORE(_xlpm.error,":"), ""), "1", "Error", "2", "Disabled", "3", "Required", "4", "Warning", "Valid"), "Valid"))))</f>
        <v/>
      </c>
      <c r="BG8" s="22">
        <f t="array" ref="BG8">_xlfn.MAP('6 - TV Stands &amp; Enterta'!B8:B507, '6 - TV Stands &amp; Enterta'!BG8:BG507, '6 - TV Stands &amp; Enterta-WUO_ERR'!BG8:BG507, _xlfn.LAMBDA(_xlpm.part, _xlpm.val, _xlpm.error, IF(_xlpm.part = "", "", IF(LEN(_xlpm.error), _xlfn.SWITCH(IFERROR(_xlfn.TEXTBEFORE(_xlpm.error,":"), ""), "1", "Error", "2", "Disabled", "3", "Required", "4", "Warning", "Valid"), "Valid"))))</f>
        <v/>
      </c>
      <c r="BH8" s="22">
        <f t="array" ref="BH8">_xlfn.MAP('6 - TV Stands &amp; Enterta'!B8:B507, '6 - TV Stands &amp; Enterta'!BH8:BH507, '6 - TV Stands &amp; Enterta-WUO_ERR'!BH8:BH507, _xlfn.LAMBDA(_xlpm.part, _xlpm.val, _xlpm.error, IF(_xlpm.part = "", "", IF(LEN(_xlpm.error), _xlfn.SWITCH(IFERROR(_xlfn.TEXTBEFORE(_xlpm.error,":"), ""), "1", "Error", "2", "Disabled", "3", "Required", "4", "Warning", "Valid"), "Valid"))))</f>
        <v/>
      </c>
      <c r="BI8" s="22">
        <f t="array" ref="BI8">_xlfn.MAP('6 - TV Stands &amp; Enterta'!B8:B507, '6 - TV Stands &amp; Enterta'!BI8:BI507, '6 - TV Stands &amp; Enterta-WUO_ERR'!BI8:BI507, _xlfn.LAMBDA(_xlpm.part, _xlpm.val, _xlpm.error, IF(_xlpm.part = "", "", IF(LEN(_xlpm.error), _xlfn.SWITCH(IFERROR(_xlfn.TEXTBEFORE(_xlpm.error,":"), ""), "1", "Error", "2", "Disabled", "3", "Required", "4", "Warning", "Valid"), "Valid"))))</f>
        <v/>
      </c>
      <c r="BJ8" s="22">
        <f t="array" ref="BJ8">_xlfn.MAP('6 - TV Stands &amp; Enterta'!B8:B507, '6 - TV Stands &amp; Enterta'!BJ8:BJ507, '6 - TV Stands &amp; Enterta-WUO_ERR'!BJ8:BJ507, _xlfn.LAMBDA(_xlpm.part, _xlpm.val, _xlpm.error, IF(_xlpm.part = "", "", IF(LEN(_xlpm.error), _xlfn.SWITCH(IFERROR(_xlfn.TEXTBEFORE(_xlpm.error,":"), ""), "1", "Error", "2", "Disabled", "3", "Required", "4", "Warning", "Valid"), "Valid"))))</f>
        <v/>
      </c>
      <c r="BK8" s="22">
        <f t="array" ref="BK8">_xlfn.MAP('6 - TV Stands &amp; Enterta'!B8:B507, '6 - TV Stands &amp; Enterta'!BK8:BK507, '6 - TV Stands &amp; Enterta-WUO_ERR'!BK8:BK507, _xlfn.LAMBDA(_xlpm.part, _xlpm.val, _xlpm.error, IF(_xlpm.part = "", "", IF(LEN(_xlpm.error), _xlfn.SWITCH(IFERROR(_xlfn.TEXTBEFORE(_xlpm.error,":"), ""), "1", "Error", "2", "Disabled", "3", "Required", "4", "Warning", "Valid"), "Valid"))))</f>
        <v/>
      </c>
      <c r="BL8" s="22">
        <f t="array" ref="BL8">_xlfn.MAP('6 - TV Stands &amp; Enterta'!B8:B507, '6 - TV Stands &amp; Enterta'!BL8:BL507, '6 - TV Stands &amp; Enterta-WUO_ERR'!BL8:BL507, _xlfn.LAMBDA(_xlpm.part, _xlpm.val, _xlpm.error, IF(_xlpm.part = "", "", IF(LEN(_xlpm.error), _xlfn.SWITCH(IFERROR(_xlfn.TEXTBEFORE(_xlpm.error,":"), ""), "1", "Error", "2", "Disabled", "3", "Required", "4", "Warning", "Valid"), "Valid"))))</f>
        <v/>
      </c>
      <c r="BM8" s="22">
        <f t="array" ref="BM8">_xlfn.MAP('6 - TV Stands &amp; Enterta'!B8:B507, '6 - TV Stands &amp; Enterta'!BM8:BM507, '6 - TV Stands &amp; Enterta-WUO_ERR'!BM8:BM507, _xlfn.LAMBDA(_xlpm.part, _xlpm.val, _xlpm.error, IF(_xlpm.part = "", "", IF(LEN(_xlpm.error), _xlfn.SWITCH(IFERROR(_xlfn.TEXTBEFORE(_xlpm.error,":"), ""), "1", "Error", "2", "Disabled", "3", "Required", "4", "Warning", "Valid"), "Valid"))))</f>
        <v/>
      </c>
      <c r="BN8" s="22">
        <f t="array" ref="BN8">_xlfn.MAP('6 - TV Stands &amp; Enterta'!B8:B507, '6 - TV Stands &amp; Enterta'!BN8:BN507, '6 - TV Stands &amp; Enterta-WUO_ERR'!BN8:BN507, _xlfn.LAMBDA(_xlpm.part, _xlpm.val, _xlpm.error, IF(_xlpm.part = "", "", IF(LEN(_xlpm.error), _xlfn.SWITCH(IFERROR(_xlfn.TEXTBEFORE(_xlpm.error,":"), ""), "1", "Error", "2", "Disabled", "3", "Required", "4", "Warning", "Valid"), "Valid"))))</f>
        <v/>
      </c>
      <c r="BO8" s="22">
        <f t="array" ref="BO8">_xlfn.MAP('6 - TV Stands &amp; Enterta'!B8:B507, '6 - TV Stands &amp; Enterta'!BO8:BO507, '6 - TV Stands &amp; Enterta-WUO_ERR'!BO8:BO507, _xlfn.LAMBDA(_xlpm.part, _xlpm.val, _xlpm.error, IF(_xlpm.part = "", "", IF(LEN(_xlpm.error), _xlfn.SWITCH(IFERROR(_xlfn.TEXTBEFORE(_xlpm.error,":"), ""), "1", "Error", "2", "Disabled", "3", "Required", "4", "Warning", "Valid"), "Valid"))))</f>
        <v/>
      </c>
      <c r="BP8" s="22">
        <f t="array" ref="BP8">_xlfn.MAP('6 - TV Stands &amp; Enterta'!B8:B507, '6 - TV Stands &amp; Enterta'!BP8:BP507, '6 - TV Stands &amp; Enterta-WUO_ERR'!BP8:BP507, _xlfn.LAMBDA(_xlpm.part, _xlpm.val, _xlpm.error, IF(_xlpm.part = "", "", IF(LEN(_xlpm.error), _xlfn.SWITCH(IFERROR(_xlfn.TEXTBEFORE(_xlpm.error,":"), ""), "1", "Error", "2", "Disabled", "3", "Required", "4", "Warning", "Valid"), "Valid"))))</f>
        <v/>
      </c>
      <c r="BQ8" s="22">
        <f t="array" ref="BQ8">_xlfn.MAP('6 - TV Stands &amp; Enterta'!B8:B507, '6 - TV Stands &amp; Enterta'!BQ8:BQ507, '6 - TV Stands &amp; Enterta-WUO_ERR'!BQ8:BQ507, _xlfn.LAMBDA(_xlpm.part, _xlpm.val, _xlpm.error, IF(_xlpm.part = "", "", IF(LEN(_xlpm.error), _xlfn.SWITCH(IFERROR(_xlfn.TEXTBEFORE(_xlpm.error,":"), ""), "1", "Error", "2", "Disabled", "3", "Required", "4", "Warning", "Valid"), "Valid"))))</f>
        <v/>
      </c>
      <c r="BR8" s="22">
        <f t="array" ref="BR8">_xlfn.MAP('6 - TV Stands &amp; Enterta'!B8:B507, '6 - TV Stands &amp; Enterta'!BR8:BR507, '6 - TV Stands &amp; Enterta-WUO_ERR'!BR8:BR507, _xlfn.LAMBDA(_xlpm.part, _xlpm.val, _xlpm.error, IF(_xlpm.part = "", "", IF(LEN(_xlpm.error), _xlfn.SWITCH(IFERROR(_xlfn.TEXTBEFORE(_xlpm.error,":"), ""), "1", "Error", "2", "Disabled", "3", "Required", "4", "Warning", "Valid"), "Valid"))))</f>
        <v/>
      </c>
      <c r="BS8" s="22">
        <f t="array" ref="BS8">_xlfn.MAP('6 - TV Stands &amp; Enterta'!B8:B507, '6 - TV Stands &amp; Enterta'!BS8:BS507, '6 - TV Stands &amp; Enterta-WUO_ERR'!BS8:BS507, _xlfn.LAMBDA(_xlpm.part, _xlpm.val, _xlpm.error, IF(_xlpm.part = "", "", IF(LEN(_xlpm.error), _xlfn.SWITCH(IFERROR(_xlfn.TEXTBEFORE(_xlpm.error,":"), ""), "1", "Error", "2", "Disabled", "3", "Required", "4", "Warning", "Valid"), "Valid"))))</f>
        <v/>
      </c>
      <c r="BT8" s="22">
        <f t="array" ref="BT8">_xlfn.MAP('6 - TV Stands &amp; Enterta'!B8:B507, '6 - TV Stands &amp; Enterta'!BT8:BT507, '6 - TV Stands &amp; Enterta-WUO_ERR'!BT8:BT507, _xlfn.LAMBDA(_xlpm.part, _xlpm.val, _xlpm.error, IF(_xlpm.part = "", "", IF(LEN(_xlpm.error), _xlfn.SWITCH(IFERROR(_xlfn.TEXTBEFORE(_xlpm.error,":"), ""), "1", "Error", "2", "Disabled", "3", "Required", "4", "Warning", "Valid"), "Valid"))))</f>
        <v/>
      </c>
      <c r="BU8" s="22">
        <f t="array" ref="BU8">_xlfn.MAP('6 - TV Stands &amp; Enterta'!B8:B507, '6 - TV Stands &amp; Enterta'!BU8:BU507, '6 - TV Stands &amp; Enterta-WUO_ERR'!BU8:BU507, _xlfn.LAMBDA(_xlpm.part, _xlpm.val, _xlpm.error, IF(_xlpm.part = "", "", IF(LEN(_xlpm.error), _xlfn.SWITCH(IFERROR(_xlfn.TEXTBEFORE(_xlpm.error,":"), ""), "1", "Error", "2", "Disabled", "3", "Required", "4", "Warning", "Valid"), "Valid"))))</f>
        <v/>
      </c>
      <c r="BV8" s="22">
        <f t="array" ref="BV8">_xlfn.MAP('6 - TV Stands &amp; Enterta'!B8:B507, '6 - TV Stands &amp; Enterta'!BV8:BV507, '6 - TV Stands &amp; Enterta-WUO_ERR'!BV8:BV507, _xlfn.LAMBDA(_xlpm.part, _xlpm.val, _xlpm.error, IF(_xlpm.part = "", "", IF(LEN(_xlpm.error), _xlfn.SWITCH(IFERROR(_xlfn.TEXTBEFORE(_xlpm.error,":"), ""), "1", "Error", "2", "Disabled", "3", "Required", "4", "Warning", "Valid"), "Valid"))))</f>
        <v/>
      </c>
      <c r="BW8" s="22">
        <f t="array" ref="BW8">_xlfn.MAP('6 - TV Stands &amp; Enterta'!B8:B507, '6 - TV Stands &amp; Enterta'!BW8:BW507, '6 - TV Stands &amp; Enterta-WUO_ERR'!BW8:BW507, _xlfn.LAMBDA(_xlpm.part, _xlpm.val, _xlpm.error, IF(_xlpm.part = "", "", IF(LEN(_xlpm.error), _xlfn.SWITCH(IFERROR(_xlfn.TEXTBEFORE(_xlpm.error,":"), ""), "1", "Error", "2", "Disabled", "3", "Required", "4", "Warning", "Valid"), "Valid"))))</f>
        <v/>
      </c>
      <c r="BX8" s="22">
        <f t="array" ref="BX8">_xlfn.MAP('6 - TV Stands &amp; Enterta'!B8:B507, '6 - TV Stands &amp; Enterta'!BX8:BX507, '6 - TV Stands &amp; Enterta-WUO_ERR'!BX8:BX507, _xlfn.LAMBDA(_xlpm.part, _xlpm.val, _xlpm.error, IF(_xlpm.part = "", "", IF(LEN(_xlpm.error), _xlfn.SWITCH(IFERROR(_xlfn.TEXTBEFORE(_xlpm.error,":"), ""), "1", "Error", "2", "Disabled", "3", "Required", "4", "Warning", "Valid"), "Valid"))))</f>
        <v/>
      </c>
      <c r="BY8" s="22">
        <f t="array" ref="BY8">_xlfn.MAP('6 - TV Stands &amp; Enterta'!B8:B507, '6 - TV Stands &amp; Enterta'!BY8:BY507, '6 - TV Stands &amp; Enterta-WUO_ERR'!BY8:BY507, _xlfn.LAMBDA(_xlpm.part, _xlpm.val, _xlpm.error, IF(_xlpm.part = "", "", IF(LEN(_xlpm.error), _xlfn.SWITCH(IFERROR(_xlfn.TEXTBEFORE(_xlpm.error,":"), ""), "1", "Error", "2", "Disabled", "3", "Required", "4", "Warning", "Valid"), "Valid"))))</f>
        <v/>
      </c>
      <c r="BZ8" s="22">
        <f t="array" ref="BZ8">_xlfn.MAP('6 - TV Stands &amp; Enterta'!B8:B507, '6 - TV Stands &amp; Enterta'!BZ8:BZ507, '6 - TV Stands &amp; Enterta-WUO_ERR'!BZ8:BZ507, _xlfn.LAMBDA(_xlpm.part, _xlpm.val, _xlpm.error, IF(_xlpm.part = "", "", IF(LEN(_xlpm.error), _xlfn.SWITCH(IFERROR(_xlfn.TEXTBEFORE(_xlpm.error,":"), ""), "1", "Error", "2", "Disabled", "3", "Required", "4", "Warning", "Valid"), "Valid"))))</f>
        <v/>
      </c>
      <c r="CA8" s="22">
        <f t="array" ref="CA8">_xlfn.MAP('6 - TV Stands &amp; Enterta'!B8:B507, '6 - TV Stands &amp; Enterta'!CA8:CA507, '6 - TV Stands &amp; Enterta-WUO_ERR'!CA8:CA507, _xlfn.LAMBDA(_xlpm.part, _xlpm.val, _xlpm.error, IF(_xlpm.part = "", "", IF(LEN(_xlpm.error), _xlfn.SWITCH(IFERROR(_xlfn.TEXTBEFORE(_xlpm.error,":"), ""), "1", "Error", "2", "Disabled", "3", "Required", "4", "Warning", "Valid"), "Valid"))))</f>
        <v/>
      </c>
      <c r="CB8" s="22">
        <f t="array" ref="CB8">_xlfn.MAP('6 - TV Stands &amp; Enterta'!B8:B507, '6 - TV Stands &amp; Enterta'!CB8:CB507, '6 - TV Stands &amp; Enterta-WUO_ERR'!CB8:CB507, _xlfn.LAMBDA(_xlpm.part, _xlpm.val, _xlpm.error, IF(_xlpm.part = "", "", IF(LEN(_xlpm.error), _xlfn.SWITCH(IFERROR(_xlfn.TEXTBEFORE(_xlpm.error,":"), ""), "1", "Error", "2", "Disabled", "3", "Required", "4", "Warning", "Valid"), "Valid"))))</f>
        <v/>
      </c>
      <c r="CC8" s="22">
        <f t="array" ref="CC8">_xlfn.MAP('6 - TV Stands &amp; Enterta'!B8:B507, '6 - TV Stands &amp; Enterta'!CC8:CC507, '6 - TV Stands &amp; Enterta-WUO_ERR'!CC8:CC507, _xlfn.LAMBDA(_xlpm.part, _xlpm.val, _xlpm.error, IF(_xlpm.part = "", "", IF(LEN(_xlpm.error), _xlfn.SWITCH(IFERROR(_xlfn.TEXTBEFORE(_xlpm.error,":"), ""), "1", "Error", "2", "Disabled", "3", "Required", "4", "Warning", "Valid"), "Valid"))))</f>
        <v/>
      </c>
      <c r="CD8" s="22">
        <f t="array" ref="CD8">_xlfn.MAP('6 - TV Stands &amp; Enterta'!B8:B507, '6 - TV Stands &amp; Enterta'!CD8:CD507, '6 - TV Stands &amp; Enterta-WUO_ERR'!CD8:CD507, _xlfn.LAMBDA(_xlpm.part, _xlpm.val, _xlpm.error, IF(_xlpm.part = "", "", IF(LEN(_xlpm.error), _xlfn.SWITCH(IFERROR(_xlfn.TEXTBEFORE(_xlpm.error,":"), ""), "1", "Error", "2", "Disabled", "3", "Required", "4", "Warning", "Valid"), "Valid"))))</f>
        <v/>
      </c>
      <c r="CE8" s="22">
        <f t="array" ref="CE8">_xlfn.MAP('6 - TV Stands &amp; Enterta'!B8:B507, '6 - TV Stands &amp; Enterta'!CE8:CE507, '6 - TV Stands &amp; Enterta-WUO_ERR'!CE8:CE507, _xlfn.LAMBDA(_xlpm.part, _xlpm.val, _xlpm.error, IF(_xlpm.part = "", "", IF(LEN(_xlpm.error), _xlfn.SWITCH(IFERROR(_xlfn.TEXTBEFORE(_xlpm.error,":"), ""), "1", "Error", "2", "Disabled", "3", "Required", "4", "Warning", "Valid"), "Valid"))))</f>
        <v/>
      </c>
      <c r="CF8" s="22">
        <f t="array" ref="CF8">_xlfn.MAP('6 - TV Stands &amp; Enterta'!B8:B507, '6 - TV Stands &amp; Enterta'!CF8:CF507, '6 - TV Stands &amp; Enterta-WUO_ERR'!CF8:CF507, _xlfn.LAMBDA(_xlpm.part, _xlpm.val, _xlpm.error, IF(_xlpm.part = "", "", IF(LEN(_xlpm.error), _xlfn.SWITCH(IFERROR(_xlfn.TEXTBEFORE(_xlpm.error,":"), ""), "1", "Error", "2", "Disabled", "3", "Required", "4", "Warning", "Valid"), "Valid"))))</f>
        <v/>
      </c>
      <c r="CG8" s="22">
        <f t="array" ref="CG8">_xlfn.MAP('6 - TV Stands &amp; Enterta'!B8:B507, '6 - TV Stands &amp; Enterta'!CG8:CG507, '6 - TV Stands &amp; Enterta-WUO_ERR'!CG8:CG507, _xlfn.LAMBDA(_xlpm.part, _xlpm.val, _xlpm.error, IF(_xlpm.part = "", "", IF(LEN(_xlpm.error), _xlfn.SWITCH(IFERROR(_xlfn.TEXTBEFORE(_xlpm.error,":"), ""), "1", "Error", "2", "Disabled", "3", "Required", "4", "Warning", "Valid"), "Valid"))))</f>
        <v/>
      </c>
      <c r="CH8" s="22">
        <f t="array" ref="CH8">_xlfn.MAP('6 - TV Stands &amp; Enterta'!B8:B507, '6 - TV Stands &amp; Enterta'!CH8:CH507, '6 - TV Stands &amp; Enterta-WUO_ERR'!CH8:CH507, _xlfn.LAMBDA(_xlpm.part, _xlpm.val, _xlpm.error, IF(_xlpm.part = "", "", IF(LEN(_xlpm.error), _xlfn.SWITCH(IFERROR(_xlfn.TEXTBEFORE(_xlpm.error,":"), ""), "1", "Error", "2", "Disabled", "3", "Required", "4", "Warning", "Valid"), "Valid"))))</f>
        <v/>
      </c>
      <c r="CI8" s="22">
        <f t="array" ref="CI8">_xlfn.MAP('6 - TV Stands &amp; Enterta'!B8:B507, '6 - TV Stands &amp; Enterta'!CI8:CI507, '6 - TV Stands &amp; Enterta-WUO_ERR'!CI8:CI507, _xlfn.LAMBDA(_xlpm.part, _xlpm.val, _xlpm.error, IF(_xlpm.part = "", "", IF(LEN(_xlpm.error), _xlfn.SWITCH(IFERROR(_xlfn.TEXTBEFORE(_xlpm.error,":"), ""), "1", "Error", "2", "Disabled", "3", "Required", "4", "Warning", "Valid"), "Valid"))))</f>
        <v/>
      </c>
      <c r="CJ8" s="22">
        <f t="array" ref="CJ8">_xlfn.MAP('6 - TV Stands &amp; Enterta'!B8:B507, '6 - TV Stands &amp; Enterta'!CJ8:CJ507, '6 - TV Stands &amp; Enterta-WUO_ERR'!CJ8:CJ507, _xlfn.LAMBDA(_xlpm.part, _xlpm.val, _xlpm.error, IF(_xlpm.part = "", "", IF(LEN(_xlpm.error), _xlfn.SWITCH(IFERROR(_xlfn.TEXTBEFORE(_xlpm.error,":"), ""), "1", "Error", "2", "Disabled", "3", "Required", "4", "Warning", "Valid"), "Valid"))))</f>
        <v/>
      </c>
      <c r="CK8" s="22">
        <f t="array" ref="CK8">_xlfn.MAP('6 - TV Stands &amp; Enterta'!B8:B507, '6 - TV Stands &amp; Enterta'!CK8:CK507, '6 - TV Stands &amp; Enterta-WUO_ERR'!CK8:CK507, _xlfn.LAMBDA(_xlpm.part, _xlpm.val, _xlpm.error, IF(_xlpm.part = "", "", IF(LEN(_xlpm.error), _xlfn.SWITCH(IFERROR(_xlfn.TEXTBEFORE(_xlpm.error,":"), ""), "1", "Error", "2", "Disabled", "3", "Required", "4", "Warning", "Valid"), "Valid"))))</f>
        <v/>
      </c>
      <c r="CL8" s="22">
        <f t="array" ref="CL8">_xlfn.MAP('6 - TV Stands &amp; Enterta'!B8:B507, '6 - TV Stands &amp; Enterta'!CL8:CL507, '6 - TV Stands &amp; Enterta-WUO_ERR'!CL8:CL507, _xlfn.LAMBDA(_xlpm.part, _xlpm.val, _xlpm.error, IF(_xlpm.part = "", "", IF(LEN(_xlpm.error), _xlfn.SWITCH(IFERROR(_xlfn.TEXTBEFORE(_xlpm.error,":"), ""), "1", "Error", "2", "Disabled", "3", "Required", "4", "Warning", "Valid"), "Valid"))))</f>
        <v/>
      </c>
      <c r="CM8" s="22">
        <f t="array" ref="CM8">_xlfn.MAP('6 - TV Stands &amp; Enterta'!B8:B507, '6 - TV Stands &amp; Enterta'!CM8:CM507, '6 - TV Stands &amp; Enterta-WUO_ERR'!CM8:CM507, _xlfn.LAMBDA(_xlpm.part, _xlpm.val, _xlpm.error, IF(_xlpm.part = "", "", IF(LEN(_xlpm.error), _xlfn.SWITCH(IFERROR(_xlfn.TEXTBEFORE(_xlpm.error,":"), ""), "1", "Error", "2", "Disabled", "3", "Required", "4", "Warning", "Valid"), "Valid"))))</f>
        <v/>
      </c>
      <c r="CN8" s="22">
        <f t="array" ref="CN8">_xlfn.MAP('6 - TV Stands &amp; Enterta'!B8:B507, '6 - TV Stands &amp; Enterta'!CN8:CN507, '6 - TV Stands &amp; Enterta-WUO_ERR'!CN8:CN507, _xlfn.LAMBDA(_xlpm.part, _xlpm.val, _xlpm.error, IF(_xlpm.part = "", "", IF(LEN(_xlpm.error), _xlfn.SWITCH(IFERROR(_xlfn.TEXTBEFORE(_xlpm.error,":"), ""), "1", "Error", "2", "Disabled", "3", "Required", "4", "Warning", "Valid"), "Valid"))))</f>
        <v/>
      </c>
      <c r="CO8" s="22">
        <f t="array" ref="CO8">_xlfn.MAP('6 - TV Stands &amp; Enterta'!B8:B507, '6 - TV Stands &amp; Enterta'!CO8:CO507, '6 - TV Stands &amp; Enterta-WUO_ERR'!CO8:CO507, _xlfn.LAMBDA(_xlpm.part, _xlpm.val, _xlpm.error, IF(_xlpm.part = "", "", IF(LEN(_xlpm.error), _xlfn.SWITCH(IFERROR(_xlfn.TEXTBEFORE(_xlpm.error,":"), ""), "1", "Error", "2", "Disabled", "3", "Required", "4", "Warning", "Valid"), "Valid"))))</f>
        <v/>
      </c>
      <c r="CP8" s="22">
        <f t="array" ref="CP8">_xlfn.MAP('6 - TV Stands &amp; Enterta'!B8:B507, '6 - TV Stands &amp; Enterta'!CP8:CP507, '6 - TV Stands &amp; Enterta-WUO_ERR'!CP8:CP507, _xlfn.LAMBDA(_xlpm.part, _xlpm.val, _xlpm.error, IF(_xlpm.part = "", "", IF(LEN(_xlpm.error), _xlfn.SWITCH(IFERROR(_xlfn.TEXTBEFORE(_xlpm.error,":"), ""), "1", "Error", "2", "Disabled", "3", "Required", "4", "Warning", "Valid"), "Valid"))))</f>
        <v/>
      </c>
      <c r="CQ8" s="22">
        <f t="array" ref="CQ8">_xlfn.MAP('6 - TV Stands &amp; Enterta'!B8:B507, '6 - TV Stands &amp; Enterta'!CQ8:CQ507, '6 - TV Stands &amp; Enterta-WUO_ERR'!CQ8:CQ507, _xlfn.LAMBDA(_xlpm.part, _xlpm.val, _xlpm.error, IF(_xlpm.part = "", "", IF(LEN(_xlpm.error), _xlfn.SWITCH(IFERROR(_xlfn.TEXTBEFORE(_xlpm.error,":"), ""), "1", "Error", "2", "Disabled", "3", "Required", "4", "Warning", "Valid"), "Valid"))))</f>
        <v/>
      </c>
      <c r="CR8" s="22">
        <f t="array" ref="CR8">_xlfn.MAP('6 - TV Stands &amp; Enterta'!B8:B507, '6 - TV Stands &amp; Enterta'!CR8:CR507, '6 - TV Stands &amp; Enterta-WUO_ERR'!CR8:CR507, _xlfn.LAMBDA(_xlpm.part, _xlpm.val, _xlpm.error, IF(_xlpm.part = "", "", IF(LEN(_xlpm.error), _xlfn.SWITCH(IFERROR(_xlfn.TEXTBEFORE(_xlpm.error,":"), ""), "1", "Error", "2", "Disabled", "3", "Required", "4", "Warning", "Valid"), "Valid"))))</f>
        <v/>
      </c>
      <c r="CS8" s="22">
        <f t="array" ref="CS8">_xlfn.MAP('6 - TV Stands &amp; Enterta'!B8:B507, '6 - TV Stands &amp; Enterta'!CS8:CS507, '6 - TV Stands &amp; Enterta-WUO_ERR'!CS8:CS507, _xlfn.LAMBDA(_xlpm.part, _xlpm.val, _xlpm.error, IF(_xlpm.part = "", "", IF(LEN(_xlpm.error), _xlfn.SWITCH(IFERROR(_xlfn.TEXTBEFORE(_xlpm.error,":"), ""), "1", "Error", "2", "Disabled", "3", "Required", "4", "Warning", "Valid"), "Valid"))))</f>
        <v/>
      </c>
      <c r="CT8" s="22">
        <f t="array" ref="CT8">_xlfn.MAP('6 - TV Stands &amp; Enterta'!B8:B507, '6 - TV Stands &amp; Enterta'!CT8:CT507, '6 - TV Stands &amp; Enterta-WUO_ERR'!CT8:CT507, _xlfn.LAMBDA(_xlpm.part, _xlpm.val, _xlpm.error, IF(_xlpm.part = "", "", IF(LEN(_xlpm.error), _xlfn.SWITCH(IFERROR(_xlfn.TEXTBEFORE(_xlpm.error,":"), ""), "1", "Error", "2", "Disabled", "3", "Required", "4", "Warning", "Valid"), "Valid"))))</f>
        <v/>
      </c>
      <c r="CU8" s="22">
        <f t="array" ref="CU8">_xlfn.MAP('6 - TV Stands &amp; Enterta'!B8:B507, '6 - TV Stands &amp; Enterta'!CU8:CU507, '6 - TV Stands &amp; Enterta-WUO_ERR'!CU8:CU507, _xlfn.LAMBDA(_xlpm.part, _xlpm.val, _xlpm.error, IF(_xlpm.part = "", "", IF(LEN(_xlpm.error), _xlfn.SWITCH(IFERROR(_xlfn.TEXTBEFORE(_xlpm.error,":"), ""), "1", "Error", "2", "Disabled", "3", "Required", "4", "Warning", "Valid"), "Valid"))))</f>
        <v/>
      </c>
      <c r="CV8" s="22">
        <f t="array" ref="CV8">_xlfn.MAP('6 - TV Stands &amp; Enterta'!B8:B507, '6 - TV Stands &amp; Enterta'!CV8:CV507, '6 - TV Stands &amp; Enterta-WUO_ERR'!CV8:CV507, _xlfn.LAMBDA(_xlpm.part, _xlpm.val, _xlpm.error, IF(_xlpm.part = "", "", IF(LEN(_xlpm.error), _xlfn.SWITCH(IFERROR(_xlfn.TEXTBEFORE(_xlpm.error,":"), ""), "1", "Error", "2", "Disabled", "3", "Required", "4", "Warning", "Valid"), "Valid"))))</f>
        <v/>
      </c>
      <c r="CW8" s="22">
        <f t="array" ref="CW8">_xlfn.MAP('6 - TV Stands &amp; Enterta'!B8:B507, '6 - TV Stands &amp; Enterta'!CW8:CW507, '6 - TV Stands &amp; Enterta-WUO_ERR'!CW8:CW507, _xlfn.LAMBDA(_xlpm.part, _xlpm.val, _xlpm.error, IF(_xlpm.part = "", "", IF(LEN(_xlpm.error), _xlfn.SWITCH(IFERROR(_xlfn.TEXTBEFORE(_xlpm.error,":"), ""), "1", "Error", "2", "Disabled", "3", "Required", "4", "Warning", "Valid"), "Valid"))))</f>
        <v/>
      </c>
      <c r="CX8" s="22">
        <f t="array" ref="CX8">_xlfn.MAP('6 - TV Stands &amp; Enterta'!B8:B507, '6 - TV Stands &amp; Enterta'!CX8:CX507, '6 - TV Stands &amp; Enterta-WUO_ERR'!CX8:CX507, _xlfn.LAMBDA(_xlpm.part, _xlpm.val, _xlpm.error, IF(_xlpm.part = "", "", IF(LEN(_xlpm.error), _xlfn.SWITCH(IFERROR(_xlfn.TEXTBEFORE(_xlpm.error,":"), ""), "1", "Error", "2", "Disabled", "3", "Required", "4", "Warning", "Valid"), "Valid"))))</f>
        <v/>
      </c>
      <c r="CY8" s="22">
        <f t="array" ref="CY8">_xlfn.MAP('6 - TV Stands &amp; Enterta'!B8:B507, '6 - TV Stands &amp; Enterta'!CY8:CY507, '6 - TV Stands &amp; Enterta-WUO_ERR'!CY8:CY507, _xlfn.LAMBDA(_xlpm.part, _xlpm.val, _xlpm.error, IF(_xlpm.part = "", "", IF(LEN(_xlpm.error), _xlfn.SWITCH(IFERROR(_xlfn.TEXTBEFORE(_xlpm.error,":"), ""), "1", "Error", "2", "Disabled", "3", "Required", "4", "Warning", "Valid"), "Valid"))))</f>
        <v/>
      </c>
      <c r="CZ8" s="22">
        <f t="array" ref="CZ8">_xlfn.MAP('6 - TV Stands &amp; Enterta'!B8:B507, '6 - TV Stands &amp; Enterta'!CZ8:CZ507, '6 - TV Stands &amp; Enterta-WUO_ERR'!CZ8:CZ507, _xlfn.LAMBDA(_xlpm.part, _xlpm.val, _xlpm.error, IF(_xlpm.part = "", "", IF(LEN(_xlpm.error), _xlfn.SWITCH(IFERROR(_xlfn.TEXTBEFORE(_xlpm.error,":"), ""), "1", "Error", "2", "Disabled", "3", "Required", "4", "Warning", "Valid"), "Valid"))))</f>
        <v/>
      </c>
      <c r="DA8" s="22">
        <f t="array" ref="DA8">_xlfn.MAP('6 - TV Stands &amp; Enterta'!B8:B507, '6 - TV Stands &amp; Enterta'!DA8:DA507, '6 - TV Stands &amp; Enterta-WUO_ERR'!DA8:DA507, _xlfn.LAMBDA(_xlpm.part, _xlpm.val, _xlpm.error, IF(_xlpm.part = "", "", IF(LEN(_xlpm.error), _xlfn.SWITCH(IFERROR(_xlfn.TEXTBEFORE(_xlpm.error,":"), ""), "1", "Error", "2", "Disabled", "3", "Required", "4", "Warning", "Valid"), "Valid"))))</f>
        <v/>
      </c>
      <c r="DB8" s="22">
        <f t="array" ref="DB8">_xlfn.MAP('6 - TV Stands &amp; Enterta'!B8:B507, '6 - TV Stands &amp; Enterta'!DB8:DB507, '6 - TV Stands &amp; Enterta-WUO_ERR'!DB8:DB507, _xlfn.LAMBDA(_xlpm.part, _xlpm.val, _xlpm.error, IF(_xlpm.part = "", "", IF(LEN(_xlpm.error), _xlfn.SWITCH(IFERROR(_xlfn.TEXTBEFORE(_xlpm.error,":"), ""), "1", "Error", "2", "Disabled", "3", "Required", "4", "Warning", "Valid"), "Valid"))))</f>
        <v/>
      </c>
      <c r="DC8" s="22">
        <f t="array" ref="DC8">_xlfn.MAP('6 - TV Stands &amp; Enterta'!B8:B507, '6 - TV Stands &amp; Enterta'!DC8:DC507, '6 - TV Stands &amp; Enterta-WUO_ERR'!DC8:DC507, _xlfn.LAMBDA(_xlpm.part, _xlpm.val, _xlpm.error, IF(_xlpm.part = "", "", IF(LEN(_xlpm.error), _xlfn.SWITCH(IFERROR(_xlfn.TEXTBEFORE(_xlpm.error,":"), ""), "1", "Error", "2", "Disabled", "3", "Required", "4", "Warning", "Valid"), "Valid"))))</f>
        <v/>
      </c>
      <c r="DD8" s="22">
        <f t="array" ref="DD8">_xlfn.MAP('6 - TV Stands &amp; Enterta'!B8:B507, '6 - TV Stands &amp; Enterta'!DD8:DD507, '6 - TV Stands &amp; Enterta-WUO_ERR'!DD8:DD507, _xlfn.LAMBDA(_xlpm.part, _xlpm.val, _xlpm.error, IF(_xlpm.part = "", "", IF(LEN(_xlpm.error), _xlfn.SWITCH(IFERROR(_xlfn.TEXTBEFORE(_xlpm.error,":"), ""), "1", "Error", "2", "Disabled", "3", "Required", "4", "Warning", "Valid"), "Valid"))))</f>
        <v/>
      </c>
      <c r="DE8" s="22">
        <f t="array" ref="DE8">_xlfn.MAP('6 - TV Stands &amp; Enterta'!B8:B507, '6 - TV Stands &amp; Enterta'!DE8:DE507, '6 - TV Stands &amp; Enterta-WUO_ERR'!DE8:DE507, _xlfn.LAMBDA(_xlpm.part, _xlpm.val, _xlpm.error, IF(_xlpm.part = "", "", IF(LEN(_xlpm.error), _xlfn.SWITCH(IFERROR(_xlfn.TEXTBEFORE(_xlpm.error,":"), ""), "1", "Error", "2", "Disabled", "3", "Required", "4", "Warning", "Valid"), "Valid"))))</f>
        <v/>
      </c>
      <c r="DF8" s="22">
        <f t="array" ref="DF8">_xlfn.MAP('6 - TV Stands &amp; Enterta'!B8:B507, '6 - TV Stands &amp; Enterta'!DF8:DF507, '6 - TV Stands &amp; Enterta-WUO_ERR'!DF8:DF507, _xlfn.LAMBDA(_xlpm.part, _xlpm.val, _xlpm.error, IF(_xlpm.part = "", "", IF(LEN(_xlpm.error), _xlfn.SWITCH(IFERROR(_xlfn.TEXTBEFORE(_xlpm.error,":"), ""), "1", "Error", "2", "Disabled", "3", "Required", "4", "Warning", "Valid"), "Valid"))))</f>
        <v/>
      </c>
      <c r="DG8" s="22">
        <f t="array" ref="DG8">_xlfn.MAP('6 - TV Stands &amp; Enterta'!B8:B507, '6 - TV Stands &amp; Enterta'!DG8:DG507, '6 - TV Stands &amp; Enterta-WUO_ERR'!DG8:DG507, _xlfn.LAMBDA(_xlpm.part, _xlpm.val, _xlpm.error, IF(_xlpm.part = "", "", IF(LEN(_xlpm.error), _xlfn.SWITCH(IFERROR(_xlfn.TEXTBEFORE(_xlpm.error,":"), ""), "1", "Error", "2", "Disabled", "3", "Required", "4", "Warning", "Valid"), "Valid"))))</f>
        <v/>
      </c>
      <c r="DH8" s="22">
        <f t="array" ref="DH8">_xlfn.MAP('6 - TV Stands &amp; Enterta'!B8:B507, '6 - TV Stands &amp; Enterta'!DH8:DH507, '6 - TV Stands &amp; Enterta-WUO_ERR'!DH8:DH507, _xlfn.LAMBDA(_xlpm.part, _xlpm.val, _xlpm.error, IF(_xlpm.part = "", "", IF(LEN(_xlpm.error), _xlfn.SWITCH(IFERROR(_xlfn.TEXTBEFORE(_xlpm.error,":"), ""), "1", "Error", "2", "Disabled", "3", "Required", "4", "Warning", "Valid"), "Valid"))))</f>
        <v/>
      </c>
      <c r="DI8" s="22">
        <f t="array" ref="DI8">_xlfn.MAP('6 - TV Stands &amp; Enterta'!B8:B507, '6 - TV Stands &amp; Enterta'!DI8:DI507, '6 - TV Stands &amp; Enterta-WUO_ERR'!DI8:DI507, _xlfn.LAMBDA(_xlpm.part, _xlpm.val, _xlpm.error, IF(_xlpm.part = "", "", IF(LEN(_xlpm.error), _xlfn.SWITCH(IFERROR(_xlfn.TEXTBEFORE(_xlpm.error,":"), ""), "1", "Error", "2", "Disabled", "3", "Required", "4", "Warning", "Valid"), "Valid"))))</f>
        <v/>
      </c>
      <c r="DJ8" s="22">
        <f t="array" ref="DJ8">_xlfn.MAP('6 - TV Stands &amp; Enterta'!B8:B507, '6 - TV Stands &amp; Enterta'!DJ8:DJ507, '6 - TV Stands &amp; Enterta-WUO_ERR'!DJ8:DJ507, _xlfn.LAMBDA(_xlpm.part, _xlpm.val, _xlpm.error, IF(_xlpm.part = "", "", IF(LEN(_xlpm.error), _xlfn.SWITCH(IFERROR(_xlfn.TEXTBEFORE(_xlpm.error,":"), ""), "1", "Error", "2", "Disabled", "3", "Required", "4", "Warning", "Valid"), "Valid"))))</f>
        <v/>
      </c>
      <c r="DK8" s="22">
        <f t="array" ref="DK8">_xlfn.MAP('6 - TV Stands &amp; Enterta'!B8:B507, '6 - TV Stands &amp; Enterta'!DK8:DK507, '6 - TV Stands &amp; Enterta-WUO_ERR'!DK8:DK507, _xlfn.LAMBDA(_xlpm.part, _xlpm.val, _xlpm.error, IF(_xlpm.part = "", "", IF(LEN(_xlpm.error), _xlfn.SWITCH(IFERROR(_xlfn.TEXTBEFORE(_xlpm.error,":"), ""), "1", "Error", "2", "Disabled", "3", "Required", "4", "Warning", "Valid"), "Valid"))))</f>
        <v/>
      </c>
      <c r="DL8" s="22">
        <f t="array" ref="DL8">_xlfn.MAP('6 - TV Stands &amp; Enterta'!B8:B507, '6 - TV Stands &amp; Enterta'!DL8:DL507, '6 - TV Stands &amp; Enterta-WUO_ERR'!DL8:DL507, _xlfn.LAMBDA(_xlpm.part, _xlpm.val, _xlpm.error, IF(_xlpm.part = "", "", IF(LEN(_xlpm.error), _xlfn.SWITCH(IFERROR(_xlfn.TEXTBEFORE(_xlpm.error,":"), ""), "1", "Error", "2", "Disabled", "3", "Required", "4", "Warning", "Valid"), "Valid"))))</f>
        <v/>
      </c>
      <c r="DM8" s="22">
        <f t="array" ref="DM8">_xlfn.MAP('6 - TV Stands &amp; Enterta'!B8:B507, '6 - TV Stands &amp; Enterta'!DM8:DM507, '6 - TV Stands &amp; Enterta-WUO_ERR'!DM8:DM507, _xlfn.LAMBDA(_xlpm.part, _xlpm.val, _xlpm.error, IF(_xlpm.part = "", "", IF(LEN(_xlpm.error), _xlfn.SWITCH(IFERROR(_xlfn.TEXTBEFORE(_xlpm.error,":"), ""), "1", "Error", "2", "Disabled", "3", "Required", "4", "Warning", "Valid"), "Valid"))))</f>
        <v/>
      </c>
      <c r="DN8" s="22">
        <f t="array" ref="DN8">_xlfn.MAP('6 - TV Stands &amp; Enterta'!B8:B507, '6 - TV Stands &amp; Enterta'!DN8:DN507, '6 - TV Stands &amp; Enterta-WUO_ERR'!DN8:DN507, _xlfn.LAMBDA(_xlpm.part, _xlpm.val, _xlpm.error, IF(_xlpm.part = "", "", IF(LEN(_xlpm.error), _xlfn.SWITCH(IFERROR(_xlfn.TEXTBEFORE(_xlpm.error,":"), ""), "1", "Error", "2", "Disabled", "3", "Required", "4", "Warning", "Valid"), "Valid"))))</f>
        <v/>
      </c>
      <c r="DO8" s="22">
        <f t="array" ref="DO8">_xlfn.MAP('6 - TV Stands &amp; Enterta'!B8:B507, '6 - TV Stands &amp; Enterta'!DO8:DO507, '6 - TV Stands &amp; Enterta-WUO_ERR'!DO8:DO507, _xlfn.LAMBDA(_xlpm.part, _xlpm.val, _xlpm.error, IF(_xlpm.part = "", "", IF(LEN(_xlpm.error), _xlfn.SWITCH(IFERROR(_xlfn.TEXTBEFORE(_xlpm.error,":"), ""), "1", "Error", "2", "Disabled", "3", "Required", "4", "Warning", "Valid"), "Valid"))))</f>
        <v/>
      </c>
      <c r="DP8" s="22">
        <f t="array" ref="DP8">_xlfn.MAP('6 - TV Stands &amp; Enterta'!B8:B507, '6 - TV Stands &amp; Enterta'!DP8:DP507, '6 - TV Stands &amp; Enterta-WUO_ERR'!DP8:DP507, _xlfn.LAMBDA(_xlpm.part, _xlpm.val, _xlpm.error, IF(_xlpm.part = "", "", IF(LEN(_xlpm.error), _xlfn.SWITCH(IFERROR(_xlfn.TEXTBEFORE(_xlpm.error,":"), ""), "1", "Error", "2", "Disabled", "3", "Required", "4", "Warning", "Valid"), "Valid"))))</f>
        <v/>
      </c>
      <c r="DQ8" s="22">
        <f t="array" ref="DQ8">_xlfn.MAP('6 - TV Stands &amp; Enterta'!B8:B507, '6 - TV Stands &amp; Enterta'!DQ8:DQ507, '6 - TV Stands &amp; Enterta-WUO_ERR'!DQ8:DQ507, _xlfn.LAMBDA(_xlpm.part, _xlpm.val, _xlpm.error, IF(_xlpm.part = "", "", IF(LEN(_xlpm.error), _xlfn.SWITCH(IFERROR(_xlfn.TEXTBEFORE(_xlpm.error,":"), ""), "1", "Error", "2", "Disabled", "3", "Required", "4", "Warning", "Valid"), "Valid"))))</f>
        <v/>
      </c>
      <c r="DR8" s="22">
        <f t="array" ref="DR8">_xlfn.MAP('6 - TV Stands &amp; Enterta'!B8:B507, '6 - TV Stands &amp; Enterta'!DR8:DR507, '6 - TV Stands &amp; Enterta-WUO_ERR'!DR8:DR507, _xlfn.LAMBDA(_xlpm.part, _xlpm.val, _xlpm.error, IF(_xlpm.part = "", "", IF(LEN(_xlpm.error), _xlfn.SWITCH(IFERROR(_xlfn.TEXTBEFORE(_xlpm.error,":"), ""), "1", "Error", "2", "Disabled", "3", "Required", "4", "Warning", "Valid"), "Valid"))))</f>
        <v/>
      </c>
      <c r="DS8" s="22">
        <f t="array" ref="DS8">_xlfn.MAP('6 - TV Stands &amp; Enterta'!B8:B507, '6 - TV Stands &amp; Enterta'!DS8:DS507, '6 - TV Stands &amp; Enterta-WUO_ERR'!DS8:DS507, _xlfn.LAMBDA(_xlpm.part, _xlpm.val, _xlpm.error, IF(_xlpm.part = "", "", IF(LEN(_xlpm.error), _xlfn.SWITCH(IFERROR(_xlfn.TEXTBEFORE(_xlpm.error,":"), ""), "1", "Error", "2", "Disabled", "3", "Required", "4", "Warning", "Valid"), "Valid"))))</f>
        <v/>
      </c>
      <c r="DT8" s="22">
        <f t="array" ref="DT8">_xlfn.MAP('6 - TV Stands &amp; Enterta'!B8:B507, '6 - TV Stands &amp; Enterta'!DT8:DT507, '6 - TV Stands &amp; Enterta-WUO_ERR'!DT8:DT507, _xlfn.LAMBDA(_xlpm.part, _xlpm.val, _xlpm.error, IF(_xlpm.part = "", "", IF(LEN(_xlpm.error), _xlfn.SWITCH(IFERROR(_xlfn.TEXTBEFORE(_xlpm.error,":"), ""), "1", "Error", "2", "Disabled", "3", "Required", "4", "Warning", "Valid"), "Valid"))))</f>
        <v/>
      </c>
      <c r="DU8" s="22">
        <f t="array" ref="DU8">_xlfn.MAP('6 - TV Stands &amp; Enterta'!B8:B507, '6 - TV Stands &amp; Enterta'!DU8:DU507, '6 - TV Stands &amp; Enterta-WUO_ERR'!DU8:DU507, _xlfn.LAMBDA(_xlpm.part, _xlpm.val, _xlpm.error, IF(_xlpm.part = "", "", IF(LEN(_xlpm.error), _xlfn.SWITCH(IFERROR(_xlfn.TEXTBEFORE(_xlpm.error,":"), ""), "1", "Error", "2", "Disabled", "3", "Required", "4", "Warning", "Valid"), "Valid"))))</f>
        <v/>
      </c>
      <c r="DV8" s="22">
        <f t="array" ref="DV8">_xlfn.MAP('6 - TV Stands &amp; Enterta'!B8:B507, '6 - TV Stands &amp; Enterta'!DV8:DV507, '6 - TV Stands &amp; Enterta-WUO_ERR'!DV8:DV507, _xlfn.LAMBDA(_xlpm.part, _xlpm.val, _xlpm.error, IF(_xlpm.part = "", "", IF(LEN(_xlpm.error), _xlfn.SWITCH(IFERROR(_xlfn.TEXTBEFORE(_xlpm.error,":"), ""), "1", "Error", "2", "Disabled", "3", "Required", "4", "Warning", "Valid"), "Valid"))))</f>
        <v/>
      </c>
      <c r="DW8" s="22">
        <f t="array" ref="DW8">_xlfn.MAP('6 - TV Stands &amp; Enterta'!B8:B507, '6 - TV Stands &amp; Enterta'!DW8:DW507, '6 - TV Stands &amp; Enterta-WUO_ERR'!DW8:DW507, _xlfn.LAMBDA(_xlpm.part, _xlpm.val, _xlpm.error, IF(_xlpm.part = "", "", IF(LEN(_xlpm.error), _xlfn.SWITCH(IFERROR(_xlfn.TEXTBEFORE(_xlpm.error,":"), ""), "1", "Error", "2", "Disabled", "3", "Required", "4", "Warning", "Valid"), "Valid"))))</f>
        <v/>
      </c>
      <c r="DX8" s="22">
        <f t="array" ref="DX8">_xlfn.MAP('6 - TV Stands &amp; Enterta'!B8:B507, '6 - TV Stands &amp; Enterta'!DX8:DX507, '6 - TV Stands &amp; Enterta-WUO_ERR'!DX8:DX507, _xlfn.LAMBDA(_xlpm.part, _xlpm.val, _xlpm.error, IF(_xlpm.part = "", "", IF(LEN(_xlpm.error), _xlfn.SWITCH(IFERROR(_xlfn.TEXTBEFORE(_xlpm.error,":"), ""), "1", "Error", "2", "Disabled", "3", "Required", "4", "Warning", "Valid"), "Valid"))))</f>
        <v/>
      </c>
      <c r="DY8" s="22">
        <f t="array" ref="DY8">_xlfn.MAP('6 - TV Stands &amp; Enterta'!B8:B507, '6 - TV Stands &amp; Enterta'!DY8:DY507, '6 - TV Stands &amp; Enterta-WUO_ERR'!DY8:DY507, _xlfn.LAMBDA(_xlpm.part, _xlpm.val, _xlpm.error, IF(_xlpm.part = "", "", IF(LEN(_xlpm.error), _xlfn.SWITCH(IFERROR(_xlfn.TEXTBEFORE(_xlpm.error,":"), ""), "1", "Error", "2", "Disabled", "3", "Required", "4", "Warning", "Valid"), "Valid"))))</f>
        <v/>
      </c>
      <c r="DZ8" s="22">
        <f t="array" ref="DZ8">_xlfn.MAP('6 - TV Stands &amp; Enterta'!B8:B507, '6 - TV Stands &amp; Enterta'!DZ8:DZ507, '6 - TV Stands &amp; Enterta-WUO_ERR'!DZ8:DZ507, _xlfn.LAMBDA(_xlpm.part, _xlpm.val, _xlpm.error, IF(_xlpm.part = "", "", IF(LEN(_xlpm.error), _xlfn.SWITCH(IFERROR(_xlfn.TEXTBEFORE(_xlpm.error,":"), ""), "1", "Error", "2", "Disabled", "3", "Required", "4", "Warning", "Valid"), "Valid"))))</f>
        <v/>
      </c>
      <c r="EA8" s="22">
        <f t="array" ref="EA8">_xlfn.MAP('6 - TV Stands &amp; Enterta'!B8:B507, '6 - TV Stands &amp; Enterta'!EA8:EA507, '6 - TV Stands &amp; Enterta-WUO_ERR'!EA8:EA507, _xlfn.LAMBDA(_xlpm.part, _xlpm.val, _xlpm.error, IF(_xlpm.part = "", "", IF(LEN(_xlpm.error), _xlfn.SWITCH(IFERROR(_xlfn.TEXTBEFORE(_xlpm.error,":"), ""), "1", "Error", "2", "Disabled", "3", "Required", "4", "Warning", "Valid"), "Valid"))))</f>
        <v/>
      </c>
      <c r="EB8" s="22">
        <f t="array" ref="EB8">_xlfn.MAP('6 - TV Stands &amp; Enterta'!B8:B507, '6 - TV Stands &amp; Enterta'!EB8:EB507, '6 - TV Stands &amp; Enterta-WUO_ERR'!EB8:EB507, _xlfn.LAMBDA(_xlpm.part, _xlpm.val, _xlpm.error, IF(_xlpm.part = "", "", IF(LEN(_xlpm.error), _xlfn.SWITCH(IFERROR(_xlfn.TEXTBEFORE(_xlpm.error,":"), ""), "1", "Error", "2", "Disabled", "3", "Required", "4", "Warning", "Valid"), "Valid"))))</f>
        <v/>
      </c>
      <c r="EC8" s="22">
        <f t="array" ref="EC8">_xlfn.MAP('6 - TV Stands &amp; Enterta'!B8:B507, '6 - TV Stands &amp; Enterta'!EC8:EC507, '6 - TV Stands &amp; Enterta-WUO_ERR'!EC8:EC507, _xlfn.LAMBDA(_xlpm.part, _xlpm.val, _xlpm.error, IF(_xlpm.part = "", "", IF(LEN(_xlpm.error), _xlfn.SWITCH(IFERROR(_xlfn.TEXTBEFORE(_xlpm.error,":"), ""), "1", "Error", "2", "Disabled", "3", "Required", "4", "Warning", "Valid"), "Valid"))))</f>
        <v/>
      </c>
      <c r="ED8" s="22">
        <f t="array" ref="ED8">_xlfn.MAP('6 - TV Stands &amp; Enterta'!B8:B507, '6 - TV Stands &amp; Enterta'!ED8:ED507, '6 - TV Stands &amp; Enterta-WUO_ERR'!ED8:ED507, _xlfn.LAMBDA(_xlpm.part, _xlpm.val, _xlpm.error, IF(_xlpm.part = "", "", IF(LEN(_xlpm.error), _xlfn.SWITCH(IFERROR(_xlfn.TEXTBEFORE(_xlpm.error,":"), ""), "1", "Error", "2", "Disabled", "3", "Required", "4", "Warning", "Valid"), "Valid"))))</f>
        <v/>
      </c>
      <c r="EE8" s="22">
        <f t="array" ref="EE8">_xlfn.MAP('6 - TV Stands &amp; Enterta'!B8:B507, '6 - TV Stands &amp; Enterta'!EE8:EE507, '6 - TV Stands &amp; Enterta-WUO_ERR'!EE8:EE507, _xlfn.LAMBDA(_xlpm.part, _xlpm.val, _xlpm.error, IF(_xlpm.part = "", "", IF(LEN(_xlpm.error), _xlfn.SWITCH(IFERROR(_xlfn.TEXTBEFORE(_xlpm.error,":"), ""), "1", "Error", "2", "Disabled", "3", "Required", "4", "Warning", "Valid"), "Valid"))))</f>
        <v/>
      </c>
      <c r="EF8" s="22">
        <f t="array" ref="EF8">_xlfn.MAP('6 - TV Stands &amp; Enterta'!B8:B507, '6 - TV Stands &amp; Enterta'!EF8:EF507, '6 - TV Stands &amp; Enterta-WUO_ERR'!EF8:EF507, _xlfn.LAMBDA(_xlpm.part, _xlpm.val, _xlpm.error, IF(_xlpm.part = "", "", IF(LEN(_xlpm.error), _xlfn.SWITCH(IFERROR(_xlfn.TEXTBEFORE(_xlpm.error,":"), ""), "1", "Error", "2", "Disabled", "3", "Required", "4", "Warning", "Valid"), "Valid"))))</f>
        <v/>
      </c>
      <c r="EG8" s="22">
        <f t="array" ref="EG8">_xlfn.MAP('6 - TV Stands &amp; Enterta'!B8:B507, '6 - TV Stands &amp; Enterta'!EG8:EG507, '6 - TV Stands &amp; Enterta-WUO_ERR'!EG8:EG507, _xlfn.LAMBDA(_xlpm.part, _xlpm.val, _xlpm.error, IF(_xlpm.part = "", "", IF(LEN(_xlpm.error), _xlfn.SWITCH(IFERROR(_xlfn.TEXTBEFORE(_xlpm.error,":"), ""), "1", "Error", "2", "Disabled", "3", "Required", "4", "Warning", "Valid"), "Valid"))))</f>
        <v/>
      </c>
      <c r="EH8" s="22">
        <f t="array" ref="EH8">_xlfn.MAP('6 - TV Stands &amp; Enterta'!B8:B507, '6 - TV Stands &amp; Enterta'!EH8:EH507, '6 - TV Stands &amp; Enterta-WUO_ERR'!EH8:EH507, _xlfn.LAMBDA(_xlpm.part, _xlpm.val, _xlpm.error, IF(_xlpm.part = "", "", IF(LEN(_xlpm.error), _xlfn.SWITCH(IFERROR(_xlfn.TEXTBEFORE(_xlpm.error,":"), ""), "1", "Error", "2", "Disabled", "3", "Required", "4", "Warning", "Valid"), "Valid"))))</f>
        <v/>
      </c>
      <c r="EI8" s="22">
        <f t="array" ref="EI8">_xlfn.MAP('6 - TV Stands &amp; Enterta'!B8:B507, '6 - TV Stands &amp; Enterta'!EI8:EI507, '6 - TV Stands &amp; Enterta-WUO_ERR'!EI8:EI507, _xlfn.LAMBDA(_xlpm.part, _xlpm.val, _xlpm.error, IF(_xlpm.part = "", "", IF(LEN(_xlpm.error), _xlfn.SWITCH(IFERROR(_xlfn.TEXTBEFORE(_xlpm.error,":"), ""), "1", "Error", "2", "Disabled", "3", "Required", "4", "Warning", "Valid"), "Valid"))))</f>
        <v/>
      </c>
      <c r="EJ8" s="22">
        <f t="array" ref="EJ8">_xlfn.MAP('6 - TV Stands &amp; Enterta'!B8:B507, '6 - TV Stands &amp; Enterta'!EJ8:EJ507, '6 - TV Stands &amp; Enterta-WUO_ERR'!EJ8:EJ507, _xlfn.LAMBDA(_xlpm.part, _xlpm.val, _xlpm.error, IF(_xlpm.part = "", "", IF(LEN(_xlpm.error), _xlfn.SWITCH(IFERROR(_xlfn.TEXTBEFORE(_xlpm.error,":"), ""), "1", "Error", "2", "Disabled", "3", "Required", "4", "Warning", "Valid"), "Valid"))))</f>
        <v/>
      </c>
      <c r="EK8" s="22">
        <f t="array" ref="EK8">_xlfn.MAP('6 - TV Stands &amp; Enterta'!B8:B507, '6 - TV Stands &amp; Enterta'!EK8:EK507, '6 - TV Stands &amp; Enterta-WUO_ERR'!EK8:EK507, _xlfn.LAMBDA(_xlpm.part, _xlpm.val, _xlpm.error, IF(_xlpm.part = "", "", IF(LEN(_xlpm.error), _xlfn.SWITCH(IFERROR(_xlfn.TEXTBEFORE(_xlpm.error,":"), ""), "1", "Error", "2", "Disabled", "3", "Required", "4", "Warning", "Valid"), "Valid"))))</f>
        <v/>
      </c>
      <c r="EL8" s="22">
        <f t="array" ref="EL8">_xlfn.MAP('6 - TV Stands &amp; Enterta'!B8:B507, '6 - TV Stands &amp; Enterta'!EL8:EL507, '6 - TV Stands &amp; Enterta-WUO_ERR'!EL8:EL507, _xlfn.LAMBDA(_xlpm.part, _xlpm.val, _xlpm.error, IF(_xlpm.part = "", "", IF(LEN(_xlpm.error), _xlfn.SWITCH(IFERROR(_xlfn.TEXTBEFORE(_xlpm.error,":"), ""), "1", "Error", "2", "Disabled", "3", "Required", "4", "Warning", "Valid"), "Valid"))))</f>
        <v/>
      </c>
      <c r="EM8" s="22">
        <f t="array" ref="EM8">_xlfn.MAP('6 - TV Stands &amp; Enterta'!B8:B507, '6 - TV Stands &amp; Enterta'!EM8:EM507, '6 - TV Stands &amp; Enterta-WUO_ERR'!EM8:EM507, _xlfn.LAMBDA(_xlpm.part, _xlpm.val, _xlpm.error, IF(_xlpm.part = "", "", IF(LEN(_xlpm.error), _xlfn.SWITCH(IFERROR(_xlfn.TEXTBEFORE(_xlpm.error,":"), ""), "1", "Error", "2", "Disabled", "3", "Required", "4", "Warning", "Valid"), "Valid"))))</f>
        <v/>
      </c>
      <c r="EN8" s="22">
        <f t="array" ref="EN8">_xlfn.MAP('6 - TV Stands &amp; Enterta'!B8:B507, '6 - TV Stands &amp; Enterta'!EN8:EN507, '6 - TV Stands &amp; Enterta-WUO_ERR'!EN8:EN507, _xlfn.LAMBDA(_xlpm.part, _xlpm.val, _xlpm.error, IF(_xlpm.part = "", "", IF(LEN(_xlpm.error), _xlfn.SWITCH(IFERROR(_xlfn.TEXTBEFORE(_xlpm.error,":"), ""), "1", "Error", "2", "Disabled", "3", "Required", "4", "Warning", "Valid"), "Valid"))))</f>
        <v/>
      </c>
      <c r="EO8" s="22">
        <f t="array" ref="EO8">_xlfn.MAP('6 - TV Stands &amp; Enterta'!B8:B507, '6 - TV Stands &amp; Enterta'!EO8:EO507, '6 - TV Stands &amp; Enterta-WUO_ERR'!EO8:EO507, _xlfn.LAMBDA(_xlpm.part, _xlpm.val, _xlpm.error, IF(_xlpm.part = "", "", IF(LEN(_xlpm.error), _xlfn.SWITCH(IFERROR(_xlfn.TEXTBEFORE(_xlpm.error,":"), ""), "1", "Error", "2", "Disabled", "3", "Required", "4", "Warning", "Valid"), "Valid"))))</f>
        <v/>
      </c>
      <c r="EP8" s="22">
        <f t="array" ref="EP8">_xlfn.MAP('6 - TV Stands &amp; Enterta'!B8:B507, '6 - TV Stands &amp; Enterta'!EP8:EP507, '6 - TV Stands &amp; Enterta-WUO_ERR'!EP8:EP507, _xlfn.LAMBDA(_xlpm.part, _xlpm.val, _xlpm.error, IF(_xlpm.part = "", "", IF(LEN(_xlpm.error), _xlfn.SWITCH(IFERROR(_xlfn.TEXTBEFORE(_xlpm.error,":"), ""), "1", "Error", "2", "Disabled", "3", "Required", "4", "Warning", "Valid"), "Valid"))))</f>
        <v/>
      </c>
      <c r="EQ8" s="22">
        <f t="array" ref="EQ8">_xlfn.MAP('6 - TV Stands &amp; Enterta'!B8:B507, '6 - TV Stands &amp; Enterta'!EQ8:EQ507, '6 - TV Stands &amp; Enterta-WUO_ERR'!EQ8:EQ507, _xlfn.LAMBDA(_xlpm.part, _xlpm.val, _xlpm.error, IF(_xlpm.part = "", "", IF(LEN(_xlpm.error), _xlfn.SWITCH(IFERROR(_xlfn.TEXTBEFORE(_xlpm.error,":"), ""), "1", "Error", "2", "Disabled", "3", "Required", "4", "Warning", "Valid"), "Valid"))))</f>
        <v/>
      </c>
      <c r="ER8" s="22">
        <f t="array" ref="ER8">_xlfn.MAP('6 - TV Stands &amp; Enterta'!B8:B507, '6 - TV Stands &amp; Enterta'!ER8:ER507, '6 - TV Stands &amp; Enterta-WUO_ERR'!ER8:ER507, _xlfn.LAMBDA(_xlpm.part, _xlpm.val, _xlpm.error, IF(_xlpm.part = "", "", IF(LEN(_xlpm.error), _xlfn.SWITCH(IFERROR(_xlfn.TEXTBEFORE(_xlpm.error,":"), ""), "1", "Error", "2", "Disabled", "3", "Required", "4", "Warning", "Valid"), "Valid"))))</f>
        <v/>
      </c>
      <c r="ES8" s="22">
        <f t="array" ref="ES8">_xlfn.MAP('6 - TV Stands &amp; Enterta'!B8:B507, '6 - TV Stands &amp; Enterta'!ES8:ES507, '6 - TV Stands &amp; Enterta-WUO_ERR'!ES8:ES507, _xlfn.LAMBDA(_xlpm.part, _xlpm.val, _xlpm.error, IF(_xlpm.part = "", "", IF(LEN(_xlpm.error), _xlfn.SWITCH(IFERROR(_xlfn.TEXTBEFORE(_xlpm.error,":"), ""), "1", "Error", "2", "Disabled", "3", "Required", "4", "Warning", "Valid"), "Valid"))))</f>
        <v/>
      </c>
      <c r="ET8" s="22">
        <f t="array" ref="ET8">_xlfn.MAP('6 - TV Stands &amp; Enterta'!B8:B507, '6 - TV Stands &amp; Enterta'!ET8:ET507, '6 - TV Stands &amp; Enterta-WUO_ERR'!ET8:ET507, _xlfn.LAMBDA(_xlpm.part, _xlpm.val, _xlpm.error, IF(_xlpm.part = "", "", IF(LEN(_xlpm.error), _xlfn.SWITCH(IFERROR(_xlfn.TEXTBEFORE(_xlpm.error,":"), ""), "1", "Error", "2", "Disabled", "3", "Required", "4", "Warning", "Valid"), "Valid"))))</f>
        <v/>
      </c>
    </row>
  </sheetData>
  <sheetProtection selectLockedCells="0" selectUnlockedCells="0" sheet="1" objects="1" insertRows="1" insertHyperlinks="1" autoFilter="1" scenarios="1" formatColumns="1" deleteColumns="1" insertColumns="1" pivotTables="1" deleteRows="1" formatCells="1" formatRows="1" sort="1" password="DD41"/>
  <mergeCells count="8">
    <mergeCell ref="M2:R2"/>
    <mergeCell ref="J2:L2"/>
    <mergeCell ref="S2:AC2"/>
    <mergeCell ref="B2:I2"/>
    <mergeCell ref="AH2:AK2"/>
    <mergeCell ref="BG2:ET2"/>
    <mergeCell ref="AL2:BF2"/>
    <mergeCell ref="AD2:AG2"/>
  </mergeCells>
  <dataValidations count="153">
    <dataValidation sqref="D7" showDropDown="0" showInputMessage="1" showErrorMessage="1" allowBlank="1" errorTitle="Invalid Brand" error="The value provided is not a valid Brand." promptTitle="" prompt="If all products in this class consistently have the same answer, you can set a default value to apply automatically. For any exceptions, you can modify the answer for specific products without changing the default." type="list">
      <formula1>'WAYFAIR_USE_ONLY'!$BK$7:$BK7</formula1>
    </dataValidation>
    <dataValidation sqref="H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K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L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M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N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O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P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Q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R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S7" showDropDown="0" showInputMessage="1" showErrorMessage="1" allowBlank="0" errorTitle="Invalid Whole Number" error="The value provided is not a valid Whole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T7" showDropDown="0" showInputMessage="1" showErrorMessage="1" allowBlank="0" errorTitle="Invalid Whole Number" error="The value provided is not a valid Whole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U7" showDropDown="0" showInputMessage="1" showErrorMessage="1" allowBlank="0" errorTitle="Invalid Whole Number" error="The value provided is not a valid Whole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V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W7" showDropDown="0" showInputMessage="1" showErrorMessage="1" allowBlank="1" errorTitle="Invalid Ship Type" error="The value provided is not a valid Ship Type." promptTitle="" prompt="If all products in this class consistently have the same answer, you can set a default value to apply automatically. For any exceptions, you can modify the answer for specific products without changing the default." type="list">
      <formula1>'WAYFAIR_USE_ONLY'!$BQ$7:$BQ9</formula1>
    </dataValidation>
    <dataValidation sqref="X7" showDropDown="0" showInputMessage="1" showErrorMessage="1" allowBlank="1" errorTitle="Invalid Freight Class" error="The value provided is not a valid Freight Class." promptTitle="" prompt="If all products in this class consistently have the same answer, you can set a default value to apply automatically. For any exceptions, you can modify the answer for specific products without changing the default." type="list">
      <formula1>'WAYFAIR_USE_ONLY'!$BR$7:$BR25</formula1>
    </dataValidation>
    <dataValidation sqref="Y7" showDropDown="0" showInputMessage="1" showErrorMessage="1" allowBlank="1" errorTitle="Invalid Lead Time" error="The value provided is not a valid Lead Time." promptTitle="" prompt="If all products in this class consistently have the same answer, you can set a default value to apply automatically. For any exceptions, you can modify the answer for specific products without changing the default." type="list">
      <formula1>'WAYFAIR_USE_ONLY'!$BS$7:$BS24</formula1>
    </dataValidation>
    <dataValidation sqref="Z7" showDropDown="0" showInputMessage="1" showErrorMessage="1" allowBlank="1" errorTitle="Invalid Replacement Lead Time" error="The value provided is not a valid Replacement Lead Time." promptTitle="" prompt="If all products in this class consistently have the same answer, you can set a default value to apply automatically. For any exceptions, you can modify the answer for specific products without changing the default." type="list">
      <formula1>'WAYFAIR_USE_ONLY'!$BT$7:$BT13</formula1>
    </dataValidation>
    <dataValidation sqref="AA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B7" showDropDown="0" showInputMessage="1" showErrorMessage="1" allowBlank="1" errorTitle="Invalid Flat Pack" error="The value provided is not a valid Flat Pack." promptTitle="" prompt="If all products in this class consistently have the same answer, you can set a default value to apply automatically. For any exceptions, you can modify the answer for specific products without changing the default." type="list">
      <formula1>'WAYFAIR_USE_ONLY'!$BU$7:$BU9</formula1>
    </dataValidation>
    <dataValidation sqref="AC7" showDropDown="0" showInputMessage="1" showErrorMessage="1" allowBlank="1" errorTitle="Invalid Ship Palletized" error="The value provided is not a valid Ship Palletized." promptTitle="" prompt="If all products in this class consistently have the same answer, you can set a default value to apply automatically. For any exceptions, you can modify the answer for specific products without changing the default." type="list">
      <formula1>'WAYFAIR_USE_ONLY'!$BV$7:$BV9</formula1>
    </dataValidation>
    <dataValidation sqref="AD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E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F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G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H7" showDropDown="0" showInputMessage="1" showErrorMessage="1" allowBlank="1" errorTitle="Invalid Warning Required" error="The value provided is not a valid Warning Required." promptTitle="" prompt="If all products in this class consistently have the same answer, you can set a default value to apply automatically. For any exceptions, you can modify the answer for specific products without changing the default." type="list">
      <formula1>'WAYFAIR_USE_ONLY'!$BN$7:$BN9</formula1>
    </dataValidation>
    <dataValidation sqref="AI7" showDropDown="0" showInputMessage="1" showErrorMessage="1" allowBlank="1" errorTitle="Invalid Chemical" error="The value provided is not a valid Chemical." promptTitle="" prompt="If all products in this class consistently have the same answer, you can set a default value to apply automatically. For any exceptions, you can modify the answer for specific products without changing the default." type="list">
      <formula1>'WAYFAIR_USE_ONLY'!$BO$7:$BO908</formula1>
    </dataValidation>
    <dataValidation sqref="AJ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AK7" showDropDown="0" showInputMessage="1" showErrorMessage="1" allowBlank="1" errorTitle="Invalid Country Of Manufacturer" error="The value provided is not a valid Country Of Manufacturer." promptTitle="" prompt="If all products in this class consistently have the same answer, you can set a default value to apply automatically. For any exceptions, you can modify the answer for specific products without changing the default." type="list">
      <formula1>'WAYFAIR_USE_ONLY'!$BP$7:$BP254</formula1>
    </dataValidation>
    <dataValidation sqref="AR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S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AT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AU7" showDropDown="0" showInputMessage="1" showErrorMessage="1" allowBlank="1" errorTitle="Invalid Document Region" error="The value provided is not a valid Document Region." promptTitle="" prompt="If all products in this class consistently have the same answer, you can set a default value to apply automatically. For any exceptions, you can modify the answer for specific products without changing the default." type="list">
      <formula1>'WAYFAIR_USE_ONLY'!$BL$7:$BL11</formula1>
    </dataValidation>
    <dataValidation sqref="AV7" showDropDown="0" showInputMessage="1" showErrorMessage="1" allowBlank="1" errorTitle="Invalid Document Language" error="The value provided is not a valid Document Language." promptTitle="" prompt="If all products in this class consistently have the same answer, you can set a default value to apply automatically. For any exceptions, you can modify the answer for specific products without changing the default." type="list">
      <formula1>'WAYFAIR_USE_ONLY'!$BM$7:$BM36</formula1>
    </dataValidation>
    <dataValidation sqref="AW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X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AY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AZ7" showDropDown="0" showInputMessage="1" showErrorMessage="1" allowBlank="1" errorTitle="Invalid Document Region" error="The value provided is not a valid Document Region." promptTitle="" prompt="If all products in this class consistently have the same answer, you can set a default value to apply automatically. For any exceptions, you can modify the answer for specific products without changing the default." type="list">
      <formula1>'WAYFAIR_USE_ONLY'!$BL$7:$BL11</formula1>
    </dataValidation>
    <dataValidation sqref="BA7" showDropDown="0" showInputMessage="1" showErrorMessage="1" allowBlank="1" errorTitle="Invalid Document Language" error="The value provided is not a valid Document Language." promptTitle="" prompt="If all products in this class consistently have the same answer, you can set a default value to apply automatically. For any exceptions, you can modify the answer for specific products without changing the default." type="list">
      <formula1>'WAYFAIR_USE_ONLY'!$BM$7:$BM36</formula1>
    </dataValidation>
    <dataValidation sqref="BB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BC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D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E7" showDropDown="0" showInputMessage="1" showErrorMessage="1" allowBlank="1" errorTitle="Invalid Document Region" error="The value provided is not a valid Document Region." promptTitle="" prompt="If all products in this class consistently have the same answer, you can set a default value to apply automatically. For any exceptions, you can modify the answer for specific products without changing the default." type="list">
      <formula1>'WAYFAIR_USE_ONLY'!$BL$7:$BL11</formula1>
    </dataValidation>
    <dataValidation sqref="BF7" showDropDown="0" showInputMessage="1" showErrorMessage="1" allowBlank="1" errorTitle="Invalid Document Language" error="The value provided is not a valid Document Language." promptTitle="" prompt="If all products in this class consistently have the same answer, you can set a default value to apply automatically. For any exceptions, you can modify the answer for specific products without changing the default." type="list">
      <formula1>'WAYFAIR_USE_ONLY'!$BM$7:$BM36</formula1>
    </dataValidation>
    <dataValidation sqref="BG7" showDropDown="0" showInputMessage="1" showErrorMessage="1" allowBlank="1" errorTitle="Invalid Product Type" error="The value provided is not a valid Product Type. Would you like to provide a custom answer?" promptTitle="" prompt="If all products in this class consistently have the same answer, you can set a default value to apply automatically. For any exceptions, you can modify the answer for specific products without changing the default." type="list" errorStyle="warning">
      <formula1>'WAYFAIR_USE_ONLY'!$B$7:$B9</formula1>
    </dataValidation>
    <dataValidation sqref="BH7" showDropDown="0" showInputMessage="1" showErrorMessage="1" allowBlank="1" errorTitle="Invalid Pier / Bookcase Included" error="The value provided is not a valid Pier / Bookcase Included." promptTitle="" prompt="If all products in this class consistently have the same answer, you can set a default value to apply automatically. For any exceptions, you can modify the answer for specific products without changing the default." type="list">
      <formula1>'WAYFAIR_USE_ONLY'!$C$7:$C10</formula1>
    </dataValidation>
    <dataValidation sqref="BI7" showDropDown="0" showInputMessage="1" showErrorMessage="1" allowBlank="1" errorTitle="Invalid Drawers Included" error="The value provided is not a valid Drawers Included." promptTitle="" prompt="If all products in this class consistently have the same answer, you can set a default value to apply automatically. For any exceptions, you can modify the answer for specific products without changing the default." type="list">
      <formula1>'WAYFAIR_USE_ONLY'!$D$7:$D9</formula1>
    </dataValidation>
    <dataValidation sqref="BJ7" showDropDown="0" showInputMessage="1" showErrorMessage="1" allowBlank="0" errorTitle="Invalid Whole Number" error="The value provided is not a valid Whole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BK7" showDropDown="0" showInputMessage="1" showErrorMessage="1" allowBlank="1" errorTitle="Invalid Cabinets Included" error="The value provided is not a valid Cabinets Included." promptTitle="" prompt="If all products in this class consistently have the same answer, you can set a default value to apply automatically. For any exceptions, you can modify the answer for specific products without changing the default." type="list">
      <formula1>'WAYFAIR_USE_ONLY'!$E$7:$E9</formula1>
    </dataValidation>
    <dataValidation sqref="BL7" showDropDown="0" showInputMessage="1" showErrorMessage="1" allowBlank="1" errorTitle="Invalid Shelves Included" error="The value provided is not a valid Shelves Included." promptTitle="" prompt="If all products in this class consistently have the same answer, you can set a default value to apply automatically. For any exceptions, you can modify the answer for specific products without changing the default." type="list">
      <formula1>'WAYFAIR_USE_ONLY'!$F$7:$F10</formula1>
    </dataValidation>
    <dataValidation sqref="BM7" showDropDown="0" showInputMessage="1" showErrorMessage="1" allowBlank="1" errorTitle="Invalid Exterior Shelves Include" error="The value provided is not a valid Exterior Shelves Included." promptTitle="" prompt="If all products in this class consistently have the same answer, you can set a default value to apply automatically. For any exceptions, you can modify the answer for specific products without changing the default." type="list">
      <formula1>'WAYFAIR_USE_ONLY'!$G$7:$G9</formula1>
    </dataValidation>
    <dataValidation sqref="BN7" showDropDown="0" showInputMessage="1" showErrorMessage="1" allowBlank="1" errorTitle="Invalid Interior Shelves Include" error="The value provided is not a valid Interior Shelves Included." promptTitle="" prompt="If all products in this class consistently have the same answer, you can set a default value to apply automatically. For any exceptions, you can modify the answer for specific products without changing the default." type="list">
      <formula1>'WAYFAIR_USE_ONLY'!$H$7:$H10</formula1>
    </dataValidation>
    <dataValidation sqref="BO7" showDropDown="0" showInputMessage="1" showErrorMessage="1" allowBlank="1" errorTitle="Invalid Bridge Included" error="The value provided is not a valid Bridge Included." promptTitle="" prompt="If all products in this class consistently have the same answer, you can set a default value to apply automatically. For any exceptions, you can modify the answer for specific products without changing the default." type="list">
      <formula1>'WAYFAIR_USE_ONLY'!$I$7:$I10</formula1>
    </dataValidation>
    <dataValidation sqref="BP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Q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R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S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T7" showDropDown="0" showInputMessage="1" showErrorMessage="1" allowBlank="1" errorTitle="Invalid Gloss Finish" error="The value provided is not a valid Gloss Finish." promptTitle="" prompt="If all products in this class consistently have the same answer, you can set a default value to apply automatically. For any exceptions, you can modify the answer for specific products without changing the default." type="list">
      <formula1>'WAYFAIR_USE_ONLY'!$J$7:$J10</formula1>
    </dataValidation>
    <dataValidation sqref="BU7" showDropDown="0" showInputMessage="1" showErrorMessage="1" allowBlank="1" errorTitle="Invalid Mirrored" error="The value provided is not a valid Mirrored." promptTitle="" prompt="If all products in this class consistently have the same answer, you can set a default value to apply automatically. For any exceptions, you can modify the answer for specific products without changing the default." type="list">
      <formula1>'WAYFAIR_USE_ONLY'!$K$7:$K10</formula1>
    </dataValidation>
    <dataValidation sqref="BV7" showDropDown="0" showInputMessage="1" showErrorMessage="1" allowBlank="1" errorTitle="Invalid Sound Bar Shelf Included" error="The value provided is not a valid Sound Bar Shelf Included." promptTitle="" prompt="If all products in this class consistently have the same answer, you can set a default value to apply automatically. For any exceptions, you can modify the answer for specific products without changing the default." type="list">
      <formula1>'WAYFAIR_USE_ONLY'!$L$7:$L10</formula1>
    </dataValidation>
    <dataValidation sqref="BW7" showDropDown="0" showInputMessage="1" showErrorMessage="1" allowBlank="1" errorTitle="Invalid Adjustable Shelves" error="The value provided is not a valid Adjustable Shelves." promptTitle="" prompt="If all products in this class consistently have the same answer, you can set a default value to apply automatically. For any exceptions, you can modify the answer for specific products without changing the default." type="list">
      <formula1>'WAYFAIR_USE_ONLY'!$M$7:$M10</formula1>
    </dataValidation>
    <dataValidation sqref="BX7" showDropDown="0" showInputMessage="1" showErrorMessage="1" allowBlank="1" errorTitle="Invalid Media Storage Included" error="The value provided is not a valid Media Storage Included." promptTitle="" prompt="If all products in this class consistently have the same answer, you can set a default value to apply automatically. For any exceptions, you can modify the answer for specific products without changing the default." type="list">
      <formula1>'WAYFAIR_USE_ONLY'!$N$7:$N10</formula1>
    </dataValidation>
    <dataValidation sqref="BY7" showDropDown="0" showInputMessage="1" showErrorMessage="1" allowBlank="1" errorTitle="Invalid Cable Management" error="The value provided is not a valid Cable Management." promptTitle="" prompt="If all products in this class consistently have the same answer, you can set a default value to apply automatically. For any exceptions, you can modify the answer for specific products without changing the default." type="list">
      <formula1>'WAYFAIR_USE_ONLY'!$O$7:$O10</formula1>
    </dataValidation>
    <dataValidation sqref="BZ7" showDropDown="0" showInputMessage="1" showErrorMessage="1" allowBlank="1" errorTitle="Invalid Wheels / Casters Include" error="The value provided is not a valid Wheels / Casters Included." promptTitle="" prompt="If all products in this class consistently have the same answer, you can set a default value to apply automatically. For any exceptions, you can modify the answer for specific products without changing the default." type="list">
      <formula1>'WAYFAIR_USE_ONLY'!$P$7:$P9</formula1>
    </dataValidation>
    <dataValidation sqref="CA7" showDropDown="0" showInputMessage="1" showErrorMessage="1" allowBlank="1" errorTitle="Invalid Fireplace Included" error="The value provided is not a valid Fireplace Included." promptTitle="" prompt="If all products in this class consistently have the same answer, you can set a default value to apply automatically. For any exceptions, you can modify the answer for specific products without changing the default." type="list">
      <formula1>'WAYFAIR_USE_ONLY'!$Q$7:$Q9</formula1>
    </dataValidation>
    <dataValidation sqref="CB7" showDropDown="0" showInputMessage="1" showErrorMessage="1" allowBlank="1" errorTitle="Invalid Plug-In" error="The value provided is not a valid Plug-In." promptTitle="" prompt="If all products in this class consistently have the same answer, you can set a default value to apply automatically. For any exceptions, you can modify the answer for specific products without changing the default." type="list">
      <formula1>'WAYFAIR_USE_ONLY'!$R$7:$R9</formula1>
    </dataValidation>
    <dataValidation sqref="CC7" showDropDown="0" showInputMessage="1" showErrorMessage="1" allowBlank="1" errorTitle="Invalid Tipover Restraint Device" error="The value provided is not a valid Tipover Restraint Device Included." promptTitle="" prompt="If all products in this class consistently have the same answer, you can set a default value to apply automatically. For any exceptions, you can modify the answer for specific products without changing the default." type="list">
      <formula1>'WAYFAIR_USE_ONLY'!$S$7:$S9</formula1>
    </dataValidation>
    <dataValidation sqref="CD7" showDropDown="0" showInputMessage="1" showErrorMessage="1" allowBlank="1" errorTitle="Invalid Integrated TV Mount Incl" error="The value provided is not a valid Integrated TV Mount Included." promptTitle="" prompt="If all products in this class consistently have the same answer, you can set a default value to apply automatically. For any exceptions, you can modify the answer for specific products without changing the default." type="list">
      <formula1>'WAYFAIR_USE_ONLY'!$T$7:$T10</formula1>
    </dataValidation>
    <dataValidation sqref="CE7" showDropDown="0" showInputMessage="1" showErrorMessage="1" allowBlank="1" errorTitle="Invalid Adjustable Height" error="The value provided is not a valid Adjustable Height." promptTitle="" prompt="If all products in this class consistently have the same answer, you can set a default value to apply automatically. For any exceptions, you can modify the answer for specific products without changing the default." type="list">
      <formula1>'WAYFAIR_USE_ONLY'!$U$7:$U10</formula1>
    </dataValidation>
    <dataValidation sqref="CF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G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H7" showDropDown="0" showInputMessage="1" showErrorMessage="1" allowBlank="1" errorTitle="Invalid Main Wood Joinery Method" error="The value provided is not a valid Main Wood Joinery Method. Would you like to provide a custom answer?" promptTitle="" prompt="If all products in this class consistently have the same answer, you can set a default value to apply automatically. For any exceptions, you can modify the answer for specific products without changing the default." type="list" errorStyle="warning">
      <formula1>'WAYFAIR_USE_ONLY'!$V$7:$V26</formula1>
    </dataValidation>
    <dataValidation sqref="CI7" showDropDown="0" showInputMessage="1" showErrorMessage="1" allowBlank="1" errorTitle="Invalid Kiln-Dried Wood" error="The value provided is not a valid Kiln-Dried Wood." promptTitle="" prompt="If all products in this class consistently have the same answer, you can set a default value to apply automatically. For any exceptions, you can modify the answer for specific products without changing the default." type="list">
      <formula1>'WAYFAIR_USE_ONLY'!$W$7:$W11</formula1>
    </dataValidation>
    <dataValidation sqref="CJ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K7" showDropDown="0" showInputMessage="1" showErrorMessage="1" allowBlank="1" errorTitle="Invalid Battery or Batteries Inc" error="The value provided is not a valid Battery or Batteries Included." promptTitle="" prompt="If all products in this class consistently have the same answer, you can set a default value to apply automatically. For any exceptions, you can modify the answer for specific products without changing the default." type="list">
      <formula1>'WAYFAIR_USE_ONLY'!$AE$7:$AE10</formula1>
    </dataValidation>
    <dataValidation sqref="CL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CL7" showDropDown="0" showInputMessage="1" showErrorMessage="1" allowBlank="1" errorTitle="Invalid Battery Composition" error="The value provided is not a valid Battery Composition." promptTitle="" prompt="If all products in this class consistently have the same answer, you can set a default value to apply automatically. For any exceptions, you can modify the answer for specific products without changing the default." type="list">
      <formula1>'WAYFAIR_USE_ONLY'!$X$7:$X17</formula1>
    </dataValidation>
    <dataValidation sqref="CM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CM7" showDropDown="0" showInputMessage="1" showErrorMessage="1" allowBlank="1" errorTitle="Invalid Battery Type" error="The value provided is not a valid Battery Type." promptTitle="" prompt="If all products in this class consistently have the same answer, you can set a default value to apply automatically. For any exceptions, you can modify the answer for specific products without changing the default." type="list">
      <formula1>'WAYFAIR_USE_ONLY'!$Y$7:$Y11</formula1>
    </dataValidation>
    <dataValidation sqref="CN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CN7" showDropDown="0" showInputMessage="1" showErrorMessage="1" allowBlank="1" errorTitle="Invalid Number of Batteries" error="The value provided is not a valid Number of Batteries. Would you like to provide a custom answer?" promptTitle="" prompt="If all products in this class consistently have the same answer, you can set a default value to apply automatically. For any exceptions, you can modify the answer for specific products without changing the default." type="list" errorStyle="warning">
      <formula1>'WAYFAIR_USE_ONLY'!$Z$7:$Z19</formula1>
    </dataValidation>
    <dataValidation sqref="CO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CO7" showDropDown="0" showInputMessage="1" showErrorMessage="1" allowBlank="1" errorTitle="Invalid Battery Shipment" error="The value provided is not a valid Battery Shipment." promptTitle="" prompt="If all products in this class consistently have the same answer, you can set a default value to apply automatically. For any exceptions, you can modify the answer for specific products without changing the default." type="list">
      <formula1>'WAYFAIR_USE_ONLY'!$AA$7:$AA11</formula1>
    </dataValidation>
    <dataValidation sqref="CP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CP7" showDropDown="0" showInputMessage="1" showErrorMessage="1" allowBlank="1" errorTitle="Invalid Lithium Content" error="The value provided is not a valid Lithium Content." promptTitle="" prompt="If all products in this class consistently have the same answer, you can set a default value to apply automatically. For any exceptions, you can modify the answer for specific products without changing the default." type="list">
      <formula1>'WAYFAIR_USE_ONLY'!$AB$7:$AB14</formula1>
    </dataValidation>
    <dataValidation sqref="CQ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CQ7" showDropDown="0" showInputMessage="1" showErrorMessage="1" allowBlank="1" errorTitle="Invalid Watt Rating of Cells / B" error="The value provided is not a valid Watt Rating of Cells / Battery." promptTitle="" prompt="If all products in this class consistently have the same answer, you can set a default value to apply automatically. For any exceptions, you can modify the answer for specific products without changing the default." type="list">
      <formula1>'WAYFAIR_USE_ONLY'!$AC$7:$AC14</formula1>
    </dataValidation>
    <dataValidation sqref="CR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CR7" showDropDown="0" showInputMessage="1" showErrorMessage="1" allowBlank="1" errorTitle="Invalid Weight of Cells / Batter" error="The value provided is not a valid Weight of Cells / Battery." promptTitle="" prompt="If all products in this class consistently have the same answer, you can set a default value to apply automatically. For any exceptions, you can modify the answer for specific products without changing the default." type="list">
      <formula1>'WAYFAIR_USE_ONLY'!$AD$7:$AD12</formula1>
    </dataValidation>
    <dataValidation sqref="CS7" showDropDown="0" showInputMessage="1" showErrorMessage="1" allowBlank="1" errorTitle="Invalid Adjustable Temperature" error="The value provided is not a valid Adjustable Temperature." promptTitle="" prompt="If all products in this class consistently have the same answer, you can set a default value to apply automatically. For any exceptions, you can modify the answer for specific products without changing the default." type="list">
      <formula1>'WAYFAIR_USE_ONLY'!$AF$7:$AF11</formula1>
    </dataValidation>
    <dataValidation sqref="CT7" showDropDown="0" showInputMessage="1" showErrorMessage="1" allowBlank="1" errorTitle="Invalid Adjustable Flame" error="The value provided is not a valid Adjustable Flame." promptTitle="" prompt="If all products in this class consistently have the same answer, you can set a default value to apply automatically. For any exceptions, you can modify the answer for specific products without changing the default." type="list">
      <formula1>'WAYFAIR_USE_ONLY'!$AG$7:$AG10</formula1>
    </dataValidation>
    <dataValidation sqref="CU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CV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W7" showDropDown="0" showInputMessage="1" showErrorMessage="1" allowBlank="1" errorTitle="Invalid Unfinished" error="The value provided is not a valid Unfinished." promptTitle="" prompt="If all products in this class consistently have the same answer, you can set a default value to apply automatically. For any exceptions, you can modify the answer for specific products without changing the default." type="list">
      <formula1>'WAYFAIR_USE_ONLY'!$AH$7:$AH10</formula1>
    </dataValidation>
    <dataValidation sqref="CX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Y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Z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A7" showDropDown="0" showInputMessage="1" showErrorMessage="1" allowBlank="1" errorTitle="Invalid Vent Type" error="The value provided is not a valid Vent Type." promptTitle="" prompt="If all products in this class consistently have the same answer, you can set a default value to apply automatically. For any exceptions, you can modify the answer for specific products without changing the default." type="list">
      <formula1>'WAYFAIR_USE_ONLY'!$AI$7:$AI15</formula1>
    </dataValidation>
    <dataValidation sqref="DB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C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D7" showDropDown="0" showInputMessage="1" showErrorMessage="1" allowBlank="1" errorTitle="Invalid Ribbed Detailing" error="The value provided is not a valid Ribbed Detailing." promptTitle="" prompt="If all products in this class consistently have the same answer, you can set a default value to apply automatically. For any exceptions, you can modify the answer for specific products without changing the default." type="list">
      <formula1>'WAYFAIR_USE_ONLY'!$AJ$7:$AJ11</formula1>
    </dataValidation>
    <dataValidation sqref="DE7" showDropDown="0" showInputMessage="1" showErrorMessage="1" allowBlank="1" errorTitle="Invalid Fluted Detailing" error="The value provided is not a valid Fluted Detailing." promptTitle="" prompt="If all products in this class consistently have the same answer, you can set a default value to apply automatically. For any exceptions, you can modify the answer for specific products without changing the default." type="list">
      <formula1>'WAYFAIR_USE_ONLY'!$AK$7:$AK11</formula1>
    </dataValidation>
    <dataValidation sqref="DF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G7" showDropDown="0" showInputMessage="1" showErrorMessage="1" allowBlank="0" errorTitle="Invalid Whole Number" error="The value provided is not a valid Whole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DH7" showDropDown="0" showInputMessage="1" showErrorMessage="1" allowBlank="1" errorTitle="Invalid Drawer Safety Stop" error="The value provided is not a valid Drawer Safety Stop." promptTitle="" prompt="If all products in this class consistently have the same answer, you can set a default value to apply automatically. For any exceptions, you can modify the answer for specific products without changing the default." type="list">
      <formula1>'WAYFAIR_USE_ONLY'!$AL$7:$AL11</formula1>
    </dataValidation>
    <dataValidation sqref="DI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J7" showDropDown="0" showInputMessage="1" showErrorMessage="1" allowBlank="1" errorTitle="Invalid General Certificate of C" error="The value provided is not a valid General Certificate of Conformity (GCC)." promptTitle="" prompt="If all products in this class consistently have the same answer, you can set a default value to apply automatically. For any exceptions, you can modify the answer for specific products without changing the default." type="list">
      <formula1>'WAYFAIR_USE_ONLY'!$AM$7:$AM10</formula1>
    </dataValidation>
    <dataValidation sqref="DK7" showDropDown="0" showInputMessage="1" showErrorMessage="1" allowBlank="1" errorTitle="Invalid Composite Wood Product (" error="The value provided is not a valid Composite Wood Product (CWP)." promptTitle="" prompt="If all products in this class consistently have the same answer, you can set a default value to apply automatically. For any exceptions, you can modify the answer for specific products without changing the default." type="list">
      <formula1>'WAYFAIR_USE_ONLY'!$AQ$7:$AQ10</formula1>
    </dataValidation>
    <dataValidation sqref="DL4" showDropDown="0" showInputMessage="1" showErrorMessage="1" allowBlank="1" promptTitle="Class Specific Child Question" prompt="This Question is directly related to the tag &quot;Composite Wood Product (CWP) Your answer to the related question may influence which answers are accepted here."/>
    <dataValidation sqref="DL7" showDropDown="0" showInputMessage="1" showErrorMessage="1" allowBlank="1" errorTitle="Invalid CARB Phase II Compliant " error="The value provided is not a valid CARB Phase II Compliant (formaldehyde emissions)." promptTitle="" prompt="If all products in this class consistently have the same answer, you can set a default value to apply automatically. For any exceptions, you can modify the answer for specific products without changing the default." type="list">
      <formula1>'WAYFAIR_USE_ONLY'!$AN$7:$AN10</formula1>
    </dataValidation>
    <dataValidation sqref="DM4" showDropDown="0" showInputMessage="1" showErrorMessage="1" allowBlank="1" promptTitle="Class Specific Child Question" prompt="This Question is directly related to the tag &quot;Composite Wood Product (CWP) Your answer to the related question may influence which answers are accepted here."/>
    <dataValidation sqref="DM7" showDropDown="0" showInputMessage="1" showErrorMessage="1" allowBlank="1" errorTitle="Invalid TSCA Title VI Compliant " error="The value provided is not a valid TSCA Title VI Compliant (formaldehyde emissions)." promptTitle="" prompt="If all products in this class consistently have the same answer, you can set a default value to apply automatically. For any exceptions, you can modify the answer for specific products without changing the default." type="list">
      <formula1>'WAYFAIR_USE_ONLY'!$AO$7:$AO10</formula1>
    </dataValidation>
    <dataValidation sqref="DN4" showDropDown="0" showInputMessage="1" showErrorMessage="1" allowBlank="1" promptTitle="Class Specific Child Question" prompt="This Question is directly related to the tag &quot;Composite Wood Product (CWP) Your answer to the related question may influence which answers are accepted here."/>
    <dataValidation sqref="DN7" showDropDown="0" showInputMessage="1" showErrorMessage="1" allowBlank="1" errorTitle="Invalid CANFER Compliant" error="The value provided is not a valid CANFER Compliant." promptTitle="" prompt="If all products in this class consistently have the same answer, you can set a default value to apply automatically. For any exceptions, you can modify the answer for specific products without changing the default." type="list">
      <formula1>'WAYFAIR_USE_ONLY'!$AP$7:$AP11</formula1>
    </dataValidation>
    <dataValidation sqref="DO7" showDropDown="0" showInputMessage="1" showErrorMessage="1" allowBlank="1" errorTitle="Invalid Uniform Packaging and La" error="The value provided is not a valid Uniform Packaging and Labeling Regulations (UPLR) Compliant." promptTitle="" prompt="If all products in this class consistently have the same answer, you can set a default value to apply automatically. For any exceptions, you can modify the answer for specific products without changing the default." type="list">
      <formula1>'WAYFAIR_USE_ONLY'!$AR$7:$AR9</formula1>
    </dataValidation>
    <dataValidation sqref="DP7" showDropDown="0" showInputMessage="1" showErrorMessage="1" allowBlank="1" errorTitle="Invalid Canada Product Restricti" error="The value provided is not a valid Canada Product Restriction." promptTitle="" prompt="If all products in this class consistently have the same answer, you can set a default value to apply automatically. For any exceptions, you can modify the answer for specific products without changing the default." type="list">
      <formula1>'WAYFAIR_USE_ONLY'!$AS$7:$AS9</formula1>
    </dataValidation>
    <dataValidation sqref="DQ4" showDropDown="0" showInputMessage="1" showErrorMessage="1" allowBlank="1" promptTitle="Class Specific Child Question" prompt="This Question is directly related to the tag &quot;Canada Product Restriction Your answer to the related question may influence which answers are accepted here."/>
    <dataValidation sqref="DQ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R7" showDropDown="0" showInputMessage="1" showErrorMessage="1" allowBlank="1" errorTitle="Invalid UL 1678 Listed" error="The value provided is not a valid UL 1678 Listed." promptTitle="" prompt="If all products in this class consistently have the same answer, you can set a default value to apply automatically. For any exceptions, you can modify the answer for specific products without changing the default." type="list">
      <formula1>'WAYFAIR_USE_ONLY'!$AT$7:$AT11</formula1>
    </dataValidation>
    <dataValidation sqref="DS7" showDropDown="0" showInputMessage="1" showErrorMessage="1" allowBlank="1" errorTitle="Invalid Hazardous Material / Dan" error="The value provided is not a valid Hazardous Material / Dangerous Goods." promptTitle="" prompt="If all products in this class consistently have the same answer, you can set a default value to apply automatically. For any exceptions, you can modify the answer for specific products without changing the default." type="list">
      <formula1>'WAYFAIR_USE_ONLY'!$AX$7:$AX9</formula1>
    </dataValidation>
    <dataValidation sqref="DT4" showDropDown="0" showInputMessage="1" showErrorMessage="1" allowBlank="1" promptTitle="Class Specific Child Question" prompt="This Question is directly related to the tag &quot;Hazardous Material / Dangerous Goods Your answer to the related question may influence which answers are accepted here."/>
    <dataValidation sqref="DT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U4" showDropDown="0" showInputMessage="1" showErrorMessage="1" allowBlank="1" promptTitle="Class Specific Child Question" prompt="This Question is directly related to the tag &quot;Hazardous Material / Dangerous Goods Your answer to the related question may influence which answers are accepted here."/>
    <dataValidation sqref="DU7" showDropDown="0" showInputMessage="1" showErrorMessage="1" allowBlank="1" errorTitle="Invalid Hazard Class(es)" error="The value provided is not a valid Hazard Class(es)." promptTitle="" prompt="If all products in this class consistently have the same answer, you can set a default value to apply automatically. For any exceptions, you can modify the answer for specific products without changing the default." type="list">
      <formula1>'WAYFAIR_USE_ONLY'!$AU$7:$AU23</formula1>
    </dataValidation>
    <dataValidation sqref="DV4" showDropDown="0" showInputMessage="1" showErrorMessage="1" allowBlank="1" promptTitle="Class Specific Child Question" prompt="This Question is directly related to the tag &quot;Hazardous Material / Dangerous Goods Your answer to the related question may influence which answers are accepted here."/>
    <dataValidation sqref="DV7" showDropDown="0" showInputMessage="1" showErrorMessage="1" allowBlank="1" errorTitle="Invalid Packing Group" error="The value provided is not a valid Packing Group." promptTitle="" prompt="If all products in this class consistently have the same answer, you can set a default value to apply automatically. For any exceptions, you can modify the answer for specific products without changing the default." type="list">
      <formula1>'WAYFAIR_USE_ONLY'!$AV$7:$AV12</formula1>
    </dataValidation>
    <dataValidation sqref="DW4" showDropDown="0" showInputMessage="1" showErrorMessage="1" allowBlank="1" promptTitle="Class Specific Child Question" prompt="This Question is directly related to the tag &quot;Hazardous Material / Dangerous Goods Your answer to the related question may influence which answers are accepted here."/>
    <dataValidation sqref="DW7" showDropDown="0" showInputMessage="1" showErrorMessage="1" allowBlank="1" errorTitle="Invalid Hazardous Material Weigh" error="The value provided is not a valid Hazardous Material Weight." promptTitle="" prompt="If all products in this class consistently have the same answer, you can set a default value to apply automatically. For any exceptions, you can modify the answer for specific products without changing the default." type="list">
      <formula1>'WAYFAIR_USE_ONLY'!$AW$7:$AW19</formula1>
    </dataValidation>
    <dataValidation sqref="DX7" showDropDown="0" showInputMessage="1" showErrorMessage="1" allowBlank="1" errorTitle="Invalid Energy Efficiency Regula" error="The value provided is not a valid Energy Efficiency Regulations Compliant." promptTitle="" prompt="If all products in this class consistently have the same answer, you can set a default value to apply automatically. For any exceptions, you can modify the answer for specific products without changing the default." type="list">
      <formula1>'WAYFAIR_USE_ONLY'!$AY$7:$AY12</formula1>
    </dataValidation>
    <dataValidation sqref="DY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Z4" showDropDown="0" showInputMessage="1" showErrorMessage="1" allowBlank="1" promptTitle="Class Specific Child Question" prompt="This Question is directly related to the tag &quot;Safety Listing(s) Your answer to the related question may influence which answers are accepted here."/>
    <dataValidation sqref="DZ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EA7" showDropDown="0" showInputMessage="1" showErrorMessage="1" allowBlank="1" errorTitle="Invalid CPSC - 16 CFR 1263 Compl" error="The value provided is not a valid CPSC - 16 CFR 1263 Compliant (Reese's Law)." promptTitle="" prompt="If all products in this class consistently have the same answer, you can set a default value to apply automatically. For any exceptions, you can modify the answer for specific products without changing the default." type="list">
      <formula1>'WAYFAIR_USE_ONLY'!$AZ$7:$AZ11</formula1>
    </dataValidation>
    <dataValidation sqref="EB7" showDropDown="0" showInputMessage="1" showErrorMessage="1" allowBlank="1" errorTitle="Invalid ISTA Certified" error="The value provided is not a valid ISTA Certified." promptTitle="" prompt="If all products in this class consistently have the same answer, you can set a default value to apply automatically. For any exceptions, you can modify the answer for specific products without changing the default." type="list">
      <formula1>'WAYFAIR_USE_ONLY'!$BA$7:$BA10</formula1>
    </dataValidation>
    <dataValidation sqref="EC7" showDropDown="0" showInputMessage="1" showErrorMessage="1" allowBlank="1" errorTitle="Invalid Sustainability &amp; Social " error="The value provided is not a valid Sustainability &amp; Social Responsibility Certifications (North America Only)." promptTitle="" prompt="If all products in this class consistently have the same answer, you can set a default value to apply automatically. For any exceptions, you can modify the answer for specific products without changing the default." type="list">
      <formula1>'WAYFAIR_USE_ONLY'!$BB$7:$BB10</formula1>
    </dataValidation>
    <dataValidation sqref="ED7" showDropDown="0" showInputMessage="1" showErrorMessage="1" allowBlank="1" errorTitle="Invalid Commercial Certification" error="The value provided is not a valid Commercial Certifications." promptTitle="" prompt="If all products in this class consistently have the same answer, you can set a default value to apply automatically. For any exceptions, you can modify the answer for specific products without changing the default." type="list">
      <formula1>'WAYFAIR_USE_ONLY'!$BC$7:$BC12</formula1>
    </dataValidation>
    <dataValidation sqref="EE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EF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EG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EH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EI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EJ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EK7" showDropDown="0" showInputMessage="1" showErrorMessage="1" allowBlank="1" errorTitle="Invalid Maximum TV Screen Size A" error="The value provided is not a valid Maximum TV Screen Size Accommodated." promptTitle="" prompt="If all products in this class consistently have the same answer, you can set a default value to apply automatically. For any exceptions, you can modify the answer for specific products without changing the default." type="list">
      <formula1>'WAYFAIR_USE_ONLY'!$BD$7:$BD26</formula1>
    </dataValidation>
    <dataValidation sqref="EL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EM7" showDropDown="0" showInputMessage="1" showErrorMessage="1" allowBlank="1" errorTitle="Invalid Assembly Required" error="The value provided is not a valid Assembly Required." promptTitle="" prompt="If all products in this class consistently have the same answer, you can set a default value to apply automatically. For any exceptions, you can modify the answer for specific products without changing the default." type="list">
      <formula1>'WAYFAIR_USE_ONLY'!$BE$7:$BE9</formula1>
    </dataValidation>
    <dataValidation sqref="EN7" showDropDown="0" showInputMessage="1" showErrorMessage="1" allowBlank="1" errorTitle="Invalid Level of Assembly" error="The value provided is not a valid Level of Assembly." promptTitle="" prompt="If all products in this class consistently have the same answer, you can set a default value to apply automatically. For any exceptions, you can modify the answer for specific products without changing the default." type="list">
      <formula1>'WAYFAIR_USE_ONLY'!$BF$7:$BF11</formula1>
    </dataValidation>
    <dataValidation sqref="EO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EP7" showDropDown="0" showInputMessage="1" showErrorMessage="1" allowBlank="1" errorTitle="Invalid Commercial Warranty" error="The value provided is not a valid Commercial Warranty." promptTitle="" prompt="If all products in this class consistently have the same answer, you can set a default value to apply automatically. For any exceptions, you can modify the answer for specific products without changing the default." type="list">
      <formula1>'WAYFAIR_USE_ONLY'!$BH$7:$BH10</formula1>
    </dataValidation>
    <dataValidation sqref="EQ4" showDropDown="0" showInputMessage="1" showErrorMessage="1" allowBlank="1" promptTitle="Class Specific Child Question" prompt="This Question is directly related to the tag &quot;Commercial Warranty Your answer to the related question may influence which answers are accepted here."/>
    <dataValidation sqref="EQ7" showDropDown="0" showInputMessage="1" showErrorMessage="1" allowBlank="1" errorTitle="Invalid Commercial Warranty Leng" error="The value provided is not a valid Commercial Warranty Length." promptTitle="" prompt="If all products in this class consistently have the same answer, you can set a default value to apply automatically. For any exceptions, you can modify the answer for specific products without changing the default." type="list">
      <formula1>'WAYFAIR_USE_ONLY'!$BG$7:$BG32</formula1>
    </dataValidation>
    <dataValidation sqref="ER7" showDropDown="0" showInputMessage="1" showErrorMessage="1" allowBlank="1" errorTitle="Invalid Product Warranty" error="The value provided is not a valid Product Warranty." promptTitle="" prompt="If all products in this class consistently have the same answer, you can set a default value to apply automatically. For any exceptions, you can modify the answer for specific products without changing the default." type="list">
      <formula1>'WAYFAIR_USE_ONLY'!$BI$7:$BI9</formula1>
    </dataValidation>
    <dataValidation sqref="ES7" showDropDown="0" showInputMessage="1" showErrorMessage="1" allowBlank="1" errorTitle="Invalid Full or Limited Warranty" error="The value provided is not a valid Full or Limited Warranty." promptTitle="" prompt="If all products in this class consistently have the same answer, you can set a default value to apply automatically. For any exceptions, you can modify the answer for specific products without changing the default." type="list">
      <formula1>'WAYFAIR_USE_ONLY'!$BJ$7:$BJ10</formula1>
    </dataValidation>
    <dataValidation sqref="ET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s>
  <hyperlinks>
    <hyperlink ref="D6" location="'Valid Values'!A1" display="Select"/>
    <hyperlink ref="W6" location="'Valid Values'!B1" display="Select"/>
    <hyperlink ref="X6" location="'Valid Values'!C1" display="Select"/>
    <hyperlink ref="Y6" location="'Valid Values'!D1" display="Select"/>
    <hyperlink ref="Z6" location="'Valid Values'!E1" display="Select"/>
    <hyperlink ref="AI6" location="'Valid Values'!F1" display="Select"/>
    <hyperlink ref="AJ6" location="'Valid Values'!G1" display="Please choose one or more from the following, using a semicolon (;) to separate each value: Cancer; Developmental"/>
    <hyperlink ref="AK6" location="'Valid Values'!H1" display="Select"/>
    <hyperlink ref="AS6" location="'Valid Values'!I1" display="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
    <hyperlink ref="AT6" location="'Valid Values'!J1" display="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
    <hyperlink ref="AU6" location="'Valid Values'!K1" display="Select"/>
    <hyperlink ref="AV6" location="'Valid Values'!L1" display="Select"/>
    <hyperlink ref="AX6" location="'Valid Values'!I1" display="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
    <hyperlink ref="AY6" location="'Valid Values'!J1" display="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
    <hyperlink ref="AZ6" location="'Valid Values'!K1" display="Select"/>
    <hyperlink ref="BA6" location="'Valid Values'!L1" display="Select"/>
    <hyperlink ref="BC6" location="'Valid Values'!I1" display="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
    <hyperlink ref="BD6" location="'Valid Values'!J1" display="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
    <hyperlink ref="BE6" location="'Valid Values'!K1" display="Select"/>
    <hyperlink ref="BF6" location="'Valid Values'!L1" display="Select"/>
    <hyperlink ref="BG6" location="'Valid Values'!M1" display="Select"/>
    <hyperlink ref="BP6" location="'Valid Values'!N1" display="Please choose one or more from the following, using a semicolon (;) to separate each value: Cabinet/Enclosed storage; TV Stand Fireplace; Open shelving; Corner unit; Hutch; Piers; Floating mount; Standard; Demilune; Nesting; Apothecary; Multi-tiered; Floor; Corner; Basket Storage; Tabletop; Hanging; Bombe; Etagere; Wall Mounted; Double Walled; Console; Pedestal; Unavailable; Does Not Apply"/>
    <hyperlink ref="BQ6" location="'Valid Values'!O1" display="Please choose one or more from the following, using a semicolon (;) to separate each value: Glass; Stainless Steel; Cane; Raffia; Mango Wood; Aluminum; Manufactured Wood; Leather; Bamboo; Ceramic; Faux Leather; Iron; Marble / Granite; Metal; Plastic / Acrylic; Teak; Solid + Manufactured Wood; Steel; Solid Wood; Wicker; Reclaimed Wood"/>
    <hyperlink ref="BR6" location="'Valid Values'!P1" display="Please choose one or more from the following, using a semicolon (;) to separate each value: Distressed Leather; Paint Distressing; Distressed Grain Accents; Coat/Paint Distressing; Wormholes; No Natural Variation; No Distressing; Distressed Metal; Worn/Fade; Wood Scoring &amp; Rub Through; Unavailable"/>
    <hyperlink ref="BS6" location="'Valid Values'!Q1" display="Please choose one or more from the following, using a semicolon (;) to separate each value: No Natural Variation; Natural Wood Grain Color Variation; Weathered Steel; Wood Knots; Natural Stone Color Variation; Unavailable"/>
    <hyperlink ref="CC6" location="'Valid Values'!R1" display="Select"/>
    <hyperlink ref="CF6" location="'Valid Values'!S1" display="Please choose one or more from the following, using a semicolon (;) to separate each value: Non Residential Use; Residential Use"/>
    <hyperlink ref="CG6" location="'Valid Values'!T1" display="Please choose one or more from the following, using a semicolon (;) to separate each value: Made in USA; Made in USA of Imported Materials; Product of Canada; Made In Canada; Does Not Apply"/>
    <hyperlink ref="CH6" location="'Valid Values'!U1" display="Select"/>
    <hyperlink ref="CJ6" location="'Valid Values'!V1" display="Please choose one or more from the following, using a semicolon (;) to separate each value: Acacia; Alder; Ash; Bamboo; Beech; Birch; Camphor; Cedar; Cherry; Elm; Eucalyptus; Fir; Hickory; Mahogany; Mango; Maple; Oak; Pine; Poplar; Rosewood; Rubberwood; Sheesham; Spruce; Teak; Walnut; Wenge; Pecan; Shorea; Paulownia; Chestnut; Hemlock; Aspen; Mindi; Ipe; Olive; Ajo; Agarwood; Afzelia; Afrormosia; Bubinga; Brazilwood; Cumaru; Cedar, Mulanje; Cedar, Spanish; Aloewood; Lignum vitae; Mahogany, African; Mahogany, Mexican; Padauk, African; Macacauba; Ebony, Madagascar; Lignum vitae, Argentine; Gavilan; Mahogany, Honduran; Mahogany, Cuban; Stinkwood, red; Yew, Chinese; Pau rosa, Brazilian; Sandalwood, East African; Ramin; Zitan; Yew, Himalayan; Yew, Japanese; Rosewood, Siamese; Yew, Taiwan; Burlwood; Platane Wood; Sungkai; Does Not Apply"/>
    <hyperlink ref="CL6" location="'Valid Values'!W1" display="Select"/>
    <hyperlink ref="CM6" location="'Valid Values'!X1" display="Select"/>
    <hyperlink ref="CN6" location="'Valid Values'!Y1" display="Select"/>
    <hyperlink ref="CO6" location="'Valid Values'!Z1" display="Select"/>
    <hyperlink ref="CP6" location="'Valid Values'!AA1" display="Select"/>
    <hyperlink ref="CQ6" location="'Valid Values'!AB1" display="Select"/>
    <hyperlink ref="CR6" location="'Valid Values'!AC1" display="Select"/>
    <hyperlink ref="CV6" location="'Valid Values'!AD1" display="Please choose one or more from the following, using a semicolon (;) to separate each value: Hand wash recommended; Dishwasher safe; Spot clean only; Hand wash only; Delicate cycle; Commercial laundry safe; Do not use a fabric softener; Cold wash; Sweep / Dust Mop; Cut loose threads using a scissor; Clean with soap and water; Clean spills immediately; Dishwasher safe component; Lay flat to dry; Dryer safe; Warm wash; Non-Abrasive, Neutral Ph Cleaner; Commercial dishwasher safe; Vacuum with no beater bar/rotating brush; Air / Line Dry; Professional / Dry Clean Recommended; Wash With Garden Hose Or Pressure Washer; Machine washable components; Professional / Dry Clean Only; Vacuum with upholstery attachment; Vacuum with beater bar/rotating brush; Clean with bleach and water; Use product specific cleaner; Oil / seal / treat regularly; Shake to remove dust; Tumble dry; Iron safe; Wipe clean with a dry cloth; Cover when not in use; Avoid use of abrasive cleaners; Tile specific cleaner; Do not wash; Dust mop; Hose down; Towel dry immediately; Household floor cleaner; Spot clean; Wipe with wet cloth; Spot clean with water; When cushions are wet, open cushion zippers and prop up to dry in order to maintain quality; Oil 1-2 times per year; No washing / drying care; Do not bleach; Treat with wood protector; Do not dry clean; Clean with diluted vinegar and water; Store indoors or cover when not in use; Use carpet cleaner; Air dry cushions covers; Do not use bleach or bleach solutions; Rinse with water only; Dishwasher safe removable parts; Clean and re-seal with natural stone sealant; To prevent oil stains wipe with a damp cloth before using; After cleaning, use sealant; Apply oil to maintain color and prolong durability; Vacuum; Avoid direct sunlight; Dry after use; Use furniture pads; Apply epoxy clear coat once per year; Clean with cloth, mild soap, and warm water; Spot clean with mild detergent; Spot clean as needed; Automatic; Hot water extraction; Spot clean with dry cloth; Clean the product at least one time per month. We suggest the use of Rejuven"/>
    <hyperlink ref="CX6" location="'Valid Values'!AE1" display="Please choose one or more from the following, using a semicolon (;) to separate each value: Polyethylene; Steel; Wood Veneers; Polyvinyl Chloride (PVC); Polycarbonate; Stainless Steel; Marble; Solid + Manufactured Wood; Wood; Clear Glass; Stone; Glass; Melamine; Aluminum; Acrylic; Resin; Tinted Glass; Laminate; Metal; Wire; Mirrored; Plastic; Manufactured Wood; Glass / Polycarbonate; Wicker; Iron; Solid Wood; Granite; Unavailable; Does Not Apply"/>
    <hyperlink ref="CY6" location="'Valid Values'!AF1" display="Please choose one or more from the following, using a semicolon (;) to separate each value: Clear; Cream; Purple; Gold; Silver; Polished Chrome; Polished Nickel; Stainless Steel; Bronze; Chrome; Oil Rubbed Bronze; Matte Black; Satin Nickel; Brushed Nickel; Antique Brass; Antique Bronze; Copper; Antique Copper; Brushed Brass; Polished Brass; Brass; Satin Brass; Brushed Gold; Nickel; Ivory; Green; Orange; Beige; Teal; Red; Satin; Yellow; Pink; White; Brown; Blue; Satin Black; Rose Gold; Navy; Black; Tan; Gray; Brown Wood; Dark Brown Wood; Medium Yellow Wood; Espresso Wood; Medium Wood; Red Wood; Beige Wood; Natural Wood; Gray Wood; Light Yellow Wood; White Wood; Oak Wood"/>
    <hyperlink ref="CZ6" location="'Valid Values'!AG1" display="Please choose one or more from the following, using a semicolon (;) to separate each value: 0.6 Extension; Ball Bearing; Soft Close; Roller Glides; 0.75 Extension; Full Extension; Metal Slide; 0.5 Extension; Wood Slide; Center Slides; Kenlin; Side-Mounted Glides; Undermount Glides; Euro Glides; Unavailable; Does Not Apply"/>
    <hyperlink ref="DA6" location="'Valid Values'!AH1" display="Select"/>
    <hyperlink ref="DB6" location="'Valid Values'!AI1" display="Please choose one or more from the following, using a semicolon (;) to separate each value: Electric; Dual Fuel; Induction; Wood Pellets; Natural Gas; Liquid Propane; Wood Burning; Gel Fuel; Bio-Ethanol; Propane; Butane; Charcoal; Ethanol; Alcohol; Does Not Apply"/>
    <hyperlink ref="DC6" location="'Valid Values'!AJ1" display="Please choose one or more from the following, using a semicolon (;) to separate each value: Flush; Glass; Louvered; Paneled; Mirrored; Barn Doors; Frosted; Insulated; Contoured; Tinted; See Through; Double Pane; Does Not Apply"/>
    <hyperlink ref="DF6" location="'Valid Values'!AK1" display="Please choose one or more from the following, using a semicolon (;) to separate each value: Drawers; Fireplace; Hutch; Shelves; Bridge; Exterior Shelves; Fireplace Remote; Integrated TV Mount; Interior Shelves; Media Storage; Pier / Bookcase; Sound Bar Shelf; TV Anti-Tip Kit; Wheels / Casters; Cabinets; Unavailable; Does Not Apply"/>
    <hyperlink ref="DI6" location="'Valid Values'!AL1" display="Please choose one or more from the following, using a semicolon (;) to separate each value: Gel; Gas; Wood; Electric; Unavailable; Does Not Apply"/>
    <hyperlink ref="DJ6" location="'Valid Values'!AM1" display="Select"/>
    <hyperlink ref="DL6" location="'Valid Values'!AN1" display="Select"/>
    <hyperlink ref="DM6" location="'Valid Values'!AO1" display="Select"/>
    <hyperlink ref="DN6" location="'Valid Values'!AP1" display="Select"/>
    <hyperlink ref="DO6" location="'Valid Values'!AQ1" display="Select"/>
    <hyperlink ref="DQ6" location="'Valid Values'!AR1" display="Please choose one or more from the following, using a semicolon (;) to separate each value: Dual Language; Distribution Conflict; Logistics; Does Not Apply"/>
    <hyperlink ref="DR6" location="'Valid Values'!AS1" display="Select"/>
    <hyperlink ref="DT6" location="'Valid Values'!AT1" display="Please choose one or more from the following, using a semicolon (;) to separate each value: UN3091; UN3481; UN2800; UN1950; UN3496; ID8000; UN1013; UN3082; UN3077; UN3480; UN2857; UN3358; UN3090; UN1266; UN1993; UN1944; UN1070; UN1044; UN3163; UN1268; UN1760; UN1011; UN2794; UN1759; UN3171; UN1987; UN1263; UN1170; UN3265; UN3260; UN3215; UN1006; UN3175; Does Not Apply"/>
    <hyperlink ref="DU6" location="'Valid Values'!AU1" display="Select"/>
    <hyperlink ref="DV6" location="'Valid Values'!AV1" display="Select"/>
    <hyperlink ref="DW6" location="'Valid Values'!AW1" display="Select"/>
    <hyperlink ref="DX6" location="'Valid Values'!AX1" display="Select"/>
    <hyperlink ref="DY6" location="'Valid Values'!AY1" display="Please choose one or more from the following, using a semicolon (;) to separate each value: TÜV Rheinland Certified; MET Listed; AFNOR UK Ltd; BSI Assurance UK Ltd; cUL Listed; ETL Listed; DBI Certification Ltd; UL Listed; cETL Listed; CSA Certified; SGS North America Listed; Does Not Apply"/>
    <hyperlink ref="EA6" location="'Valid Values'!AZ1" display="Select"/>
    <hyperlink ref="EB6" location="'Valid Values'!BA1" display="Select"/>
    <hyperlink ref="ED6" location="'Valid Values'!BB1" display="Select"/>
    <hyperlink ref="EK6" location="'Valid Values'!BC1" display="Select"/>
    <hyperlink ref="EN6" location="'Valid Values'!BD1" display="Select"/>
    <hyperlink ref="EO6" location="'Valid Values'!BE1" display="Please choose one or more from the following, using a semicolon (;) to separate each value: All Tools Included; Tool Free Assembly; Screwdriver; Allen Wrench; Adjustable Wrench; Socket Wrench; Power Drill; Hammer; Pliers; Ratchet; Utility Saw; Saw; Measuring Tape; Mallet; Level; Box Cutter; Caulk / Adhesive; Anchors / Stakes; Clamps; Drill Bit; Gloves; Hex Key; Glass Cutter; Chop Saw; Circular Saw; Phillips Head Screwdriver; Crescent Wrench; Flat Screwdriver; Adhesive Roller / Tray; Shovel; Drill; Smoother / Squeegee; Ladder; Wire Stripper; Razor Knife; Pencil; Electric Drill; Screw Gun; Scissors; Ruler; Safety Glasses; Utility Knife; Rope; Ear Protection; Stud Finder; Wrench; Tape Measure; Screws; Wire Cap; Hammer / Mallet; Chalk Line; Landscaping Fabric; No Tools Needed; Tile Cutter; Straight Edge; Silicone; Wet Saw; Torx Bit; Unavailable; Does Not Apply"/>
    <hyperlink ref="EQ6" location="'Valid Values'!BF1" display="Select"/>
    <hyperlink ref="ES6" location="'Valid Values'!BG1" display="Select"/>
    <hyperlink ref="ET6" location="'Valid Values'!BH1" display="Please choose one or more from the following, using a semicolon (;) to separate each value: 30 Days; 60 Days; 90 Days; 6 Months; 1 Year; 2 Years; 3 Years; 5 Years; 10 Years; 20 Years; 25 Years; Lifetime; Warranty length varies by part; 15 Years; 18 Months; 12 Years; 6 Years; 4 Years; 8 Years; 7 Years; Does Not Apply"/>
  </hyperlinks>
  <pageMargins left="0.7" right="0.7" top="0.75" bottom="0.75" header="0.3" footer="0.3"/>
  <legacyDrawing xmlns:r="http://schemas.openxmlformats.org/officeDocument/2006/relationships" r:id="anysvml"/>
</worksheet>
</file>

<file path=xl/worksheets/sheet7.xml><?xml version="1.0" encoding="utf-8"?>
<worksheet xmlns="http://schemas.openxmlformats.org/spreadsheetml/2006/main">
  <sheetPr>
    <outlinePr summaryBelow="1" summaryRight="1"/>
    <pageSetUpPr/>
  </sheetPr>
  <dimension ref="A1:Z507"/>
  <sheetViews>
    <sheetView workbookViewId="0">
      <selection activeCell="A1" sqref="A1"/>
    </sheetView>
  </sheetViews>
  <sheetFormatPr baseColWidth="8" defaultRowHeight="15"/>
  <cols>
    <col width="35.7109375" customWidth="1" min="1" max="1"/>
    <col width="25.7109375" customWidth="1" style="22" min="2" max="2"/>
    <col width="18.7109375" customWidth="1" style="22" min="3" max="4"/>
    <col width="17.7109375" customWidth="1" style="22" min="5" max="6"/>
    <col hidden="1" min="26" max="26"/>
  </cols>
  <sheetData>
    <row r="1" hidden="1">
      <c r="B1" s="22" t="inlineStr">
        <is>
          <t>core::supplierPartNumber</t>
        </is>
      </c>
      <c r="C1" s="22" t="inlineStr">
        <is>
          <t>shippingAndFulfillment::weight</t>
        </is>
      </c>
      <c r="D1" s="22" t="inlineStr">
        <is>
          <t>shippingAndFulfillment::height</t>
        </is>
      </c>
      <c r="E1" s="22" t="inlineStr">
        <is>
          <t>shippingAndFulfillment::width</t>
        </is>
      </c>
      <c r="F1" s="22" t="inlineStr">
        <is>
          <t>shippingAndFulfillment::depth</t>
        </is>
      </c>
    </row>
    <row r="2">
      <c r="B2" s="23" t="inlineStr">
        <is>
          <t>Basic Information</t>
        </is>
      </c>
      <c r="C2" s="27" t="inlineStr">
        <is>
          <t>Carton Details</t>
        </is>
      </c>
      <c r="D2" s="40" t="n"/>
      <c r="E2" s="40" t="n"/>
      <c r="F2" s="41" t="n"/>
    </row>
    <row r="3">
      <c r="B3" s="31" t="inlineStr">
        <is>
          <t>Required</t>
        </is>
      </c>
      <c r="C3" s="31" t="inlineStr">
        <is>
          <t>Conditional</t>
        </is>
      </c>
      <c r="D3" s="31" t="inlineStr">
        <is>
          <t>Conditional</t>
        </is>
      </c>
      <c r="E3" s="31" t="inlineStr">
        <is>
          <t>Conditional</t>
        </is>
      </c>
      <c r="F3" s="31" t="inlineStr">
        <is>
          <t>Conditional</t>
        </is>
      </c>
    </row>
    <row r="4" ht="50" customHeight="1">
      <c r="A4" s="19" t="inlineStr">
        <is>
          <t>Errors</t>
        </is>
      </c>
      <c r="B4" s="19" t="inlineStr">
        <is>
          <t>Supplier Part Number</t>
        </is>
      </c>
      <c r="C4" s="19" t="inlineStr">
        <is>
          <t>Carton Weight</t>
        </is>
      </c>
      <c r="D4" s="19" t="inlineStr">
        <is>
          <t>Carton Height</t>
        </is>
      </c>
      <c r="E4" s="19" t="inlineStr">
        <is>
          <t>Carton Width</t>
        </is>
      </c>
      <c r="F4" s="19" t="inlineStr">
        <is>
          <t>Carton Depth</t>
        </is>
      </c>
    </row>
    <row r="5" ht="50" customHeight="1">
      <c r="A5" s="34" t="inlineStr">
        <is>
          <t>Displays the error status and message for the first error in the row, with a link to the corresponding cell.</t>
        </is>
      </c>
      <c r="B5" s="34" t="inlineStr">
        <is>
          <t>Must be less than 64 characters and must be a unique value (products cannot be added if they have the same part number as something you already have in your catalog). This is the supplier-specific value for the product as it appears on your Inventory Feed and Purchased Orders.</t>
        </is>
      </c>
      <c r="C5" s="34" t="inlineStr">
        <is>
          <t>[Pounds] Enter in the shipping weight (i.e. 45.5) of the packaging used for the product.  If the product ships in more than one box, this measurement is per box.</t>
        </is>
      </c>
      <c r="D5" s="34" t="inlineStr">
        <is>
          <t>[Inches] Enter in the shipping height (i.e. 45.5) of the packaging used for the product.  If the product ships in more than one box, this measurement is per box.</t>
        </is>
      </c>
      <c r="E5" s="34" t="inlineStr">
        <is>
          <t>[Inches] Enter in the shipping width (i.e. 45.5) of the packaging used for the product.  If the product ships in more than one box, this measurement is per box.</t>
        </is>
      </c>
      <c r="F5" s="34" t="inlineStr">
        <is>
          <t>[Inches] Enter in the shipping depth (i.e. 45.5) of the packaging used for the product.  If the product ships in more than one box, this measurement is per box.</t>
        </is>
      </c>
    </row>
    <row r="6" ht="50" customHeight="1">
      <c r="A6" s="34" t="inlineStr">
        <is>
          <t>Read-Only</t>
        </is>
      </c>
      <c r="B6" s="34" t="inlineStr">
        <is>
          <t>Text</t>
        </is>
      </c>
      <c r="C6" s="34" t="inlineStr">
        <is>
          <t>Number</t>
        </is>
      </c>
      <c r="D6" s="34" t="inlineStr">
        <is>
          <t>Number</t>
        </is>
      </c>
      <c r="E6" s="34" t="inlineStr">
        <is>
          <t>Number</t>
        </is>
      </c>
      <c r="F6" s="34" t="inlineStr">
        <is>
          <t>Number</t>
        </is>
      </c>
    </row>
    <row r="7">
      <c r="A7" s="38">
        <f>IF('Additional Cartons'!B7 = "", "", IF('Additional Cartons-WUO_ERR'!A7 = "", "Validated", HYPERLINK("#" &amp; ADDRESS(7, 'Additional Cartons-WUO_TRK'!A7),_xlfn.TEXTAFTER('Additional Cartons-WUO_ERR'!A7, ":"))))</f>
        <v/>
      </c>
      <c r="Z7">
        <f t="array" ref="Z7">IF(B7:B507="", "", IFERROR(_xlfn.XLOOKUP(B7:B507, _xlfn.VSTACK('6 - TV Stands &amp; Enterta'!B7:B507), _xlfn.VSTACK('6 - TV Stands &amp; Enterta'!G7:G507)), ""))</f>
        <v/>
      </c>
    </row>
    <row r="8">
      <c r="A8" s="38">
        <f>IF('Additional Cartons'!B8 = "", "", IF('Additional Cartons-WUO_ERR'!A8 = "", "Validated", HYPERLINK("#" &amp; ADDRESS(8, 'Additional Cartons-WUO_TRK'!A8),_xlfn.TEXTAFTER('Additional Cartons-WUO_ERR'!A8, ":"))))</f>
        <v/>
      </c>
    </row>
    <row r="9">
      <c r="A9" s="38">
        <f>IF('Additional Cartons'!B9 = "", "", IF('Additional Cartons-WUO_ERR'!A9 = "", "Validated", HYPERLINK("#" &amp; ADDRESS(9, 'Additional Cartons-WUO_TRK'!A9),_xlfn.TEXTAFTER('Additional Cartons-WUO_ERR'!A9, ":"))))</f>
        <v/>
      </c>
    </row>
    <row r="10">
      <c r="A10" s="38">
        <f>IF('Additional Cartons'!B10 = "", "", IF('Additional Cartons-WUO_ERR'!A10 = "", "Validated", HYPERLINK("#" &amp; ADDRESS(10, 'Additional Cartons-WUO_TRK'!A10),_xlfn.TEXTAFTER('Additional Cartons-WUO_ERR'!A10, ":"))))</f>
        <v/>
      </c>
    </row>
    <row r="11">
      <c r="A11" s="38">
        <f>IF('Additional Cartons'!B11 = "", "", IF('Additional Cartons-WUO_ERR'!A11 = "", "Validated", HYPERLINK("#" &amp; ADDRESS(11, 'Additional Cartons-WUO_TRK'!A11),_xlfn.TEXTAFTER('Additional Cartons-WUO_ERR'!A11, ":"))))</f>
        <v/>
      </c>
    </row>
    <row r="12">
      <c r="A12" s="38">
        <f>IF('Additional Cartons'!B12 = "", "", IF('Additional Cartons-WUO_ERR'!A12 = "", "Validated", HYPERLINK("#" &amp; ADDRESS(12, 'Additional Cartons-WUO_TRK'!A12),_xlfn.TEXTAFTER('Additional Cartons-WUO_ERR'!A12, ":"))))</f>
        <v/>
      </c>
    </row>
    <row r="13">
      <c r="A13" s="38">
        <f>IF('Additional Cartons'!B13 = "", "", IF('Additional Cartons-WUO_ERR'!A13 = "", "Validated", HYPERLINK("#" &amp; ADDRESS(13, 'Additional Cartons-WUO_TRK'!A13),_xlfn.TEXTAFTER('Additional Cartons-WUO_ERR'!A13, ":"))))</f>
        <v/>
      </c>
    </row>
    <row r="14">
      <c r="A14" s="38">
        <f>IF('Additional Cartons'!B14 = "", "", IF('Additional Cartons-WUO_ERR'!A14 = "", "Validated", HYPERLINK("#" &amp; ADDRESS(14, 'Additional Cartons-WUO_TRK'!A14),_xlfn.TEXTAFTER('Additional Cartons-WUO_ERR'!A14, ":"))))</f>
        <v/>
      </c>
    </row>
    <row r="15">
      <c r="A15" s="38">
        <f>IF('Additional Cartons'!B15 = "", "", IF('Additional Cartons-WUO_ERR'!A15 = "", "Validated", HYPERLINK("#" &amp; ADDRESS(15, 'Additional Cartons-WUO_TRK'!A15),_xlfn.TEXTAFTER('Additional Cartons-WUO_ERR'!A15, ":"))))</f>
        <v/>
      </c>
    </row>
    <row r="16">
      <c r="A16" s="38">
        <f>IF('Additional Cartons'!B16 = "", "", IF('Additional Cartons-WUO_ERR'!A16 = "", "Validated", HYPERLINK("#" &amp; ADDRESS(16, 'Additional Cartons-WUO_TRK'!A16),_xlfn.TEXTAFTER('Additional Cartons-WUO_ERR'!A16, ":"))))</f>
        <v/>
      </c>
    </row>
    <row r="17">
      <c r="A17" s="38">
        <f>IF('Additional Cartons'!B17 = "", "", IF('Additional Cartons-WUO_ERR'!A17 = "", "Validated", HYPERLINK("#" &amp; ADDRESS(17, 'Additional Cartons-WUO_TRK'!A17),_xlfn.TEXTAFTER('Additional Cartons-WUO_ERR'!A17, ":"))))</f>
        <v/>
      </c>
    </row>
    <row r="18">
      <c r="A18" s="38">
        <f>IF('Additional Cartons'!B18 = "", "", IF('Additional Cartons-WUO_ERR'!A18 = "", "Validated", HYPERLINK("#" &amp; ADDRESS(18, 'Additional Cartons-WUO_TRK'!A18),_xlfn.TEXTAFTER('Additional Cartons-WUO_ERR'!A18, ":"))))</f>
        <v/>
      </c>
    </row>
    <row r="19">
      <c r="A19" s="38">
        <f>IF('Additional Cartons'!B19 = "", "", IF('Additional Cartons-WUO_ERR'!A19 = "", "Validated", HYPERLINK("#" &amp; ADDRESS(19, 'Additional Cartons-WUO_TRK'!A19),_xlfn.TEXTAFTER('Additional Cartons-WUO_ERR'!A19, ":"))))</f>
        <v/>
      </c>
    </row>
    <row r="20">
      <c r="A20" s="38">
        <f>IF('Additional Cartons'!B20 = "", "", IF('Additional Cartons-WUO_ERR'!A20 = "", "Validated", HYPERLINK("#" &amp; ADDRESS(20, 'Additional Cartons-WUO_TRK'!A20),_xlfn.TEXTAFTER('Additional Cartons-WUO_ERR'!A20, ":"))))</f>
        <v/>
      </c>
    </row>
    <row r="21">
      <c r="A21" s="38">
        <f>IF('Additional Cartons'!B21 = "", "", IF('Additional Cartons-WUO_ERR'!A21 = "", "Validated", HYPERLINK("#" &amp; ADDRESS(21, 'Additional Cartons-WUO_TRK'!A21),_xlfn.TEXTAFTER('Additional Cartons-WUO_ERR'!A21, ":"))))</f>
        <v/>
      </c>
    </row>
    <row r="22">
      <c r="A22" s="38">
        <f>IF('Additional Cartons'!B22 = "", "", IF('Additional Cartons-WUO_ERR'!A22 = "", "Validated", HYPERLINK("#" &amp; ADDRESS(22, 'Additional Cartons-WUO_TRK'!A22),_xlfn.TEXTAFTER('Additional Cartons-WUO_ERR'!A22, ":"))))</f>
        <v/>
      </c>
    </row>
    <row r="23">
      <c r="A23" s="38">
        <f>IF('Additional Cartons'!B23 = "", "", IF('Additional Cartons-WUO_ERR'!A23 = "", "Validated", HYPERLINK("#" &amp; ADDRESS(23, 'Additional Cartons-WUO_TRK'!A23),_xlfn.TEXTAFTER('Additional Cartons-WUO_ERR'!A23, ":"))))</f>
        <v/>
      </c>
    </row>
    <row r="24">
      <c r="A24" s="38">
        <f>IF('Additional Cartons'!B24 = "", "", IF('Additional Cartons-WUO_ERR'!A24 = "", "Validated", HYPERLINK("#" &amp; ADDRESS(24, 'Additional Cartons-WUO_TRK'!A24),_xlfn.TEXTAFTER('Additional Cartons-WUO_ERR'!A24, ":"))))</f>
        <v/>
      </c>
    </row>
    <row r="25">
      <c r="A25" s="38">
        <f>IF('Additional Cartons'!B25 = "", "", IF('Additional Cartons-WUO_ERR'!A25 = "", "Validated", HYPERLINK("#" &amp; ADDRESS(25, 'Additional Cartons-WUO_TRK'!A25),_xlfn.TEXTAFTER('Additional Cartons-WUO_ERR'!A25, ":"))))</f>
        <v/>
      </c>
    </row>
    <row r="26">
      <c r="A26" s="38">
        <f>IF('Additional Cartons'!B26 = "", "", IF('Additional Cartons-WUO_ERR'!A26 = "", "Validated", HYPERLINK("#" &amp; ADDRESS(26, 'Additional Cartons-WUO_TRK'!A26),_xlfn.TEXTAFTER('Additional Cartons-WUO_ERR'!A26, ":"))))</f>
        <v/>
      </c>
    </row>
    <row r="27">
      <c r="A27" s="38">
        <f>IF('Additional Cartons'!B27 = "", "", IF('Additional Cartons-WUO_ERR'!A27 = "", "Validated", HYPERLINK("#" &amp; ADDRESS(27, 'Additional Cartons-WUO_TRK'!A27),_xlfn.TEXTAFTER('Additional Cartons-WUO_ERR'!A27, ":"))))</f>
        <v/>
      </c>
    </row>
    <row r="28">
      <c r="A28" s="38">
        <f>IF('Additional Cartons'!B28 = "", "", IF('Additional Cartons-WUO_ERR'!A28 = "", "Validated", HYPERLINK("#" &amp; ADDRESS(28, 'Additional Cartons-WUO_TRK'!A28),_xlfn.TEXTAFTER('Additional Cartons-WUO_ERR'!A28, ":"))))</f>
        <v/>
      </c>
    </row>
    <row r="29">
      <c r="A29" s="38">
        <f>IF('Additional Cartons'!B29 = "", "", IF('Additional Cartons-WUO_ERR'!A29 = "", "Validated", HYPERLINK("#" &amp; ADDRESS(29, 'Additional Cartons-WUO_TRK'!A29),_xlfn.TEXTAFTER('Additional Cartons-WUO_ERR'!A29, ":"))))</f>
        <v/>
      </c>
    </row>
    <row r="30">
      <c r="A30" s="38">
        <f>IF('Additional Cartons'!B30 = "", "", IF('Additional Cartons-WUO_ERR'!A30 = "", "Validated", HYPERLINK("#" &amp; ADDRESS(30, 'Additional Cartons-WUO_TRK'!A30),_xlfn.TEXTAFTER('Additional Cartons-WUO_ERR'!A30, ":"))))</f>
        <v/>
      </c>
    </row>
    <row r="31">
      <c r="A31" s="38">
        <f>IF('Additional Cartons'!B31 = "", "", IF('Additional Cartons-WUO_ERR'!A31 = "", "Validated", HYPERLINK("#" &amp; ADDRESS(31, 'Additional Cartons-WUO_TRK'!A31),_xlfn.TEXTAFTER('Additional Cartons-WUO_ERR'!A31, ":"))))</f>
        <v/>
      </c>
    </row>
    <row r="32">
      <c r="A32" s="38">
        <f>IF('Additional Cartons'!B32 = "", "", IF('Additional Cartons-WUO_ERR'!A32 = "", "Validated", HYPERLINK("#" &amp; ADDRESS(32, 'Additional Cartons-WUO_TRK'!A32),_xlfn.TEXTAFTER('Additional Cartons-WUO_ERR'!A32, ":"))))</f>
        <v/>
      </c>
    </row>
    <row r="33">
      <c r="A33" s="38">
        <f>IF('Additional Cartons'!B33 = "", "", IF('Additional Cartons-WUO_ERR'!A33 = "", "Validated", HYPERLINK("#" &amp; ADDRESS(33, 'Additional Cartons-WUO_TRK'!A33),_xlfn.TEXTAFTER('Additional Cartons-WUO_ERR'!A33, ":"))))</f>
        <v/>
      </c>
    </row>
    <row r="34">
      <c r="A34" s="38">
        <f>IF('Additional Cartons'!B34 = "", "", IF('Additional Cartons-WUO_ERR'!A34 = "", "Validated", HYPERLINK("#" &amp; ADDRESS(34, 'Additional Cartons-WUO_TRK'!A34),_xlfn.TEXTAFTER('Additional Cartons-WUO_ERR'!A34, ":"))))</f>
        <v/>
      </c>
    </row>
    <row r="35">
      <c r="A35" s="38">
        <f>IF('Additional Cartons'!B35 = "", "", IF('Additional Cartons-WUO_ERR'!A35 = "", "Validated", HYPERLINK("#" &amp; ADDRESS(35, 'Additional Cartons-WUO_TRK'!A35),_xlfn.TEXTAFTER('Additional Cartons-WUO_ERR'!A35, ":"))))</f>
        <v/>
      </c>
    </row>
    <row r="36">
      <c r="A36" s="38">
        <f>IF('Additional Cartons'!B36 = "", "", IF('Additional Cartons-WUO_ERR'!A36 = "", "Validated", HYPERLINK("#" &amp; ADDRESS(36, 'Additional Cartons-WUO_TRK'!A36),_xlfn.TEXTAFTER('Additional Cartons-WUO_ERR'!A36, ":"))))</f>
        <v/>
      </c>
    </row>
    <row r="37">
      <c r="A37" s="38">
        <f>IF('Additional Cartons'!B37 = "", "", IF('Additional Cartons-WUO_ERR'!A37 = "", "Validated", HYPERLINK("#" &amp; ADDRESS(37, 'Additional Cartons-WUO_TRK'!A37),_xlfn.TEXTAFTER('Additional Cartons-WUO_ERR'!A37, ":"))))</f>
        <v/>
      </c>
    </row>
    <row r="38">
      <c r="A38" s="38">
        <f>IF('Additional Cartons'!B38 = "", "", IF('Additional Cartons-WUO_ERR'!A38 = "", "Validated", HYPERLINK("#" &amp; ADDRESS(38, 'Additional Cartons-WUO_TRK'!A38),_xlfn.TEXTAFTER('Additional Cartons-WUO_ERR'!A38, ":"))))</f>
        <v/>
      </c>
    </row>
    <row r="39">
      <c r="A39" s="38">
        <f>IF('Additional Cartons'!B39 = "", "", IF('Additional Cartons-WUO_ERR'!A39 = "", "Validated", HYPERLINK("#" &amp; ADDRESS(39, 'Additional Cartons-WUO_TRK'!A39),_xlfn.TEXTAFTER('Additional Cartons-WUO_ERR'!A39, ":"))))</f>
        <v/>
      </c>
    </row>
    <row r="40">
      <c r="A40" s="38">
        <f>IF('Additional Cartons'!B40 = "", "", IF('Additional Cartons-WUO_ERR'!A40 = "", "Validated", HYPERLINK("#" &amp; ADDRESS(40, 'Additional Cartons-WUO_TRK'!A40),_xlfn.TEXTAFTER('Additional Cartons-WUO_ERR'!A40, ":"))))</f>
        <v/>
      </c>
    </row>
    <row r="41">
      <c r="A41" s="38">
        <f>IF('Additional Cartons'!B41 = "", "", IF('Additional Cartons-WUO_ERR'!A41 = "", "Validated", HYPERLINK("#" &amp; ADDRESS(41, 'Additional Cartons-WUO_TRK'!A41),_xlfn.TEXTAFTER('Additional Cartons-WUO_ERR'!A41, ":"))))</f>
        <v/>
      </c>
    </row>
    <row r="42">
      <c r="A42" s="38">
        <f>IF('Additional Cartons'!B42 = "", "", IF('Additional Cartons-WUO_ERR'!A42 = "", "Validated", HYPERLINK("#" &amp; ADDRESS(42, 'Additional Cartons-WUO_TRK'!A42),_xlfn.TEXTAFTER('Additional Cartons-WUO_ERR'!A42, ":"))))</f>
        <v/>
      </c>
    </row>
    <row r="43">
      <c r="A43" s="38">
        <f>IF('Additional Cartons'!B43 = "", "", IF('Additional Cartons-WUO_ERR'!A43 = "", "Validated", HYPERLINK("#" &amp; ADDRESS(43, 'Additional Cartons-WUO_TRK'!A43),_xlfn.TEXTAFTER('Additional Cartons-WUO_ERR'!A43, ":"))))</f>
        <v/>
      </c>
    </row>
    <row r="44">
      <c r="A44" s="38">
        <f>IF('Additional Cartons'!B44 = "", "", IF('Additional Cartons-WUO_ERR'!A44 = "", "Validated", HYPERLINK("#" &amp; ADDRESS(44, 'Additional Cartons-WUO_TRK'!A44),_xlfn.TEXTAFTER('Additional Cartons-WUO_ERR'!A44, ":"))))</f>
        <v/>
      </c>
    </row>
    <row r="45">
      <c r="A45" s="38">
        <f>IF('Additional Cartons'!B45 = "", "", IF('Additional Cartons-WUO_ERR'!A45 = "", "Validated", HYPERLINK("#" &amp; ADDRESS(45, 'Additional Cartons-WUO_TRK'!A45),_xlfn.TEXTAFTER('Additional Cartons-WUO_ERR'!A45, ":"))))</f>
        <v/>
      </c>
    </row>
    <row r="46">
      <c r="A46" s="38">
        <f>IF('Additional Cartons'!B46 = "", "", IF('Additional Cartons-WUO_ERR'!A46 = "", "Validated", HYPERLINK("#" &amp; ADDRESS(46, 'Additional Cartons-WUO_TRK'!A46),_xlfn.TEXTAFTER('Additional Cartons-WUO_ERR'!A46, ":"))))</f>
        <v/>
      </c>
    </row>
    <row r="47">
      <c r="A47" s="38">
        <f>IF('Additional Cartons'!B47 = "", "", IF('Additional Cartons-WUO_ERR'!A47 = "", "Validated", HYPERLINK("#" &amp; ADDRESS(47, 'Additional Cartons-WUO_TRK'!A47),_xlfn.TEXTAFTER('Additional Cartons-WUO_ERR'!A47, ":"))))</f>
        <v/>
      </c>
    </row>
    <row r="48">
      <c r="A48" s="38">
        <f>IF('Additional Cartons'!B48 = "", "", IF('Additional Cartons-WUO_ERR'!A48 = "", "Validated", HYPERLINK("#" &amp; ADDRESS(48, 'Additional Cartons-WUO_TRK'!A48),_xlfn.TEXTAFTER('Additional Cartons-WUO_ERR'!A48, ":"))))</f>
        <v/>
      </c>
    </row>
    <row r="49">
      <c r="A49" s="38">
        <f>IF('Additional Cartons'!B49 = "", "", IF('Additional Cartons-WUO_ERR'!A49 = "", "Validated", HYPERLINK("#" &amp; ADDRESS(49, 'Additional Cartons-WUO_TRK'!A49),_xlfn.TEXTAFTER('Additional Cartons-WUO_ERR'!A49, ":"))))</f>
        <v/>
      </c>
    </row>
    <row r="50">
      <c r="A50" s="38">
        <f>IF('Additional Cartons'!B50 = "", "", IF('Additional Cartons-WUO_ERR'!A50 = "", "Validated", HYPERLINK("#" &amp; ADDRESS(50, 'Additional Cartons-WUO_TRK'!A50),_xlfn.TEXTAFTER('Additional Cartons-WUO_ERR'!A50, ":"))))</f>
        <v/>
      </c>
    </row>
    <row r="51">
      <c r="A51" s="38">
        <f>IF('Additional Cartons'!B51 = "", "", IF('Additional Cartons-WUO_ERR'!A51 = "", "Validated", HYPERLINK("#" &amp; ADDRESS(51, 'Additional Cartons-WUO_TRK'!A51),_xlfn.TEXTAFTER('Additional Cartons-WUO_ERR'!A51, ":"))))</f>
        <v/>
      </c>
    </row>
    <row r="52">
      <c r="A52" s="38">
        <f>IF('Additional Cartons'!B52 = "", "", IF('Additional Cartons-WUO_ERR'!A52 = "", "Validated", HYPERLINK("#" &amp; ADDRESS(52, 'Additional Cartons-WUO_TRK'!A52),_xlfn.TEXTAFTER('Additional Cartons-WUO_ERR'!A52, ":"))))</f>
        <v/>
      </c>
    </row>
    <row r="53">
      <c r="A53" s="38">
        <f>IF('Additional Cartons'!B53 = "", "", IF('Additional Cartons-WUO_ERR'!A53 = "", "Validated", HYPERLINK("#" &amp; ADDRESS(53, 'Additional Cartons-WUO_TRK'!A53),_xlfn.TEXTAFTER('Additional Cartons-WUO_ERR'!A53, ":"))))</f>
        <v/>
      </c>
    </row>
    <row r="54">
      <c r="A54" s="38">
        <f>IF('Additional Cartons'!B54 = "", "", IF('Additional Cartons-WUO_ERR'!A54 = "", "Validated", HYPERLINK("#" &amp; ADDRESS(54, 'Additional Cartons-WUO_TRK'!A54),_xlfn.TEXTAFTER('Additional Cartons-WUO_ERR'!A54, ":"))))</f>
        <v/>
      </c>
    </row>
    <row r="55">
      <c r="A55" s="38">
        <f>IF('Additional Cartons'!B55 = "", "", IF('Additional Cartons-WUO_ERR'!A55 = "", "Validated", HYPERLINK("#" &amp; ADDRESS(55, 'Additional Cartons-WUO_TRK'!A55),_xlfn.TEXTAFTER('Additional Cartons-WUO_ERR'!A55, ":"))))</f>
        <v/>
      </c>
    </row>
    <row r="56">
      <c r="A56" s="38">
        <f>IF('Additional Cartons'!B56 = "", "", IF('Additional Cartons-WUO_ERR'!A56 = "", "Validated", HYPERLINK("#" &amp; ADDRESS(56, 'Additional Cartons-WUO_TRK'!A56),_xlfn.TEXTAFTER('Additional Cartons-WUO_ERR'!A56, ":"))))</f>
        <v/>
      </c>
    </row>
    <row r="57">
      <c r="A57" s="38">
        <f>IF('Additional Cartons'!B57 = "", "", IF('Additional Cartons-WUO_ERR'!A57 = "", "Validated", HYPERLINK("#" &amp; ADDRESS(57, 'Additional Cartons-WUO_TRK'!A57),_xlfn.TEXTAFTER('Additional Cartons-WUO_ERR'!A57, ":"))))</f>
        <v/>
      </c>
    </row>
    <row r="58">
      <c r="A58" s="38">
        <f>IF('Additional Cartons'!B58 = "", "", IF('Additional Cartons-WUO_ERR'!A58 = "", "Validated", HYPERLINK("#" &amp; ADDRESS(58, 'Additional Cartons-WUO_TRK'!A58),_xlfn.TEXTAFTER('Additional Cartons-WUO_ERR'!A58, ":"))))</f>
        <v/>
      </c>
    </row>
    <row r="59">
      <c r="A59" s="38">
        <f>IF('Additional Cartons'!B59 = "", "", IF('Additional Cartons-WUO_ERR'!A59 = "", "Validated", HYPERLINK("#" &amp; ADDRESS(59, 'Additional Cartons-WUO_TRK'!A59),_xlfn.TEXTAFTER('Additional Cartons-WUO_ERR'!A59, ":"))))</f>
        <v/>
      </c>
    </row>
    <row r="60">
      <c r="A60" s="38">
        <f>IF('Additional Cartons'!B60 = "", "", IF('Additional Cartons-WUO_ERR'!A60 = "", "Validated", HYPERLINK("#" &amp; ADDRESS(60, 'Additional Cartons-WUO_TRK'!A60),_xlfn.TEXTAFTER('Additional Cartons-WUO_ERR'!A60, ":"))))</f>
        <v/>
      </c>
    </row>
    <row r="61">
      <c r="A61" s="38">
        <f>IF('Additional Cartons'!B61 = "", "", IF('Additional Cartons-WUO_ERR'!A61 = "", "Validated", HYPERLINK("#" &amp; ADDRESS(61, 'Additional Cartons-WUO_TRK'!A61),_xlfn.TEXTAFTER('Additional Cartons-WUO_ERR'!A61, ":"))))</f>
        <v/>
      </c>
    </row>
    <row r="62">
      <c r="A62" s="38">
        <f>IF('Additional Cartons'!B62 = "", "", IF('Additional Cartons-WUO_ERR'!A62 = "", "Validated", HYPERLINK("#" &amp; ADDRESS(62, 'Additional Cartons-WUO_TRK'!A62),_xlfn.TEXTAFTER('Additional Cartons-WUO_ERR'!A62, ":"))))</f>
        <v/>
      </c>
    </row>
    <row r="63">
      <c r="A63" s="38">
        <f>IF('Additional Cartons'!B63 = "", "", IF('Additional Cartons-WUO_ERR'!A63 = "", "Validated", HYPERLINK("#" &amp; ADDRESS(63, 'Additional Cartons-WUO_TRK'!A63),_xlfn.TEXTAFTER('Additional Cartons-WUO_ERR'!A63, ":"))))</f>
        <v/>
      </c>
    </row>
    <row r="64">
      <c r="A64" s="38">
        <f>IF('Additional Cartons'!B64 = "", "", IF('Additional Cartons-WUO_ERR'!A64 = "", "Validated", HYPERLINK("#" &amp; ADDRESS(64, 'Additional Cartons-WUO_TRK'!A64),_xlfn.TEXTAFTER('Additional Cartons-WUO_ERR'!A64, ":"))))</f>
        <v/>
      </c>
    </row>
    <row r="65">
      <c r="A65" s="38">
        <f>IF('Additional Cartons'!B65 = "", "", IF('Additional Cartons-WUO_ERR'!A65 = "", "Validated", HYPERLINK("#" &amp; ADDRESS(65, 'Additional Cartons-WUO_TRK'!A65),_xlfn.TEXTAFTER('Additional Cartons-WUO_ERR'!A65, ":"))))</f>
        <v/>
      </c>
    </row>
    <row r="66">
      <c r="A66" s="38">
        <f>IF('Additional Cartons'!B66 = "", "", IF('Additional Cartons-WUO_ERR'!A66 = "", "Validated", HYPERLINK("#" &amp; ADDRESS(66, 'Additional Cartons-WUO_TRK'!A66),_xlfn.TEXTAFTER('Additional Cartons-WUO_ERR'!A66, ":"))))</f>
        <v/>
      </c>
    </row>
    <row r="67">
      <c r="A67" s="38">
        <f>IF('Additional Cartons'!B67 = "", "", IF('Additional Cartons-WUO_ERR'!A67 = "", "Validated", HYPERLINK("#" &amp; ADDRESS(67, 'Additional Cartons-WUO_TRK'!A67),_xlfn.TEXTAFTER('Additional Cartons-WUO_ERR'!A67, ":"))))</f>
        <v/>
      </c>
    </row>
    <row r="68">
      <c r="A68" s="38">
        <f>IF('Additional Cartons'!B68 = "", "", IF('Additional Cartons-WUO_ERR'!A68 = "", "Validated", HYPERLINK("#" &amp; ADDRESS(68, 'Additional Cartons-WUO_TRK'!A68),_xlfn.TEXTAFTER('Additional Cartons-WUO_ERR'!A68, ":"))))</f>
        <v/>
      </c>
    </row>
    <row r="69">
      <c r="A69" s="38">
        <f>IF('Additional Cartons'!B69 = "", "", IF('Additional Cartons-WUO_ERR'!A69 = "", "Validated", HYPERLINK("#" &amp; ADDRESS(69, 'Additional Cartons-WUO_TRK'!A69),_xlfn.TEXTAFTER('Additional Cartons-WUO_ERR'!A69, ":"))))</f>
        <v/>
      </c>
    </row>
    <row r="70">
      <c r="A70" s="38">
        <f>IF('Additional Cartons'!B70 = "", "", IF('Additional Cartons-WUO_ERR'!A70 = "", "Validated", HYPERLINK("#" &amp; ADDRESS(70, 'Additional Cartons-WUO_TRK'!A70),_xlfn.TEXTAFTER('Additional Cartons-WUO_ERR'!A70, ":"))))</f>
        <v/>
      </c>
    </row>
    <row r="71">
      <c r="A71" s="38">
        <f>IF('Additional Cartons'!B71 = "", "", IF('Additional Cartons-WUO_ERR'!A71 = "", "Validated", HYPERLINK("#" &amp; ADDRESS(71, 'Additional Cartons-WUO_TRK'!A71),_xlfn.TEXTAFTER('Additional Cartons-WUO_ERR'!A71, ":"))))</f>
        <v/>
      </c>
    </row>
    <row r="72">
      <c r="A72" s="38">
        <f>IF('Additional Cartons'!B72 = "", "", IF('Additional Cartons-WUO_ERR'!A72 = "", "Validated", HYPERLINK("#" &amp; ADDRESS(72, 'Additional Cartons-WUO_TRK'!A72),_xlfn.TEXTAFTER('Additional Cartons-WUO_ERR'!A72, ":"))))</f>
        <v/>
      </c>
    </row>
    <row r="73">
      <c r="A73" s="38">
        <f>IF('Additional Cartons'!B73 = "", "", IF('Additional Cartons-WUO_ERR'!A73 = "", "Validated", HYPERLINK("#" &amp; ADDRESS(73, 'Additional Cartons-WUO_TRK'!A73),_xlfn.TEXTAFTER('Additional Cartons-WUO_ERR'!A73, ":"))))</f>
        <v/>
      </c>
    </row>
    <row r="74">
      <c r="A74" s="38">
        <f>IF('Additional Cartons'!B74 = "", "", IF('Additional Cartons-WUO_ERR'!A74 = "", "Validated", HYPERLINK("#" &amp; ADDRESS(74, 'Additional Cartons-WUO_TRK'!A74),_xlfn.TEXTAFTER('Additional Cartons-WUO_ERR'!A74, ":"))))</f>
        <v/>
      </c>
    </row>
    <row r="75">
      <c r="A75" s="38">
        <f>IF('Additional Cartons'!B75 = "", "", IF('Additional Cartons-WUO_ERR'!A75 = "", "Validated", HYPERLINK("#" &amp; ADDRESS(75, 'Additional Cartons-WUO_TRK'!A75),_xlfn.TEXTAFTER('Additional Cartons-WUO_ERR'!A75, ":"))))</f>
        <v/>
      </c>
    </row>
    <row r="76">
      <c r="A76" s="38">
        <f>IF('Additional Cartons'!B76 = "", "", IF('Additional Cartons-WUO_ERR'!A76 = "", "Validated", HYPERLINK("#" &amp; ADDRESS(76, 'Additional Cartons-WUO_TRK'!A76),_xlfn.TEXTAFTER('Additional Cartons-WUO_ERR'!A76, ":"))))</f>
        <v/>
      </c>
    </row>
    <row r="77">
      <c r="A77" s="38">
        <f>IF('Additional Cartons'!B77 = "", "", IF('Additional Cartons-WUO_ERR'!A77 = "", "Validated", HYPERLINK("#" &amp; ADDRESS(77, 'Additional Cartons-WUO_TRK'!A77),_xlfn.TEXTAFTER('Additional Cartons-WUO_ERR'!A77, ":"))))</f>
        <v/>
      </c>
    </row>
    <row r="78">
      <c r="A78" s="38">
        <f>IF('Additional Cartons'!B78 = "", "", IF('Additional Cartons-WUO_ERR'!A78 = "", "Validated", HYPERLINK("#" &amp; ADDRESS(78, 'Additional Cartons-WUO_TRK'!A78),_xlfn.TEXTAFTER('Additional Cartons-WUO_ERR'!A78, ":"))))</f>
        <v/>
      </c>
    </row>
    <row r="79">
      <c r="A79" s="38">
        <f>IF('Additional Cartons'!B79 = "", "", IF('Additional Cartons-WUO_ERR'!A79 = "", "Validated", HYPERLINK("#" &amp; ADDRESS(79, 'Additional Cartons-WUO_TRK'!A79),_xlfn.TEXTAFTER('Additional Cartons-WUO_ERR'!A79, ":"))))</f>
        <v/>
      </c>
    </row>
    <row r="80">
      <c r="A80" s="38">
        <f>IF('Additional Cartons'!B80 = "", "", IF('Additional Cartons-WUO_ERR'!A80 = "", "Validated", HYPERLINK("#" &amp; ADDRESS(80, 'Additional Cartons-WUO_TRK'!A80),_xlfn.TEXTAFTER('Additional Cartons-WUO_ERR'!A80, ":"))))</f>
        <v/>
      </c>
    </row>
    <row r="81">
      <c r="A81" s="38">
        <f>IF('Additional Cartons'!B81 = "", "", IF('Additional Cartons-WUO_ERR'!A81 = "", "Validated", HYPERLINK("#" &amp; ADDRESS(81, 'Additional Cartons-WUO_TRK'!A81),_xlfn.TEXTAFTER('Additional Cartons-WUO_ERR'!A81, ":"))))</f>
        <v/>
      </c>
    </row>
    <row r="82">
      <c r="A82" s="38">
        <f>IF('Additional Cartons'!B82 = "", "", IF('Additional Cartons-WUO_ERR'!A82 = "", "Validated", HYPERLINK("#" &amp; ADDRESS(82, 'Additional Cartons-WUO_TRK'!A82),_xlfn.TEXTAFTER('Additional Cartons-WUO_ERR'!A82, ":"))))</f>
        <v/>
      </c>
    </row>
    <row r="83">
      <c r="A83" s="38">
        <f>IF('Additional Cartons'!B83 = "", "", IF('Additional Cartons-WUO_ERR'!A83 = "", "Validated", HYPERLINK("#" &amp; ADDRESS(83, 'Additional Cartons-WUO_TRK'!A83),_xlfn.TEXTAFTER('Additional Cartons-WUO_ERR'!A83, ":"))))</f>
        <v/>
      </c>
    </row>
    <row r="84">
      <c r="A84" s="38">
        <f>IF('Additional Cartons'!B84 = "", "", IF('Additional Cartons-WUO_ERR'!A84 = "", "Validated", HYPERLINK("#" &amp; ADDRESS(84, 'Additional Cartons-WUO_TRK'!A84),_xlfn.TEXTAFTER('Additional Cartons-WUO_ERR'!A84, ":"))))</f>
        <v/>
      </c>
    </row>
    <row r="85">
      <c r="A85" s="38">
        <f>IF('Additional Cartons'!B85 = "", "", IF('Additional Cartons-WUO_ERR'!A85 = "", "Validated", HYPERLINK("#" &amp; ADDRESS(85, 'Additional Cartons-WUO_TRK'!A85),_xlfn.TEXTAFTER('Additional Cartons-WUO_ERR'!A85, ":"))))</f>
        <v/>
      </c>
    </row>
    <row r="86">
      <c r="A86" s="38">
        <f>IF('Additional Cartons'!B86 = "", "", IF('Additional Cartons-WUO_ERR'!A86 = "", "Validated", HYPERLINK("#" &amp; ADDRESS(86, 'Additional Cartons-WUO_TRK'!A86),_xlfn.TEXTAFTER('Additional Cartons-WUO_ERR'!A86, ":"))))</f>
        <v/>
      </c>
    </row>
    <row r="87">
      <c r="A87" s="38">
        <f>IF('Additional Cartons'!B87 = "", "", IF('Additional Cartons-WUO_ERR'!A87 = "", "Validated", HYPERLINK("#" &amp; ADDRESS(87, 'Additional Cartons-WUO_TRK'!A87),_xlfn.TEXTAFTER('Additional Cartons-WUO_ERR'!A87, ":"))))</f>
        <v/>
      </c>
    </row>
    <row r="88">
      <c r="A88" s="38">
        <f>IF('Additional Cartons'!B88 = "", "", IF('Additional Cartons-WUO_ERR'!A88 = "", "Validated", HYPERLINK("#" &amp; ADDRESS(88, 'Additional Cartons-WUO_TRK'!A88),_xlfn.TEXTAFTER('Additional Cartons-WUO_ERR'!A88, ":"))))</f>
        <v/>
      </c>
    </row>
    <row r="89">
      <c r="A89" s="38">
        <f>IF('Additional Cartons'!B89 = "", "", IF('Additional Cartons-WUO_ERR'!A89 = "", "Validated", HYPERLINK("#" &amp; ADDRESS(89, 'Additional Cartons-WUO_TRK'!A89),_xlfn.TEXTAFTER('Additional Cartons-WUO_ERR'!A89, ":"))))</f>
        <v/>
      </c>
    </row>
    <row r="90">
      <c r="A90" s="38">
        <f>IF('Additional Cartons'!B90 = "", "", IF('Additional Cartons-WUO_ERR'!A90 = "", "Validated", HYPERLINK("#" &amp; ADDRESS(90, 'Additional Cartons-WUO_TRK'!A90),_xlfn.TEXTAFTER('Additional Cartons-WUO_ERR'!A90, ":"))))</f>
        <v/>
      </c>
    </row>
    <row r="91">
      <c r="A91" s="38">
        <f>IF('Additional Cartons'!B91 = "", "", IF('Additional Cartons-WUO_ERR'!A91 = "", "Validated", HYPERLINK("#" &amp; ADDRESS(91, 'Additional Cartons-WUO_TRK'!A91),_xlfn.TEXTAFTER('Additional Cartons-WUO_ERR'!A91, ":"))))</f>
        <v/>
      </c>
    </row>
    <row r="92">
      <c r="A92" s="38">
        <f>IF('Additional Cartons'!B92 = "", "", IF('Additional Cartons-WUO_ERR'!A92 = "", "Validated", HYPERLINK("#" &amp; ADDRESS(92, 'Additional Cartons-WUO_TRK'!A92),_xlfn.TEXTAFTER('Additional Cartons-WUO_ERR'!A92, ":"))))</f>
        <v/>
      </c>
    </row>
    <row r="93">
      <c r="A93" s="38">
        <f>IF('Additional Cartons'!B93 = "", "", IF('Additional Cartons-WUO_ERR'!A93 = "", "Validated", HYPERLINK("#" &amp; ADDRESS(93, 'Additional Cartons-WUO_TRK'!A93),_xlfn.TEXTAFTER('Additional Cartons-WUO_ERR'!A93, ":"))))</f>
        <v/>
      </c>
    </row>
    <row r="94">
      <c r="A94" s="38">
        <f>IF('Additional Cartons'!B94 = "", "", IF('Additional Cartons-WUO_ERR'!A94 = "", "Validated", HYPERLINK("#" &amp; ADDRESS(94, 'Additional Cartons-WUO_TRK'!A94),_xlfn.TEXTAFTER('Additional Cartons-WUO_ERR'!A94, ":"))))</f>
        <v/>
      </c>
    </row>
    <row r="95">
      <c r="A95" s="38">
        <f>IF('Additional Cartons'!B95 = "", "", IF('Additional Cartons-WUO_ERR'!A95 = "", "Validated", HYPERLINK("#" &amp; ADDRESS(95, 'Additional Cartons-WUO_TRK'!A95),_xlfn.TEXTAFTER('Additional Cartons-WUO_ERR'!A95, ":"))))</f>
        <v/>
      </c>
    </row>
    <row r="96">
      <c r="A96" s="38">
        <f>IF('Additional Cartons'!B96 = "", "", IF('Additional Cartons-WUO_ERR'!A96 = "", "Validated", HYPERLINK("#" &amp; ADDRESS(96, 'Additional Cartons-WUO_TRK'!A96),_xlfn.TEXTAFTER('Additional Cartons-WUO_ERR'!A96, ":"))))</f>
        <v/>
      </c>
    </row>
    <row r="97">
      <c r="A97" s="38">
        <f>IF('Additional Cartons'!B97 = "", "", IF('Additional Cartons-WUO_ERR'!A97 = "", "Validated", HYPERLINK("#" &amp; ADDRESS(97, 'Additional Cartons-WUO_TRK'!A97),_xlfn.TEXTAFTER('Additional Cartons-WUO_ERR'!A97, ":"))))</f>
        <v/>
      </c>
    </row>
    <row r="98">
      <c r="A98" s="38">
        <f>IF('Additional Cartons'!B98 = "", "", IF('Additional Cartons-WUO_ERR'!A98 = "", "Validated", HYPERLINK("#" &amp; ADDRESS(98, 'Additional Cartons-WUO_TRK'!A98),_xlfn.TEXTAFTER('Additional Cartons-WUO_ERR'!A98, ":"))))</f>
        <v/>
      </c>
    </row>
    <row r="99">
      <c r="A99" s="38">
        <f>IF('Additional Cartons'!B99 = "", "", IF('Additional Cartons-WUO_ERR'!A99 = "", "Validated", HYPERLINK("#" &amp; ADDRESS(99, 'Additional Cartons-WUO_TRK'!A99),_xlfn.TEXTAFTER('Additional Cartons-WUO_ERR'!A99, ":"))))</f>
        <v/>
      </c>
    </row>
    <row r="100">
      <c r="A100" s="38">
        <f>IF('Additional Cartons'!B100 = "", "", IF('Additional Cartons-WUO_ERR'!A100 = "", "Validated", HYPERLINK("#" &amp; ADDRESS(100, 'Additional Cartons-WUO_TRK'!A100),_xlfn.TEXTAFTER('Additional Cartons-WUO_ERR'!A100, ":"))))</f>
        <v/>
      </c>
    </row>
    <row r="101">
      <c r="A101" s="38">
        <f>IF('Additional Cartons'!B101 = "", "", IF('Additional Cartons-WUO_ERR'!A101 = "", "Validated", HYPERLINK("#" &amp; ADDRESS(101, 'Additional Cartons-WUO_TRK'!A101),_xlfn.TEXTAFTER('Additional Cartons-WUO_ERR'!A101, ":"))))</f>
        <v/>
      </c>
    </row>
    <row r="102">
      <c r="A102" s="38">
        <f>IF('Additional Cartons'!B102 = "", "", IF('Additional Cartons-WUO_ERR'!A102 = "", "Validated", HYPERLINK("#" &amp; ADDRESS(102, 'Additional Cartons-WUO_TRK'!A102),_xlfn.TEXTAFTER('Additional Cartons-WUO_ERR'!A102, ":"))))</f>
        <v/>
      </c>
    </row>
    <row r="103">
      <c r="A103" s="38">
        <f>IF('Additional Cartons'!B103 = "", "", IF('Additional Cartons-WUO_ERR'!A103 = "", "Validated", HYPERLINK("#" &amp; ADDRESS(103, 'Additional Cartons-WUO_TRK'!A103),_xlfn.TEXTAFTER('Additional Cartons-WUO_ERR'!A103, ":"))))</f>
        <v/>
      </c>
    </row>
    <row r="104">
      <c r="A104" s="38">
        <f>IF('Additional Cartons'!B104 = "", "", IF('Additional Cartons-WUO_ERR'!A104 = "", "Validated", HYPERLINK("#" &amp; ADDRESS(104, 'Additional Cartons-WUO_TRK'!A104),_xlfn.TEXTAFTER('Additional Cartons-WUO_ERR'!A104, ":"))))</f>
        <v/>
      </c>
    </row>
    <row r="105">
      <c r="A105" s="38">
        <f>IF('Additional Cartons'!B105 = "", "", IF('Additional Cartons-WUO_ERR'!A105 = "", "Validated", HYPERLINK("#" &amp; ADDRESS(105, 'Additional Cartons-WUO_TRK'!A105),_xlfn.TEXTAFTER('Additional Cartons-WUO_ERR'!A105, ":"))))</f>
        <v/>
      </c>
    </row>
    <row r="106">
      <c r="A106" s="38">
        <f>IF('Additional Cartons'!B106 = "", "", IF('Additional Cartons-WUO_ERR'!A106 = "", "Validated", HYPERLINK("#" &amp; ADDRESS(106, 'Additional Cartons-WUO_TRK'!A106),_xlfn.TEXTAFTER('Additional Cartons-WUO_ERR'!A106, ":"))))</f>
        <v/>
      </c>
    </row>
    <row r="107">
      <c r="A107" s="38">
        <f>IF('Additional Cartons'!B107 = "", "", IF('Additional Cartons-WUO_ERR'!A107 = "", "Validated", HYPERLINK("#" &amp; ADDRESS(107, 'Additional Cartons-WUO_TRK'!A107),_xlfn.TEXTAFTER('Additional Cartons-WUO_ERR'!A107, ":"))))</f>
        <v/>
      </c>
    </row>
    <row r="108">
      <c r="A108" s="38">
        <f>IF('Additional Cartons'!B108 = "", "", IF('Additional Cartons-WUO_ERR'!A108 = "", "Validated", HYPERLINK("#" &amp; ADDRESS(108, 'Additional Cartons-WUO_TRK'!A108),_xlfn.TEXTAFTER('Additional Cartons-WUO_ERR'!A108, ":"))))</f>
        <v/>
      </c>
    </row>
    <row r="109">
      <c r="A109" s="38">
        <f>IF('Additional Cartons'!B109 = "", "", IF('Additional Cartons-WUO_ERR'!A109 = "", "Validated", HYPERLINK("#" &amp; ADDRESS(109, 'Additional Cartons-WUO_TRK'!A109),_xlfn.TEXTAFTER('Additional Cartons-WUO_ERR'!A109, ":"))))</f>
        <v/>
      </c>
    </row>
    <row r="110">
      <c r="A110" s="38">
        <f>IF('Additional Cartons'!B110 = "", "", IF('Additional Cartons-WUO_ERR'!A110 = "", "Validated", HYPERLINK("#" &amp; ADDRESS(110, 'Additional Cartons-WUO_TRK'!A110),_xlfn.TEXTAFTER('Additional Cartons-WUO_ERR'!A110, ":"))))</f>
        <v/>
      </c>
    </row>
    <row r="111">
      <c r="A111" s="38">
        <f>IF('Additional Cartons'!B111 = "", "", IF('Additional Cartons-WUO_ERR'!A111 = "", "Validated", HYPERLINK("#" &amp; ADDRESS(111, 'Additional Cartons-WUO_TRK'!A111),_xlfn.TEXTAFTER('Additional Cartons-WUO_ERR'!A111, ":"))))</f>
        <v/>
      </c>
    </row>
    <row r="112">
      <c r="A112" s="38">
        <f>IF('Additional Cartons'!B112 = "", "", IF('Additional Cartons-WUO_ERR'!A112 = "", "Validated", HYPERLINK("#" &amp; ADDRESS(112, 'Additional Cartons-WUO_TRK'!A112),_xlfn.TEXTAFTER('Additional Cartons-WUO_ERR'!A112, ":"))))</f>
        <v/>
      </c>
    </row>
    <row r="113">
      <c r="A113" s="38">
        <f>IF('Additional Cartons'!B113 = "", "", IF('Additional Cartons-WUO_ERR'!A113 = "", "Validated", HYPERLINK("#" &amp; ADDRESS(113, 'Additional Cartons-WUO_TRK'!A113),_xlfn.TEXTAFTER('Additional Cartons-WUO_ERR'!A113, ":"))))</f>
        <v/>
      </c>
    </row>
    <row r="114">
      <c r="A114" s="38">
        <f>IF('Additional Cartons'!B114 = "", "", IF('Additional Cartons-WUO_ERR'!A114 = "", "Validated", HYPERLINK("#" &amp; ADDRESS(114, 'Additional Cartons-WUO_TRK'!A114),_xlfn.TEXTAFTER('Additional Cartons-WUO_ERR'!A114, ":"))))</f>
        <v/>
      </c>
    </row>
    <row r="115">
      <c r="A115" s="38">
        <f>IF('Additional Cartons'!B115 = "", "", IF('Additional Cartons-WUO_ERR'!A115 = "", "Validated", HYPERLINK("#" &amp; ADDRESS(115, 'Additional Cartons-WUO_TRK'!A115),_xlfn.TEXTAFTER('Additional Cartons-WUO_ERR'!A115, ":"))))</f>
        <v/>
      </c>
    </row>
    <row r="116">
      <c r="A116" s="38">
        <f>IF('Additional Cartons'!B116 = "", "", IF('Additional Cartons-WUO_ERR'!A116 = "", "Validated", HYPERLINK("#" &amp; ADDRESS(116, 'Additional Cartons-WUO_TRK'!A116),_xlfn.TEXTAFTER('Additional Cartons-WUO_ERR'!A116, ":"))))</f>
        <v/>
      </c>
    </row>
    <row r="117">
      <c r="A117" s="38">
        <f>IF('Additional Cartons'!B117 = "", "", IF('Additional Cartons-WUO_ERR'!A117 = "", "Validated", HYPERLINK("#" &amp; ADDRESS(117, 'Additional Cartons-WUO_TRK'!A117),_xlfn.TEXTAFTER('Additional Cartons-WUO_ERR'!A117, ":"))))</f>
        <v/>
      </c>
    </row>
    <row r="118">
      <c r="A118" s="38">
        <f>IF('Additional Cartons'!B118 = "", "", IF('Additional Cartons-WUO_ERR'!A118 = "", "Validated", HYPERLINK("#" &amp; ADDRESS(118, 'Additional Cartons-WUO_TRK'!A118),_xlfn.TEXTAFTER('Additional Cartons-WUO_ERR'!A118, ":"))))</f>
        <v/>
      </c>
    </row>
    <row r="119">
      <c r="A119" s="38">
        <f>IF('Additional Cartons'!B119 = "", "", IF('Additional Cartons-WUO_ERR'!A119 = "", "Validated", HYPERLINK("#" &amp; ADDRESS(119, 'Additional Cartons-WUO_TRK'!A119),_xlfn.TEXTAFTER('Additional Cartons-WUO_ERR'!A119, ":"))))</f>
        <v/>
      </c>
    </row>
    <row r="120">
      <c r="A120" s="38">
        <f>IF('Additional Cartons'!B120 = "", "", IF('Additional Cartons-WUO_ERR'!A120 = "", "Validated", HYPERLINK("#" &amp; ADDRESS(120, 'Additional Cartons-WUO_TRK'!A120),_xlfn.TEXTAFTER('Additional Cartons-WUO_ERR'!A120, ":"))))</f>
        <v/>
      </c>
    </row>
    <row r="121">
      <c r="A121" s="38">
        <f>IF('Additional Cartons'!B121 = "", "", IF('Additional Cartons-WUO_ERR'!A121 = "", "Validated", HYPERLINK("#" &amp; ADDRESS(121, 'Additional Cartons-WUO_TRK'!A121),_xlfn.TEXTAFTER('Additional Cartons-WUO_ERR'!A121, ":"))))</f>
        <v/>
      </c>
    </row>
    <row r="122">
      <c r="A122" s="38">
        <f>IF('Additional Cartons'!B122 = "", "", IF('Additional Cartons-WUO_ERR'!A122 = "", "Validated", HYPERLINK("#" &amp; ADDRESS(122, 'Additional Cartons-WUO_TRK'!A122),_xlfn.TEXTAFTER('Additional Cartons-WUO_ERR'!A122, ":"))))</f>
        <v/>
      </c>
    </row>
    <row r="123">
      <c r="A123" s="38">
        <f>IF('Additional Cartons'!B123 = "", "", IF('Additional Cartons-WUO_ERR'!A123 = "", "Validated", HYPERLINK("#" &amp; ADDRESS(123, 'Additional Cartons-WUO_TRK'!A123),_xlfn.TEXTAFTER('Additional Cartons-WUO_ERR'!A123, ":"))))</f>
        <v/>
      </c>
    </row>
    <row r="124">
      <c r="A124" s="38">
        <f>IF('Additional Cartons'!B124 = "", "", IF('Additional Cartons-WUO_ERR'!A124 = "", "Validated", HYPERLINK("#" &amp; ADDRESS(124, 'Additional Cartons-WUO_TRK'!A124),_xlfn.TEXTAFTER('Additional Cartons-WUO_ERR'!A124, ":"))))</f>
        <v/>
      </c>
    </row>
    <row r="125">
      <c r="A125" s="38">
        <f>IF('Additional Cartons'!B125 = "", "", IF('Additional Cartons-WUO_ERR'!A125 = "", "Validated", HYPERLINK("#" &amp; ADDRESS(125, 'Additional Cartons-WUO_TRK'!A125),_xlfn.TEXTAFTER('Additional Cartons-WUO_ERR'!A125, ":"))))</f>
        <v/>
      </c>
    </row>
    <row r="126">
      <c r="A126" s="38">
        <f>IF('Additional Cartons'!B126 = "", "", IF('Additional Cartons-WUO_ERR'!A126 = "", "Validated", HYPERLINK("#" &amp; ADDRESS(126, 'Additional Cartons-WUO_TRK'!A126),_xlfn.TEXTAFTER('Additional Cartons-WUO_ERR'!A126, ":"))))</f>
        <v/>
      </c>
    </row>
    <row r="127">
      <c r="A127" s="38">
        <f>IF('Additional Cartons'!B127 = "", "", IF('Additional Cartons-WUO_ERR'!A127 = "", "Validated", HYPERLINK("#" &amp; ADDRESS(127, 'Additional Cartons-WUO_TRK'!A127),_xlfn.TEXTAFTER('Additional Cartons-WUO_ERR'!A127, ":"))))</f>
        <v/>
      </c>
    </row>
    <row r="128">
      <c r="A128" s="38">
        <f>IF('Additional Cartons'!B128 = "", "", IF('Additional Cartons-WUO_ERR'!A128 = "", "Validated", HYPERLINK("#" &amp; ADDRESS(128, 'Additional Cartons-WUO_TRK'!A128),_xlfn.TEXTAFTER('Additional Cartons-WUO_ERR'!A128, ":"))))</f>
        <v/>
      </c>
    </row>
    <row r="129">
      <c r="A129" s="38">
        <f>IF('Additional Cartons'!B129 = "", "", IF('Additional Cartons-WUO_ERR'!A129 = "", "Validated", HYPERLINK("#" &amp; ADDRESS(129, 'Additional Cartons-WUO_TRK'!A129),_xlfn.TEXTAFTER('Additional Cartons-WUO_ERR'!A129, ":"))))</f>
        <v/>
      </c>
    </row>
    <row r="130">
      <c r="A130" s="38">
        <f>IF('Additional Cartons'!B130 = "", "", IF('Additional Cartons-WUO_ERR'!A130 = "", "Validated", HYPERLINK("#" &amp; ADDRESS(130, 'Additional Cartons-WUO_TRK'!A130),_xlfn.TEXTAFTER('Additional Cartons-WUO_ERR'!A130, ":"))))</f>
        <v/>
      </c>
    </row>
    <row r="131">
      <c r="A131" s="38">
        <f>IF('Additional Cartons'!B131 = "", "", IF('Additional Cartons-WUO_ERR'!A131 = "", "Validated", HYPERLINK("#" &amp; ADDRESS(131, 'Additional Cartons-WUO_TRK'!A131),_xlfn.TEXTAFTER('Additional Cartons-WUO_ERR'!A131, ":"))))</f>
        <v/>
      </c>
    </row>
    <row r="132">
      <c r="A132" s="38">
        <f>IF('Additional Cartons'!B132 = "", "", IF('Additional Cartons-WUO_ERR'!A132 = "", "Validated", HYPERLINK("#" &amp; ADDRESS(132, 'Additional Cartons-WUO_TRK'!A132),_xlfn.TEXTAFTER('Additional Cartons-WUO_ERR'!A132, ":"))))</f>
        <v/>
      </c>
    </row>
    <row r="133">
      <c r="A133" s="38">
        <f>IF('Additional Cartons'!B133 = "", "", IF('Additional Cartons-WUO_ERR'!A133 = "", "Validated", HYPERLINK("#" &amp; ADDRESS(133, 'Additional Cartons-WUO_TRK'!A133),_xlfn.TEXTAFTER('Additional Cartons-WUO_ERR'!A133, ":"))))</f>
        <v/>
      </c>
    </row>
    <row r="134">
      <c r="A134" s="38">
        <f>IF('Additional Cartons'!B134 = "", "", IF('Additional Cartons-WUO_ERR'!A134 = "", "Validated", HYPERLINK("#" &amp; ADDRESS(134, 'Additional Cartons-WUO_TRK'!A134),_xlfn.TEXTAFTER('Additional Cartons-WUO_ERR'!A134, ":"))))</f>
        <v/>
      </c>
    </row>
    <row r="135">
      <c r="A135" s="38">
        <f>IF('Additional Cartons'!B135 = "", "", IF('Additional Cartons-WUO_ERR'!A135 = "", "Validated", HYPERLINK("#" &amp; ADDRESS(135, 'Additional Cartons-WUO_TRK'!A135),_xlfn.TEXTAFTER('Additional Cartons-WUO_ERR'!A135, ":"))))</f>
        <v/>
      </c>
    </row>
    <row r="136">
      <c r="A136" s="38">
        <f>IF('Additional Cartons'!B136 = "", "", IF('Additional Cartons-WUO_ERR'!A136 = "", "Validated", HYPERLINK("#" &amp; ADDRESS(136, 'Additional Cartons-WUO_TRK'!A136),_xlfn.TEXTAFTER('Additional Cartons-WUO_ERR'!A136, ":"))))</f>
        <v/>
      </c>
    </row>
    <row r="137">
      <c r="A137" s="38">
        <f>IF('Additional Cartons'!B137 = "", "", IF('Additional Cartons-WUO_ERR'!A137 = "", "Validated", HYPERLINK("#" &amp; ADDRESS(137, 'Additional Cartons-WUO_TRK'!A137),_xlfn.TEXTAFTER('Additional Cartons-WUO_ERR'!A137, ":"))))</f>
        <v/>
      </c>
    </row>
    <row r="138">
      <c r="A138" s="38">
        <f>IF('Additional Cartons'!B138 = "", "", IF('Additional Cartons-WUO_ERR'!A138 = "", "Validated", HYPERLINK("#" &amp; ADDRESS(138, 'Additional Cartons-WUO_TRK'!A138),_xlfn.TEXTAFTER('Additional Cartons-WUO_ERR'!A138, ":"))))</f>
        <v/>
      </c>
    </row>
    <row r="139">
      <c r="A139" s="38">
        <f>IF('Additional Cartons'!B139 = "", "", IF('Additional Cartons-WUO_ERR'!A139 = "", "Validated", HYPERLINK("#" &amp; ADDRESS(139, 'Additional Cartons-WUO_TRK'!A139),_xlfn.TEXTAFTER('Additional Cartons-WUO_ERR'!A139, ":"))))</f>
        <v/>
      </c>
    </row>
    <row r="140">
      <c r="A140" s="38">
        <f>IF('Additional Cartons'!B140 = "", "", IF('Additional Cartons-WUO_ERR'!A140 = "", "Validated", HYPERLINK("#" &amp; ADDRESS(140, 'Additional Cartons-WUO_TRK'!A140),_xlfn.TEXTAFTER('Additional Cartons-WUO_ERR'!A140, ":"))))</f>
        <v/>
      </c>
    </row>
    <row r="141">
      <c r="A141" s="38">
        <f>IF('Additional Cartons'!B141 = "", "", IF('Additional Cartons-WUO_ERR'!A141 = "", "Validated", HYPERLINK("#" &amp; ADDRESS(141, 'Additional Cartons-WUO_TRK'!A141),_xlfn.TEXTAFTER('Additional Cartons-WUO_ERR'!A141, ":"))))</f>
        <v/>
      </c>
    </row>
    <row r="142">
      <c r="A142" s="38">
        <f>IF('Additional Cartons'!B142 = "", "", IF('Additional Cartons-WUO_ERR'!A142 = "", "Validated", HYPERLINK("#" &amp; ADDRESS(142, 'Additional Cartons-WUO_TRK'!A142),_xlfn.TEXTAFTER('Additional Cartons-WUO_ERR'!A142, ":"))))</f>
        <v/>
      </c>
    </row>
    <row r="143">
      <c r="A143" s="38">
        <f>IF('Additional Cartons'!B143 = "", "", IF('Additional Cartons-WUO_ERR'!A143 = "", "Validated", HYPERLINK("#" &amp; ADDRESS(143, 'Additional Cartons-WUO_TRK'!A143),_xlfn.TEXTAFTER('Additional Cartons-WUO_ERR'!A143, ":"))))</f>
        <v/>
      </c>
    </row>
    <row r="144">
      <c r="A144" s="38">
        <f>IF('Additional Cartons'!B144 = "", "", IF('Additional Cartons-WUO_ERR'!A144 = "", "Validated", HYPERLINK("#" &amp; ADDRESS(144, 'Additional Cartons-WUO_TRK'!A144),_xlfn.TEXTAFTER('Additional Cartons-WUO_ERR'!A144, ":"))))</f>
        <v/>
      </c>
    </row>
    <row r="145">
      <c r="A145" s="38">
        <f>IF('Additional Cartons'!B145 = "", "", IF('Additional Cartons-WUO_ERR'!A145 = "", "Validated", HYPERLINK("#" &amp; ADDRESS(145, 'Additional Cartons-WUO_TRK'!A145),_xlfn.TEXTAFTER('Additional Cartons-WUO_ERR'!A145, ":"))))</f>
        <v/>
      </c>
    </row>
    <row r="146">
      <c r="A146" s="38">
        <f>IF('Additional Cartons'!B146 = "", "", IF('Additional Cartons-WUO_ERR'!A146 = "", "Validated", HYPERLINK("#" &amp; ADDRESS(146, 'Additional Cartons-WUO_TRK'!A146),_xlfn.TEXTAFTER('Additional Cartons-WUO_ERR'!A146, ":"))))</f>
        <v/>
      </c>
    </row>
    <row r="147">
      <c r="A147" s="38">
        <f>IF('Additional Cartons'!B147 = "", "", IF('Additional Cartons-WUO_ERR'!A147 = "", "Validated", HYPERLINK("#" &amp; ADDRESS(147, 'Additional Cartons-WUO_TRK'!A147),_xlfn.TEXTAFTER('Additional Cartons-WUO_ERR'!A147, ":"))))</f>
        <v/>
      </c>
    </row>
    <row r="148">
      <c r="A148" s="38">
        <f>IF('Additional Cartons'!B148 = "", "", IF('Additional Cartons-WUO_ERR'!A148 = "", "Validated", HYPERLINK("#" &amp; ADDRESS(148, 'Additional Cartons-WUO_TRK'!A148),_xlfn.TEXTAFTER('Additional Cartons-WUO_ERR'!A148, ":"))))</f>
        <v/>
      </c>
    </row>
    <row r="149">
      <c r="A149" s="38">
        <f>IF('Additional Cartons'!B149 = "", "", IF('Additional Cartons-WUO_ERR'!A149 = "", "Validated", HYPERLINK("#" &amp; ADDRESS(149, 'Additional Cartons-WUO_TRK'!A149),_xlfn.TEXTAFTER('Additional Cartons-WUO_ERR'!A149, ":"))))</f>
        <v/>
      </c>
    </row>
    <row r="150">
      <c r="A150" s="38">
        <f>IF('Additional Cartons'!B150 = "", "", IF('Additional Cartons-WUO_ERR'!A150 = "", "Validated", HYPERLINK("#" &amp; ADDRESS(150, 'Additional Cartons-WUO_TRK'!A150),_xlfn.TEXTAFTER('Additional Cartons-WUO_ERR'!A150, ":"))))</f>
        <v/>
      </c>
    </row>
    <row r="151">
      <c r="A151" s="38">
        <f>IF('Additional Cartons'!B151 = "", "", IF('Additional Cartons-WUO_ERR'!A151 = "", "Validated", HYPERLINK("#" &amp; ADDRESS(151, 'Additional Cartons-WUO_TRK'!A151),_xlfn.TEXTAFTER('Additional Cartons-WUO_ERR'!A151, ":"))))</f>
        <v/>
      </c>
    </row>
    <row r="152">
      <c r="A152" s="38">
        <f>IF('Additional Cartons'!B152 = "", "", IF('Additional Cartons-WUO_ERR'!A152 = "", "Validated", HYPERLINK("#" &amp; ADDRESS(152, 'Additional Cartons-WUO_TRK'!A152),_xlfn.TEXTAFTER('Additional Cartons-WUO_ERR'!A152, ":"))))</f>
        <v/>
      </c>
    </row>
    <row r="153">
      <c r="A153" s="38">
        <f>IF('Additional Cartons'!B153 = "", "", IF('Additional Cartons-WUO_ERR'!A153 = "", "Validated", HYPERLINK("#" &amp; ADDRESS(153, 'Additional Cartons-WUO_TRK'!A153),_xlfn.TEXTAFTER('Additional Cartons-WUO_ERR'!A153, ":"))))</f>
        <v/>
      </c>
    </row>
    <row r="154">
      <c r="A154" s="38">
        <f>IF('Additional Cartons'!B154 = "", "", IF('Additional Cartons-WUO_ERR'!A154 = "", "Validated", HYPERLINK("#" &amp; ADDRESS(154, 'Additional Cartons-WUO_TRK'!A154),_xlfn.TEXTAFTER('Additional Cartons-WUO_ERR'!A154, ":"))))</f>
        <v/>
      </c>
    </row>
    <row r="155">
      <c r="A155" s="38">
        <f>IF('Additional Cartons'!B155 = "", "", IF('Additional Cartons-WUO_ERR'!A155 = "", "Validated", HYPERLINK("#" &amp; ADDRESS(155, 'Additional Cartons-WUO_TRK'!A155),_xlfn.TEXTAFTER('Additional Cartons-WUO_ERR'!A155, ":"))))</f>
        <v/>
      </c>
    </row>
    <row r="156">
      <c r="A156" s="38">
        <f>IF('Additional Cartons'!B156 = "", "", IF('Additional Cartons-WUO_ERR'!A156 = "", "Validated", HYPERLINK("#" &amp; ADDRESS(156, 'Additional Cartons-WUO_TRK'!A156),_xlfn.TEXTAFTER('Additional Cartons-WUO_ERR'!A156, ":"))))</f>
        <v/>
      </c>
    </row>
    <row r="157">
      <c r="A157" s="38">
        <f>IF('Additional Cartons'!B157 = "", "", IF('Additional Cartons-WUO_ERR'!A157 = "", "Validated", HYPERLINK("#" &amp; ADDRESS(157, 'Additional Cartons-WUO_TRK'!A157),_xlfn.TEXTAFTER('Additional Cartons-WUO_ERR'!A157, ":"))))</f>
        <v/>
      </c>
    </row>
    <row r="158">
      <c r="A158" s="38">
        <f>IF('Additional Cartons'!B158 = "", "", IF('Additional Cartons-WUO_ERR'!A158 = "", "Validated", HYPERLINK("#" &amp; ADDRESS(158, 'Additional Cartons-WUO_TRK'!A158),_xlfn.TEXTAFTER('Additional Cartons-WUO_ERR'!A158, ":"))))</f>
        <v/>
      </c>
    </row>
    <row r="159">
      <c r="A159" s="38">
        <f>IF('Additional Cartons'!B159 = "", "", IF('Additional Cartons-WUO_ERR'!A159 = "", "Validated", HYPERLINK("#" &amp; ADDRESS(159, 'Additional Cartons-WUO_TRK'!A159),_xlfn.TEXTAFTER('Additional Cartons-WUO_ERR'!A159, ":"))))</f>
        <v/>
      </c>
    </row>
    <row r="160">
      <c r="A160" s="38">
        <f>IF('Additional Cartons'!B160 = "", "", IF('Additional Cartons-WUO_ERR'!A160 = "", "Validated", HYPERLINK("#" &amp; ADDRESS(160, 'Additional Cartons-WUO_TRK'!A160),_xlfn.TEXTAFTER('Additional Cartons-WUO_ERR'!A160, ":"))))</f>
        <v/>
      </c>
    </row>
    <row r="161">
      <c r="A161" s="38">
        <f>IF('Additional Cartons'!B161 = "", "", IF('Additional Cartons-WUO_ERR'!A161 = "", "Validated", HYPERLINK("#" &amp; ADDRESS(161, 'Additional Cartons-WUO_TRK'!A161),_xlfn.TEXTAFTER('Additional Cartons-WUO_ERR'!A161, ":"))))</f>
        <v/>
      </c>
    </row>
    <row r="162">
      <c r="A162" s="38">
        <f>IF('Additional Cartons'!B162 = "", "", IF('Additional Cartons-WUO_ERR'!A162 = "", "Validated", HYPERLINK("#" &amp; ADDRESS(162, 'Additional Cartons-WUO_TRK'!A162),_xlfn.TEXTAFTER('Additional Cartons-WUO_ERR'!A162, ":"))))</f>
        <v/>
      </c>
    </row>
    <row r="163">
      <c r="A163" s="38">
        <f>IF('Additional Cartons'!B163 = "", "", IF('Additional Cartons-WUO_ERR'!A163 = "", "Validated", HYPERLINK("#" &amp; ADDRESS(163, 'Additional Cartons-WUO_TRK'!A163),_xlfn.TEXTAFTER('Additional Cartons-WUO_ERR'!A163, ":"))))</f>
        <v/>
      </c>
    </row>
    <row r="164">
      <c r="A164" s="38">
        <f>IF('Additional Cartons'!B164 = "", "", IF('Additional Cartons-WUO_ERR'!A164 = "", "Validated", HYPERLINK("#" &amp; ADDRESS(164, 'Additional Cartons-WUO_TRK'!A164),_xlfn.TEXTAFTER('Additional Cartons-WUO_ERR'!A164, ":"))))</f>
        <v/>
      </c>
    </row>
    <row r="165">
      <c r="A165" s="38">
        <f>IF('Additional Cartons'!B165 = "", "", IF('Additional Cartons-WUO_ERR'!A165 = "", "Validated", HYPERLINK("#" &amp; ADDRESS(165, 'Additional Cartons-WUO_TRK'!A165),_xlfn.TEXTAFTER('Additional Cartons-WUO_ERR'!A165, ":"))))</f>
        <v/>
      </c>
    </row>
    <row r="166">
      <c r="A166" s="38">
        <f>IF('Additional Cartons'!B166 = "", "", IF('Additional Cartons-WUO_ERR'!A166 = "", "Validated", HYPERLINK("#" &amp; ADDRESS(166, 'Additional Cartons-WUO_TRK'!A166),_xlfn.TEXTAFTER('Additional Cartons-WUO_ERR'!A166, ":"))))</f>
        <v/>
      </c>
    </row>
    <row r="167">
      <c r="A167" s="38">
        <f>IF('Additional Cartons'!B167 = "", "", IF('Additional Cartons-WUO_ERR'!A167 = "", "Validated", HYPERLINK("#" &amp; ADDRESS(167, 'Additional Cartons-WUO_TRK'!A167),_xlfn.TEXTAFTER('Additional Cartons-WUO_ERR'!A167, ":"))))</f>
        <v/>
      </c>
    </row>
    <row r="168">
      <c r="A168" s="38">
        <f>IF('Additional Cartons'!B168 = "", "", IF('Additional Cartons-WUO_ERR'!A168 = "", "Validated", HYPERLINK("#" &amp; ADDRESS(168, 'Additional Cartons-WUO_TRK'!A168),_xlfn.TEXTAFTER('Additional Cartons-WUO_ERR'!A168, ":"))))</f>
        <v/>
      </c>
    </row>
    <row r="169">
      <c r="A169" s="38">
        <f>IF('Additional Cartons'!B169 = "", "", IF('Additional Cartons-WUO_ERR'!A169 = "", "Validated", HYPERLINK("#" &amp; ADDRESS(169, 'Additional Cartons-WUO_TRK'!A169),_xlfn.TEXTAFTER('Additional Cartons-WUO_ERR'!A169, ":"))))</f>
        <v/>
      </c>
    </row>
    <row r="170">
      <c r="A170" s="38">
        <f>IF('Additional Cartons'!B170 = "", "", IF('Additional Cartons-WUO_ERR'!A170 = "", "Validated", HYPERLINK("#" &amp; ADDRESS(170, 'Additional Cartons-WUO_TRK'!A170),_xlfn.TEXTAFTER('Additional Cartons-WUO_ERR'!A170, ":"))))</f>
        <v/>
      </c>
    </row>
    <row r="171">
      <c r="A171" s="38">
        <f>IF('Additional Cartons'!B171 = "", "", IF('Additional Cartons-WUO_ERR'!A171 = "", "Validated", HYPERLINK("#" &amp; ADDRESS(171, 'Additional Cartons-WUO_TRK'!A171),_xlfn.TEXTAFTER('Additional Cartons-WUO_ERR'!A171, ":"))))</f>
        <v/>
      </c>
    </row>
    <row r="172">
      <c r="A172" s="38">
        <f>IF('Additional Cartons'!B172 = "", "", IF('Additional Cartons-WUO_ERR'!A172 = "", "Validated", HYPERLINK("#" &amp; ADDRESS(172, 'Additional Cartons-WUO_TRK'!A172),_xlfn.TEXTAFTER('Additional Cartons-WUO_ERR'!A172, ":"))))</f>
        <v/>
      </c>
    </row>
    <row r="173">
      <c r="A173" s="38">
        <f>IF('Additional Cartons'!B173 = "", "", IF('Additional Cartons-WUO_ERR'!A173 = "", "Validated", HYPERLINK("#" &amp; ADDRESS(173, 'Additional Cartons-WUO_TRK'!A173),_xlfn.TEXTAFTER('Additional Cartons-WUO_ERR'!A173, ":"))))</f>
        <v/>
      </c>
    </row>
    <row r="174">
      <c r="A174" s="38">
        <f>IF('Additional Cartons'!B174 = "", "", IF('Additional Cartons-WUO_ERR'!A174 = "", "Validated", HYPERLINK("#" &amp; ADDRESS(174, 'Additional Cartons-WUO_TRK'!A174),_xlfn.TEXTAFTER('Additional Cartons-WUO_ERR'!A174, ":"))))</f>
        <v/>
      </c>
    </row>
    <row r="175">
      <c r="A175" s="38">
        <f>IF('Additional Cartons'!B175 = "", "", IF('Additional Cartons-WUO_ERR'!A175 = "", "Validated", HYPERLINK("#" &amp; ADDRESS(175, 'Additional Cartons-WUO_TRK'!A175),_xlfn.TEXTAFTER('Additional Cartons-WUO_ERR'!A175, ":"))))</f>
        <v/>
      </c>
    </row>
    <row r="176">
      <c r="A176" s="38">
        <f>IF('Additional Cartons'!B176 = "", "", IF('Additional Cartons-WUO_ERR'!A176 = "", "Validated", HYPERLINK("#" &amp; ADDRESS(176, 'Additional Cartons-WUO_TRK'!A176),_xlfn.TEXTAFTER('Additional Cartons-WUO_ERR'!A176, ":"))))</f>
        <v/>
      </c>
    </row>
    <row r="177">
      <c r="A177" s="38">
        <f>IF('Additional Cartons'!B177 = "", "", IF('Additional Cartons-WUO_ERR'!A177 = "", "Validated", HYPERLINK("#" &amp; ADDRESS(177, 'Additional Cartons-WUO_TRK'!A177),_xlfn.TEXTAFTER('Additional Cartons-WUO_ERR'!A177, ":"))))</f>
        <v/>
      </c>
    </row>
    <row r="178">
      <c r="A178" s="38">
        <f>IF('Additional Cartons'!B178 = "", "", IF('Additional Cartons-WUO_ERR'!A178 = "", "Validated", HYPERLINK("#" &amp; ADDRESS(178, 'Additional Cartons-WUO_TRK'!A178),_xlfn.TEXTAFTER('Additional Cartons-WUO_ERR'!A178, ":"))))</f>
        <v/>
      </c>
    </row>
    <row r="179">
      <c r="A179" s="38">
        <f>IF('Additional Cartons'!B179 = "", "", IF('Additional Cartons-WUO_ERR'!A179 = "", "Validated", HYPERLINK("#" &amp; ADDRESS(179, 'Additional Cartons-WUO_TRK'!A179),_xlfn.TEXTAFTER('Additional Cartons-WUO_ERR'!A179, ":"))))</f>
        <v/>
      </c>
    </row>
    <row r="180">
      <c r="A180" s="38">
        <f>IF('Additional Cartons'!B180 = "", "", IF('Additional Cartons-WUO_ERR'!A180 = "", "Validated", HYPERLINK("#" &amp; ADDRESS(180, 'Additional Cartons-WUO_TRK'!A180),_xlfn.TEXTAFTER('Additional Cartons-WUO_ERR'!A180, ":"))))</f>
        <v/>
      </c>
    </row>
    <row r="181">
      <c r="A181" s="38">
        <f>IF('Additional Cartons'!B181 = "", "", IF('Additional Cartons-WUO_ERR'!A181 = "", "Validated", HYPERLINK("#" &amp; ADDRESS(181, 'Additional Cartons-WUO_TRK'!A181),_xlfn.TEXTAFTER('Additional Cartons-WUO_ERR'!A181, ":"))))</f>
        <v/>
      </c>
    </row>
    <row r="182">
      <c r="A182" s="38">
        <f>IF('Additional Cartons'!B182 = "", "", IF('Additional Cartons-WUO_ERR'!A182 = "", "Validated", HYPERLINK("#" &amp; ADDRESS(182, 'Additional Cartons-WUO_TRK'!A182),_xlfn.TEXTAFTER('Additional Cartons-WUO_ERR'!A182, ":"))))</f>
        <v/>
      </c>
    </row>
    <row r="183">
      <c r="A183" s="38">
        <f>IF('Additional Cartons'!B183 = "", "", IF('Additional Cartons-WUO_ERR'!A183 = "", "Validated", HYPERLINK("#" &amp; ADDRESS(183, 'Additional Cartons-WUO_TRK'!A183),_xlfn.TEXTAFTER('Additional Cartons-WUO_ERR'!A183, ":"))))</f>
        <v/>
      </c>
    </row>
    <row r="184">
      <c r="A184" s="38">
        <f>IF('Additional Cartons'!B184 = "", "", IF('Additional Cartons-WUO_ERR'!A184 = "", "Validated", HYPERLINK("#" &amp; ADDRESS(184, 'Additional Cartons-WUO_TRK'!A184),_xlfn.TEXTAFTER('Additional Cartons-WUO_ERR'!A184, ":"))))</f>
        <v/>
      </c>
    </row>
    <row r="185">
      <c r="A185" s="38">
        <f>IF('Additional Cartons'!B185 = "", "", IF('Additional Cartons-WUO_ERR'!A185 = "", "Validated", HYPERLINK("#" &amp; ADDRESS(185, 'Additional Cartons-WUO_TRK'!A185),_xlfn.TEXTAFTER('Additional Cartons-WUO_ERR'!A185, ":"))))</f>
        <v/>
      </c>
    </row>
    <row r="186">
      <c r="A186" s="38">
        <f>IF('Additional Cartons'!B186 = "", "", IF('Additional Cartons-WUO_ERR'!A186 = "", "Validated", HYPERLINK("#" &amp; ADDRESS(186, 'Additional Cartons-WUO_TRK'!A186),_xlfn.TEXTAFTER('Additional Cartons-WUO_ERR'!A186, ":"))))</f>
        <v/>
      </c>
    </row>
    <row r="187">
      <c r="A187" s="38">
        <f>IF('Additional Cartons'!B187 = "", "", IF('Additional Cartons-WUO_ERR'!A187 = "", "Validated", HYPERLINK("#" &amp; ADDRESS(187, 'Additional Cartons-WUO_TRK'!A187),_xlfn.TEXTAFTER('Additional Cartons-WUO_ERR'!A187, ":"))))</f>
        <v/>
      </c>
    </row>
    <row r="188">
      <c r="A188" s="38">
        <f>IF('Additional Cartons'!B188 = "", "", IF('Additional Cartons-WUO_ERR'!A188 = "", "Validated", HYPERLINK("#" &amp; ADDRESS(188, 'Additional Cartons-WUO_TRK'!A188),_xlfn.TEXTAFTER('Additional Cartons-WUO_ERR'!A188, ":"))))</f>
        <v/>
      </c>
    </row>
    <row r="189">
      <c r="A189" s="38">
        <f>IF('Additional Cartons'!B189 = "", "", IF('Additional Cartons-WUO_ERR'!A189 = "", "Validated", HYPERLINK("#" &amp; ADDRESS(189, 'Additional Cartons-WUO_TRK'!A189),_xlfn.TEXTAFTER('Additional Cartons-WUO_ERR'!A189, ":"))))</f>
        <v/>
      </c>
    </row>
    <row r="190">
      <c r="A190" s="38">
        <f>IF('Additional Cartons'!B190 = "", "", IF('Additional Cartons-WUO_ERR'!A190 = "", "Validated", HYPERLINK("#" &amp; ADDRESS(190, 'Additional Cartons-WUO_TRK'!A190),_xlfn.TEXTAFTER('Additional Cartons-WUO_ERR'!A190, ":"))))</f>
        <v/>
      </c>
    </row>
    <row r="191">
      <c r="A191" s="38">
        <f>IF('Additional Cartons'!B191 = "", "", IF('Additional Cartons-WUO_ERR'!A191 = "", "Validated", HYPERLINK("#" &amp; ADDRESS(191, 'Additional Cartons-WUO_TRK'!A191),_xlfn.TEXTAFTER('Additional Cartons-WUO_ERR'!A191, ":"))))</f>
        <v/>
      </c>
    </row>
    <row r="192">
      <c r="A192" s="38">
        <f>IF('Additional Cartons'!B192 = "", "", IF('Additional Cartons-WUO_ERR'!A192 = "", "Validated", HYPERLINK("#" &amp; ADDRESS(192, 'Additional Cartons-WUO_TRK'!A192),_xlfn.TEXTAFTER('Additional Cartons-WUO_ERR'!A192, ":"))))</f>
        <v/>
      </c>
    </row>
    <row r="193">
      <c r="A193" s="38">
        <f>IF('Additional Cartons'!B193 = "", "", IF('Additional Cartons-WUO_ERR'!A193 = "", "Validated", HYPERLINK("#" &amp; ADDRESS(193, 'Additional Cartons-WUO_TRK'!A193),_xlfn.TEXTAFTER('Additional Cartons-WUO_ERR'!A193, ":"))))</f>
        <v/>
      </c>
    </row>
    <row r="194">
      <c r="A194" s="38">
        <f>IF('Additional Cartons'!B194 = "", "", IF('Additional Cartons-WUO_ERR'!A194 = "", "Validated", HYPERLINK("#" &amp; ADDRESS(194, 'Additional Cartons-WUO_TRK'!A194),_xlfn.TEXTAFTER('Additional Cartons-WUO_ERR'!A194, ":"))))</f>
        <v/>
      </c>
    </row>
    <row r="195">
      <c r="A195" s="38">
        <f>IF('Additional Cartons'!B195 = "", "", IF('Additional Cartons-WUO_ERR'!A195 = "", "Validated", HYPERLINK("#" &amp; ADDRESS(195, 'Additional Cartons-WUO_TRK'!A195),_xlfn.TEXTAFTER('Additional Cartons-WUO_ERR'!A195, ":"))))</f>
        <v/>
      </c>
    </row>
    <row r="196">
      <c r="A196" s="38">
        <f>IF('Additional Cartons'!B196 = "", "", IF('Additional Cartons-WUO_ERR'!A196 = "", "Validated", HYPERLINK("#" &amp; ADDRESS(196, 'Additional Cartons-WUO_TRK'!A196),_xlfn.TEXTAFTER('Additional Cartons-WUO_ERR'!A196, ":"))))</f>
        <v/>
      </c>
    </row>
    <row r="197">
      <c r="A197" s="38">
        <f>IF('Additional Cartons'!B197 = "", "", IF('Additional Cartons-WUO_ERR'!A197 = "", "Validated", HYPERLINK("#" &amp; ADDRESS(197, 'Additional Cartons-WUO_TRK'!A197),_xlfn.TEXTAFTER('Additional Cartons-WUO_ERR'!A197, ":"))))</f>
        <v/>
      </c>
    </row>
    <row r="198">
      <c r="A198" s="38">
        <f>IF('Additional Cartons'!B198 = "", "", IF('Additional Cartons-WUO_ERR'!A198 = "", "Validated", HYPERLINK("#" &amp; ADDRESS(198, 'Additional Cartons-WUO_TRK'!A198),_xlfn.TEXTAFTER('Additional Cartons-WUO_ERR'!A198, ":"))))</f>
        <v/>
      </c>
    </row>
    <row r="199">
      <c r="A199" s="38">
        <f>IF('Additional Cartons'!B199 = "", "", IF('Additional Cartons-WUO_ERR'!A199 = "", "Validated", HYPERLINK("#" &amp; ADDRESS(199, 'Additional Cartons-WUO_TRK'!A199),_xlfn.TEXTAFTER('Additional Cartons-WUO_ERR'!A199, ":"))))</f>
        <v/>
      </c>
    </row>
    <row r="200">
      <c r="A200" s="38">
        <f>IF('Additional Cartons'!B200 = "", "", IF('Additional Cartons-WUO_ERR'!A200 = "", "Validated", HYPERLINK("#" &amp; ADDRESS(200, 'Additional Cartons-WUO_TRK'!A200),_xlfn.TEXTAFTER('Additional Cartons-WUO_ERR'!A200, ":"))))</f>
        <v/>
      </c>
    </row>
    <row r="201">
      <c r="A201" s="38">
        <f>IF('Additional Cartons'!B201 = "", "", IF('Additional Cartons-WUO_ERR'!A201 = "", "Validated", HYPERLINK("#" &amp; ADDRESS(201, 'Additional Cartons-WUO_TRK'!A201),_xlfn.TEXTAFTER('Additional Cartons-WUO_ERR'!A201, ":"))))</f>
        <v/>
      </c>
    </row>
    <row r="202">
      <c r="A202" s="38">
        <f>IF('Additional Cartons'!B202 = "", "", IF('Additional Cartons-WUO_ERR'!A202 = "", "Validated", HYPERLINK("#" &amp; ADDRESS(202, 'Additional Cartons-WUO_TRK'!A202),_xlfn.TEXTAFTER('Additional Cartons-WUO_ERR'!A202, ":"))))</f>
        <v/>
      </c>
    </row>
    <row r="203">
      <c r="A203" s="38">
        <f>IF('Additional Cartons'!B203 = "", "", IF('Additional Cartons-WUO_ERR'!A203 = "", "Validated", HYPERLINK("#" &amp; ADDRESS(203, 'Additional Cartons-WUO_TRK'!A203),_xlfn.TEXTAFTER('Additional Cartons-WUO_ERR'!A203, ":"))))</f>
        <v/>
      </c>
    </row>
    <row r="204">
      <c r="A204" s="38">
        <f>IF('Additional Cartons'!B204 = "", "", IF('Additional Cartons-WUO_ERR'!A204 = "", "Validated", HYPERLINK("#" &amp; ADDRESS(204, 'Additional Cartons-WUO_TRK'!A204),_xlfn.TEXTAFTER('Additional Cartons-WUO_ERR'!A204, ":"))))</f>
        <v/>
      </c>
    </row>
    <row r="205">
      <c r="A205" s="38">
        <f>IF('Additional Cartons'!B205 = "", "", IF('Additional Cartons-WUO_ERR'!A205 = "", "Validated", HYPERLINK("#" &amp; ADDRESS(205, 'Additional Cartons-WUO_TRK'!A205),_xlfn.TEXTAFTER('Additional Cartons-WUO_ERR'!A205, ":"))))</f>
        <v/>
      </c>
    </row>
    <row r="206">
      <c r="A206" s="38">
        <f>IF('Additional Cartons'!B206 = "", "", IF('Additional Cartons-WUO_ERR'!A206 = "", "Validated", HYPERLINK("#" &amp; ADDRESS(206, 'Additional Cartons-WUO_TRK'!A206),_xlfn.TEXTAFTER('Additional Cartons-WUO_ERR'!A206, ":"))))</f>
        <v/>
      </c>
    </row>
    <row r="207">
      <c r="A207" s="38">
        <f>IF('Additional Cartons'!B207 = "", "", IF('Additional Cartons-WUO_ERR'!A207 = "", "Validated", HYPERLINK("#" &amp; ADDRESS(207, 'Additional Cartons-WUO_TRK'!A207),_xlfn.TEXTAFTER('Additional Cartons-WUO_ERR'!A207, ":"))))</f>
        <v/>
      </c>
    </row>
    <row r="208">
      <c r="A208" s="38">
        <f>IF('Additional Cartons'!B208 = "", "", IF('Additional Cartons-WUO_ERR'!A208 = "", "Validated", HYPERLINK("#" &amp; ADDRESS(208, 'Additional Cartons-WUO_TRK'!A208),_xlfn.TEXTAFTER('Additional Cartons-WUO_ERR'!A208, ":"))))</f>
        <v/>
      </c>
    </row>
    <row r="209">
      <c r="A209" s="38">
        <f>IF('Additional Cartons'!B209 = "", "", IF('Additional Cartons-WUO_ERR'!A209 = "", "Validated", HYPERLINK("#" &amp; ADDRESS(209, 'Additional Cartons-WUO_TRK'!A209),_xlfn.TEXTAFTER('Additional Cartons-WUO_ERR'!A209, ":"))))</f>
        <v/>
      </c>
    </row>
    <row r="210">
      <c r="A210" s="38">
        <f>IF('Additional Cartons'!B210 = "", "", IF('Additional Cartons-WUO_ERR'!A210 = "", "Validated", HYPERLINK("#" &amp; ADDRESS(210, 'Additional Cartons-WUO_TRK'!A210),_xlfn.TEXTAFTER('Additional Cartons-WUO_ERR'!A210, ":"))))</f>
        <v/>
      </c>
    </row>
    <row r="211">
      <c r="A211" s="38">
        <f>IF('Additional Cartons'!B211 = "", "", IF('Additional Cartons-WUO_ERR'!A211 = "", "Validated", HYPERLINK("#" &amp; ADDRESS(211, 'Additional Cartons-WUO_TRK'!A211),_xlfn.TEXTAFTER('Additional Cartons-WUO_ERR'!A211, ":"))))</f>
        <v/>
      </c>
    </row>
    <row r="212">
      <c r="A212" s="38">
        <f>IF('Additional Cartons'!B212 = "", "", IF('Additional Cartons-WUO_ERR'!A212 = "", "Validated", HYPERLINK("#" &amp; ADDRESS(212, 'Additional Cartons-WUO_TRK'!A212),_xlfn.TEXTAFTER('Additional Cartons-WUO_ERR'!A212, ":"))))</f>
        <v/>
      </c>
    </row>
    <row r="213">
      <c r="A213" s="38">
        <f>IF('Additional Cartons'!B213 = "", "", IF('Additional Cartons-WUO_ERR'!A213 = "", "Validated", HYPERLINK("#" &amp; ADDRESS(213, 'Additional Cartons-WUO_TRK'!A213),_xlfn.TEXTAFTER('Additional Cartons-WUO_ERR'!A213, ":"))))</f>
        <v/>
      </c>
    </row>
    <row r="214">
      <c r="A214" s="38">
        <f>IF('Additional Cartons'!B214 = "", "", IF('Additional Cartons-WUO_ERR'!A214 = "", "Validated", HYPERLINK("#" &amp; ADDRESS(214, 'Additional Cartons-WUO_TRK'!A214),_xlfn.TEXTAFTER('Additional Cartons-WUO_ERR'!A214, ":"))))</f>
        <v/>
      </c>
    </row>
    <row r="215">
      <c r="A215" s="38">
        <f>IF('Additional Cartons'!B215 = "", "", IF('Additional Cartons-WUO_ERR'!A215 = "", "Validated", HYPERLINK("#" &amp; ADDRESS(215, 'Additional Cartons-WUO_TRK'!A215),_xlfn.TEXTAFTER('Additional Cartons-WUO_ERR'!A215, ":"))))</f>
        <v/>
      </c>
    </row>
    <row r="216">
      <c r="A216" s="38">
        <f>IF('Additional Cartons'!B216 = "", "", IF('Additional Cartons-WUO_ERR'!A216 = "", "Validated", HYPERLINK("#" &amp; ADDRESS(216, 'Additional Cartons-WUO_TRK'!A216),_xlfn.TEXTAFTER('Additional Cartons-WUO_ERR'!A216, ":"))))</f>
        <v/>
      </c>
    </row>
    <row r="217">
      <c r="A217" s="38">
        <f>IF('Additional Cartons'!B217 = "", "", IF('Additional Cartons-WUO_ERR'!A217 = "", "Validated", HYPERLINK("#" &amp; ADDRESS(217, 'Additional Cartons-WUO_TRK'!A217),_xlfn.TEXTAFTER('Additional Cartons-WUO_ERR'!A217, ":"))))</f>
        <v/>
      </c>
    </row>
    <row r="218">
      <c r="A218" s="38">
        <f>IF('Additional Cartons'!B218 = "", "", IF('Additional Cartons-WUO_ERR'!A218 = "", "Validated", HYPERLINK("#" &amp; ADDRESS(218, 'Additional Cartons-WUO_TRK'!A218),_xlfn.TEXTAFTER('Additional Cartons-WUO_ERR'!A218, ":"))))</f>
        <v/>
      </c>
    </row>
    <row r="219">
      <c r="A219" s="38">
        <f>IF('Additional Cartons'!B219 = "", "", IF('Additional Cartons-WUO_ERR'!A219 = "", "Validated", HYPERLINK("#" &amp; ADDRESS(219, 'Additional Cartons-WUO_TRK'!A219),_xlfn.TEXTAFTER('Additional Cartons-WUO_ERR'!A219, ":"))))</f>
        <v/>
      </c>
    </row>
    <row r="220">
      <c r="A220" s="38">
        <f>IF('Additional Cartons'!B220 = "", "", IF('Additional Cartons-WUO_ERR'!A220 = "", "Validated", HYPERLINK("#" &amp; ADDRESS(220, 'Additional Cartons-WUO_TRK'!A220),_xlfn.TEXTAFTER('Additional Cartons-WUO_ERR'!A220, ":"))))</f>
        <v/>
      </c>
    </row>
    <row r="221">
      <c r="A221" s="38">
        <f>IF('Additional Cartons'!B221 = "", "", IF('Additional Cartons-WUO_ERR'!A221 = "", "Validated", HYPERLINK("#" &amp; ADDRESS(221, 'Additional Cartons-WUO_TRK'!A221),_xlfn.TEXTAFTER('Additional Cartons-WUO_ERR'!A221, ":"))))</f>
        <v/>
      </c>
    </row>
    <row r="222">
      <c r="A222" s="38">
        <f>IF('Additional Cartons'!B222 = "", "", IF('Additional Cartons-WUO_ERR'!A222 = "", "Validated", HYPERLINK("#" &amp; ADDRESS(222, 'Additional Cartons-WUO_TRK'!A222),_xlfn.TEXTAFTER('Additional Cartons-WUO_ERR'!A222, ":"))))</f>
        <v/>
      </c>
    </row>
    <row r="223">
      <c r="A223" s="38">
        <f>IF('Additional Cartons'!B223 = "", "", IF('Additional Cartons-WUO_ERR'!A223 = "", "Validated", HYPERLINK("#" &amp; ADDRESS(223, 'Additional Cartons-WUO_TRK'!A223),_xlfn.TEXTAFTER('Additional Cartons-WUO_ERR'!A223, ":"))))</f>
        <v/>
      </c>
    </row>
    <row r="224">
      <c r="A224" s="38">
        <f>IF('Additional Cartons'!B224 = "", "", IF('Additional Cartons-WUO_ERR'!A224 = "", "Validated", HYPERLINK("#" &amp; ADDRESS(224, 'Additional Cartons-WUO_TRK'!A224),_xlfn.TEXTAFTER('Additional Cartons-WUO_ERR'!A224, ":"))))</f>
        <v/>
      </c>
    </row>
    <row r="225">
      <c r="A225" s="38">
        <f>IF('Additional Cartons'!B225 = "", "", IF('Additional Cartons-WUO_ERR'!A225 = "", "Validated", HYPERLINK("#" &amp; ADDRESS(225, 'Additional Cartons-WUO_TRK'!A225),_xlfn.TEXTAFTER('Additional Cartons-WUO_ERR'!A225, ":"))))</f>
        <v/>
      </c>
    </row>
    <row r="226">
      <c r="A226" s="38">
        <f>IF('Additional Cartons'!B226 = "", "", IF('Additional Cartons-WUO_ERR'!A226 = "", "Validated", HYPERLINK("#" &amp; ADDRESS(226, 'Additional Cartons-WUO_TRK'!A226),_xlfn.TEXTAFTER('Additional Cartons-WUO_ERR'!A226, ":"))))</f>
        <v/>
      </c>
    </row>
    <row r="227">
      <c r="A227" s="38">
        <f>IF('Additional Cartons'!B227 = "", "", IF('Additional Cartons-WUO_ERR'!A227 = "", "Validated", HYPERLINK("#" &amp; ADDRESS(227, 'Additional Cartons-WUO_TRK'!A227),_xlfn.TEXTAFTER('Additional Cartons-WUO_ERR'!A227, ":"))))</f>
        <v/>
      </c>
    </row>
    <row r="228">
      <c r="A228" s="38">
        <f>IF('Additional Cartons'!B228 = "", "", IF('Additional Cartons-WUO_ERR'!A228 = "", "Validated", HYPERLINK("#" &amp; ADDRESS(228, 'Additional Cartons-WUO_TRK'!A228),_xlfn.TEXTAFTER('Additional Cartons-WUO_ERR'!A228, ":"))))</f>
        <v/>
      </c>
    </row>
    <row r="229">
      <c r="A229" s="38">
        <f>IF('Additional Cartons'!B229 = "", "", IF('Additional Cartons-WUO_ERR'!A229 = "", "Validated", HYPERLINK("#" &amp; ADDRESS(229, 'Additional Cartons-WUO_TRK'!A229),_xlfn.TEXTAFTER('Additional Cartons-WUO_ERR'!A229, ":"))))</f>
        <v/>
      </c>
    </row>
    <row r="230">
      <c r="A230" s="38">
        <f>IF('Additional Cartons'!B230 = "", "", IF('Additional Cartons-WUO_ERR'!A230 = "", "Validated", HYPERLINK("#" &amp; ADDRESS(230, 'Additional Cartons-WUO_TRK'!A230),_xlfn.TEXTAFTER('Additional Cartons-WUO_ERR'!A230, ":"))))</f>
        <v/>
      </c>
    </row>
    <row r="231">
      <c r="A231" s="38">
        <f>IF('Additional Cartons'!B231 = "", "", IF('Additional Cartons-WUO_ERR'!A231 = "", "Validated", HYPERLINK("#" &amp; ADDRESS(231, 'Additional Cartons-WUO_TRK'!A231),_xlfn.TEXTAFTER('Additional Cartons-WUO_ERR'!A231, ":"))))</f>
        <v/>
      </c>
    </row>
    <row r="232">
      <c r="A232" s="38">
        <f>IF('Additional Cartons'!B232 = "", "", IF('Additional Cartons-WUO_ERR'!A232 = "", "Validated", HYPERLINK("#" &amp; ADDRESS(232, 'Additional Cartons-WUO_TRK'!A232),_xlfn.TEXTAFTER('Additional Cartons-WUO_ERR'!A232, ":"))))</f>
        <v/>
      </c>
    </row>
    <row r="233">
      <c r="A233" s="38">
        <f>IF('Additional Cartons'!B233 = "", "", IF('Additional Cartons-WUO_ERR'!A233 = "", "Validated", HYPERLINK("#" &amp; ADDRESS(233, 'Additional Cartons-WUO_TRK'!A233),_xlfn.TEXTAFTER('Additional Cartons-WUO_ERR'!A233, ":"))))</f>
        <v/>
      </c>
    </row>
    <row r="234">
      <c r="A234" s="38">
        <f>IF('Additional Cartons'!B234 = "", "", IF('Additional Cartons-WUO_ERR'!A234 = "", "Validated", HYPERLINK("#" &amp; ADDRESS(234, 'Additional Cartons-WUO_TRK'!A234),_xlfn.TEXTAFTER('Additional Cartons-WUO_ERR'!A234, ":"))))</f>
        <v/>
      </c>
    </row>
    <row r="235">
      <c r="A235" s="38">
        <f>IF('Additional Cartons'!B235 = "", "", IF('Additional Cartons-WUO_ERR'!A235 = "", "Validated", HYPERLINK("#" &amp; ADDRESS(235, 'Additional Cartons-WUO_TRK'!A235),_xlfn.TEXTAFTER('Additional Cartons-WUO_ERR'!A235, ":"))))</f>
        <v/>
      </c>
    </row>
    <row r="236">
      <c r="A236" s="38">
        <f>IF('Additional Cartons'!B236 = "", "", IF('Additional Cartons-WUO_ERR'!A236 = "", "Validated", HYPERLINK("#" &amp; ADDRESS(236, 'Additional Cartons-WUO_TRK'!A236),_xlfn.TEXTAFTER('Additional Cartons-WUO_ERR'!A236, ":"))))</f>
        <v/>
      </c>
    </row>
    <row r="237">
      <c r="A237" s="38">
        <f>IF('Additional Cartons'!B237 = "", "", IF('Additional Cartons-WUO_ERR'!A237 = "", "Validated", HYPERLINK("#" &amp; ADDRESS(237, 'Additional Cartons-WUO_TRK'!A237),_xlfn.TEXTAFTER('Additional Cartons-WUO_ERR'!A237, ":"))))</f>
        <v/>
      </c>
    </row>
    <row r="238">
      <c r="A238" s="38">
        <f>IF('Additional Cartons'!B238 = "", "", IF('Additional Cartons-WUO_ERR'!A238 = "", "Validated", HYPERLINK("#" &amp; ADDRESS(238, 'Additional Cartons-WUO_TRK'!A238),_xlfn.TEXTAFTER('Additional Cartons-WUO_ERR'!A238, ":"))))</f>
        <v/>
      </c>
    </row>
    <row r="239">
      <c r="A239" s="38">
        <f>IF('Additional Cartons'!B239 = "", "", IF('Additional Cartons-WUO_ERR'!A239 = "", "Validated", HYPERLINK("#" &amp; ADDRESS(239, 'Additional Cartons-WUO_TRK'!A239),_xlfn.TEXTAFTER('Additional Cartons-WUO_ERR'!A239, ":"))))</f>
        <v/>
      </c>
    </row>
    <row r="240">
      <c r="A240" s="38">
        <f>IF('Additional Cartons'!B240 = "", "", IF('Additional Cartons-WUO_ERR'!A240 = "", "Validated", HYPERLINK("#" &amp; ADDRESS(240, 'Additional Cartons-WUO_TRK'!A240),_xlfn.TEXTAFTER('Additional Cartons-WUO_ERR'!A240, ":"))))</f>
        <v/>
      </c>
    </row>
    <row r="241">
      <c r="A241" s="38">
        <f>IF('Additional Cartons'!B241 = "", "", IF('Additional Cartons-WUO_ERR'!A241 = "", "Validated", HYPERLINK("#" &amp; ADDRESS(241, 'Additional Cartons-WUO_TRK'!A241),_xlfn.TEXTAFTER('Additional Cartons-WUO_ERR'!A241, ":"))))</f>
        <v/>
      </c>
    </row>
    <row r="242">
      <c r="A242" s="38">
        <f>IF('Additional Cartons'!B242 = "", "", IF('Additional Cartons-WUO_ERR'!A242 = "", "Validated", HYPERLINK("#" &amp; ADDRESS(242, 'Additional Cartons-WUO_TRK'!A242),_xlfn.TEXTAFTER('Additional Cartons-WUO_ERR'!A242, ":"))))</f>
        <v/>
      </c>
    </row>
    <row r="243">
      <c r="A243" s="38">
        <f>IF('Additional Cartons'!B243 = "", "", IF('Additional Cartons-WUO_ERR'!A243 = "", "Validated", HYPERLINK("#" &amp; ADDRESS(243, 'Additional Cartons-WUO_TRK'!A243),_xlfn.TEXTAFTER('Additional Cartons-WUO_ERR'!A243, ":"))))</f>
        <v/>
      </c>
    </row>
    <row r="244">
      <c r="A244" s="38">
        <f>IF('Additional Cartons'!B244 = "", "", IF('Additional Cartons-WUO_ERR'!A244 = "", "Validated", HYPERLINK("#" &amp; ADDRESS(244, 'Additional Cartons-WUO_TRK'!A244),_xlfn.TEXTAFTER('Additional Cartons-WUO_ERR'!A244, ":"))))</f>
        <v/>
      </c>
    </row>
    <row r="245">
      <c r="A245" s="38">
        <f>IF('Additional Cartons'!B245 = "", "", IF('Additional Cartons-WUO_ERR'!A245 = "", "Validated", HYPERLINK("#" &amp; ADDRESS(245, 'Additional Cartons-WUO_TRK'!A245),_xlfn.TEXTAFTER('Additional Cartons-WUO_ERR'!A245, ":"))))</f>
        <v/>
      </c>
    </row>
    <row r="246">
      <c r="A246" s="38">
        <f>IF('Additional Cartons'!B246 = "", "", IF('Additional Cartons-WUO_ERR'!A246 = "", "Validated", HYPERLINK("#" &amp; ADDRESS(246, 'Additional Cartons-WUO_TRK'!A246),_xlfn.TEXTAFTER('Additional Cartons-WUO_ERR'!A246, ":"))))</f>
        <v/>
      </c>
    </row>
    <row r="247">
      <c r="A247" s="38">
        <f>IF('Additional Cartons'!B247 = "", "", IF('Additional Cartons-WUO_ERR'!A247 = "", "Validated", HYPERLINK("#" &amp; ADDRESS(247, 'Additional Cartons-WUO_TRK'!A247),_xlfn.TEXTAFTER('Additional Cartons-WUO_ERR'!A247, ":"))))</f>
        <v/>
      </c>
    </row>
    <row r="248">
      <c r="A248" s="38">
        <f>IF('Additional Cartons'!B248 = "", "", IF('Additional Cartons-WUO_ERR'!A248 = "", "Validated", HYPERLINK("#" &amp; ADDRESS(248, 'Additional Cartons-WUO_TRK'!A248),_xlfn.TEXTAFTER('Additional Cartons-WUO_ERR'!A248, ":"))))</f>
        <v/>
      </c>
    </row>
    <row r="249">
      <c r="A249" s="38">
        <f>IF('Additional Cartons'!B249 = "", "", IF('Additional Cartons-WUO_ERR'!A249 = "", "Validated", HYPERLINK("#" &amp; ADDRESS(249, 'Additional Cartons-WUO_TRK'!A249),_xlfn.TEXTAFTER('Additional Cartons-WUO_ERR'!A249, ":"))))</f>
        <v/>
      </c>
    </row>
    <row r="250">
      <c r="A250" s="38">
        <f>IF('Additional Cartons'!B250 = "", "", IF('Additional Cartons-WUO_ERR'!A250 = "", "Validated", HYPERLINK("#" &amp; ADDRESS(250, 'Additional Cartons-WUO_TRK'!A250),_xlfn.TEXTAFTER('Additional Cartons-WUO_ERR'!A250, ":"))))</f>
        <v/>
      </c>
    </row>
    <row r="251">
      <c r="A251" s="38">
        <f>IF('Additional Cartons'!B251 = "", "", IF('Additional Cartons-WUO_ERR'!A251 = "", "Validated", HYPERLINK("#" &amp; ADDRESS(251, 'Additional Cartons-WUO_TRK'!A251),_xlfn.TEXTAFTER('Additional Cartons-WUO_ERR'!A251, ":"))))</f>
        <v/>
      </c>
    </row>
    <row r="252">
      <c r="A252" s="38">
        <f>IF('Additional Cartons'!B252 = "", "", IF('Additional Cartons-WUO_ERR'!A252 = "", "Validated", HYPERLINK("#" &amp; ADDRESS(252, 'Additional Cartons-WUO_TRK'!A252),_xlfn.TEXTAFTER('Additional Cartons-WUO_ERR'!A252, ":"))))</f>
        <v/>
      </c>
    </row>
    <row r="253">
      <c r="A253" s="38">
        <f>IF('Additional Cartons'!B253 = "", "", IF('Additional Cartons-WUO_ERR'!A253 = "", "Validated", HYPERLINK("#" &amp; ADDRESS(253, 'Additional Cartons-WUO_TRK'!A253),_xlfn.TEXTAFTER('Additional Cartons-WUO_ERR'!A253, ":"))))</f>
        <v/>
      </c>
    </row>
    <row r="254">
      <c r="A254" s="38">
        <f>IF('Additional Cartons'!B254 = "", "", IF('Additional Cartons-WUO_ERR'!A254 = "", "Validated", HYPERLINK("#" &amp; ADDRESS(254, 'Additional Cartons-WUO_TRK'!A254),_xlfn.TEXTAFTER('Additional Cartons-WUO_ERR'!A254, ":"))))</f>
        <v/>
      </c>
    </row>
    <row r="255">
      <c r="A255" s="38">
        <f>IF('Additional Cartons'!B255 = "", "", IF('Additional Cartons-WUO_ERR'!A255 = "", "Validated", HYPERLINK("#" &amp; ADDRESS(255, 'Additional Cartons-WUO_TRK'!A255),_xlfn.TEXTAFTER('Additional Cartons-WUO_ERR'!A255, ":"))))</f>
        <v/>
      </c>
    </row>
    <row r="256">
      <c r="A256" s="38">
        <f>IF('Additional Cartons'!B256 = "", "", IF('Additional Cartons-WUO_ERR'!A256 = "", "Validated", HYPERLINK("#" &amp; ADDRESS(256, 'Additional Cartons-WUO_TRK'!A256),_xlfn.TEXTAFTER('Additional Cartons-WUO_ERR'!A256, ":"))))</f>
        <v/>
      </c>
    </row>
    <row r="257">
      <c r="A257" s="38">
        <f>IF('Additional Cartons'!B257 = "", "", IF('Additional Cartons-WUO_ERR'!A257 = "", "Validated", HYPERLINK("#" &amp; ADDRESS(257, 'Additional Cartons-WUO_TRK'!A257),_xlfn.TEXTAFTER('Additional Cartons-WUO_ERR'!A257, ":"))))</f>
        <v/>
      </c>
    </row>
    <row r="258">
      <c r="A258" s="38">
        <f>IF('Additional Cartons'!B258 = "", "", IF('Additional Cartons-WUO_ERR'!A258 = "", "Validated", HYPERLINK("#" &amp; ADDRESS(258, 'Additional Cartons-WUO_TRK'!A258),_xlfn.TEXTAFTER('Additional Cartons-WUO_ERR'!A258, ":"))))</f>
        <v/>
      </c>
    </row>
    <row r="259">
      <c r="A259" s="38">
        <f>IF('Additional Cartons'!B259 = "", "", IF('Additional Cartons-WUO_ERR'!A259 = "", "Validated", HYPERLINK("#" &amp; ADDRESS(259, 'Additional Cartons-WUO_TRK'!A259),_xlfn.TEXTAFTER('Additional Cartons-WUO_ERR'!A259, ":"))))</f>
        <v/>
      </c>
    </row>
    <row r="260">
      <c r="A260" s="38">
        <f>IF('Additional Cartons'!B260 = "", "", IF('Additional Cartons-WUO_ERR'!A260 = "", "Validated", HYPERLINK("#" &amp; ADDRESS(260, 'Additional Cartons-WUO_TRK'!A260),_xlfn.TEXTAFTER('Additional Cartons-WUO_ERR'!A260, ":"))))</f>
        <v/>
      </c>
    </row>
    <row r="261">
      <c r="A261" s="38">
        <f>IF('Additional Cartons'!B261 = "", "", IF('Additional Cartons-WUO_ERR'!A261 = "", "Validated", HYPERLINK("#" &amp; ADDRESS(261, 'Additional Cartons-WUO_TRK'!A261),_xlfn.TEXTAFTER('Additional Cartons-WUO_ERR'!A261, ":"))))</f>
        <v/>
      </c>
    </row>
    <row r="262">
      <c r="A262" s="38">
        <f>IF('Additional Cartons'!B262 = "", "", IF('Additional Cartons-WUO_ERR'!A262 = "", "Validated", HYPERLINK("#" &amp; ADDRESS(262, 'Additional Cartons-WUO_TRK'!A262),_xlfn.TEXTAFTER('Additional Cartons-WUO_ERR'!A262, ":"))))</f>
        <v/>
      </c>
    </row>
    <row r="263">
      <c r="A263" s="38">
        <f>IF('Additional Cartons'!B263 = "", "", IF('Additional Cartons-WUO_ERR'!A263 = "", "Validated", HYPERLINK("#" &amp; ADDRESS(263, 'Additional Cartons-WUO_TRK'!A263),_xlfn.TEXTAFTER('Additional Cartons-WUO_ERR'!A263, ":"))))</f>
        <v/>
      </c>
    </row>
    <row r="264">
      <c r="A264" s="38">
        <f>IF('Additional Cartons'!B264 = "", "", IF('Additional Cartons-WUO_ERR'!A264 = "", "Validated", HYPERLINK("#" &amp; ADDRESS(264, 'Additional Cartons-WUO_TRK'!A264),_xlfn.TEXTAFTER('Additional Cartons-WUO_ERR'!A264, ":"))))</f>
        <v/>
      </c>
    </row>
    <row r="265">
      <c r="A265" s="38">
        <f>IF('Additional Cartons'!B265 = "", "", IF('Additional Cartons-WUO_ERR'!A265 = "", "Validated", HYPERLINK("#" &amp; ADDRESS(265, 'Additional Cartons-WUO_TRK'!A265),_xlfn.TEXTAFTER('Additional Cartons-WUO_ERR'!A265, ":"))))</f>
        <v/>
      </c>
    </row>
    <row r="266">
      <c r="A266" s="38">
        <f>IF('Additional Cartons'!B266 = "", "", IF('Additional Cartons-WUO_ERR'!A266 = "", "Validated", HYPERLINK("#" &amp; ADDRESS(266, 'Additional Cartons-WUO_TRK'!A266),_xlfn.TEXTAFTER('Additional Cartons-WUO_ERR'!A266, ":"))))</f>
        <v/>
      </c>
    </row>
    <row r="267">
      <c r="A267" s="38">
        <f>IF('Additional Cartons'!B267 = "", "", IF('Additional Cartons-WUO_ERR'!A267 = "", "Validated", HYPERLINK("#" &amp; ADDRESS(267, 'Additional Cartons-WUO_TRK'!A267),_xlfn.TEXTAFTER('Additional Cartons-WUO_ERR'!A267, ":"))))</f>
        <v/>
      </c>
    </row>
    <row r="268">
      <c r="A268" s="38">
        <f>IF('Additional Cartons'!B268 = "", "", IF('Additional Cartons-WUO_ERR'!A268 = "", "Validated", HYPERLINK("#" &amp; ADDRESS(268, 'Additional Cartons-WUO_TRK'!A268),_xlfn.TEXTAFTER('Additional Cartons-WUO_ERR'!A268, ":"))))</f>
        <v/>
      </c>
    </row>
    <row r="269">
      <c r="A269" s="38">
        <f>IF('Additional Cartons'!B269 = "", "", IF('Additional Cartons-WUO_ERR'!A269 = "", "Validated", HYPERLINK("#" &amp; ADDRESS(269, 'Additional Cartons-WUO_TRK'!A269),_xlfn.TEXTAFTER('Additional Cartons-WUO_ERR'!A269, ":"))))</f>
        <v/>
      </c>
    </row>
    <row r="270">
      <c r="A270" s="38">
        <f>IF('Additional Cartons'!B270 = "", "", IF('Additional Cartons-WUO_ERR'!A270 = "", "Validated", HYPERLINK("#" &amp; ADDRESS(270, 'Additional Cartons-WUO_TRK'!A270),_xlfn.TEXTAFTER('Additional Cartons-WUO_ERR'!A270, ":"))))</f>
        <v/>
      </c>
    </row>
    <row r="271">
      <c r="A271" s="38">
        <f>IF('Additional Cartons'!B271 = "", "", IF('Additional Cartons-WUO_ERR'!A271 = "", "Validated", HYPERLINK("#" &amp; ADDRESS(271, 'Additional Cartons-WUO_TRK'!A271),_xlfn.TEXTAFTER('Additional Cartons-WUO_ERR'!A271, ":"))))</f>
        <v/>
      </c>
    </row>
    <row r="272">
      <c r="A272" s="38">
        <f>IF('Additional Cartons'!B272 = "", "", IF('Additional Cartons-WUO_ERR'!A272 = "", "Validated", HYPERLINK("#" &amp; ADDRESS(272, 'Additional Cartons-WUO_TRK'!A272),_xlfn.TEXTAFTER('Additional Cartons-WUO_ERR'!A272, ":"))))</f>
        <v/>
      </c>
    </row>
    <row r="273">
      <c r="A273" s="38">
        <f>IF('Additional Cartons'!B273 = "", "", IF('Additional Cartons-WUO_ERR'!A273 = "", "Validated", HYPERLINK("#" &amp; ADDRESS(273, 'Additional Cartons-WUO_TRK'!A273),_xlfn.TEXTAFTER('Additional Cartons-WUO_ERR'!A273, ":"))))</f>
        <v/>
      </c>
    </row>
    <row r="274">
      <c r="A274" s="38">
        <f>IF('Additional Cartons'!B274 = "", "", IF('Additional Cartons-WUO_ERR'!A274 = "", "Validated", HYPERLINK("#" &amp; ADDRESS(274, 'Additional Cartons-WUO_TRK'!A274),_xlfn.TEXTAFTER('Additional Cartons-WUO_ERR'!A274, ":"))))</f>
        <v/>
      </c>
    </row>
    <row r="275">
      <c r="A275" s="38">
        <f>IF('Additional Cartons'!B275 = "", "", IF('Additional Cartons-WUO_ERR'!A275 = "", "Validated", HYPERLINK("#" &amp; ADDRESS(275, 'Additional Cartons-WUO_TRK'!A275),_xlfn.TEXTAFTER('Additional Cartons-WUO_ERR'!A275, ":"))))</f>
        <v/>
      </c>
    </row>
    <row r="276">
      <c r="A276" s="38">
        <f>IF('Additional Cartons'!B276 = "", "", IF('Additional Cartons-WUO_ERR'!A276 = "", "Validated", HYPERLINK("#" &amp; ADDRESS(276, 'Additional Cartons-WUO_TRK'!A276),_xlfn.TEXTAFTER('Additional Cartons-WUO_ERR'!A276, ":"))))</f>
        <v/>
      </c>
    </row>
    <row r="277">
      <c r="A277" s="38">
        <f>IF('Additional Cartons'!B277 = "", "", IF('Additional Cartons-WUO_ERR'!A277 = "", "Validated", HYPERLINK("#" &amp; ADDRESS(277, 'Additional Cartons-WUO_TRK'!A277),_xlfn.TEXTAFTER('Additional Cartons-WUO_ERR'!A277, ":"))))</f>
        <v/>
      </c>
    </row>
    <row r="278">
      <c r="A278" s="38">
        <f>IF('Additional Cartons'!B278 = "", "", IF('Additional Cartons-WUO_ERR'!A278 = "", "Validated", HYPERLINK("#" &amp; ADDRESS(278, 'Additional Cartons-WUO_TRK'!A278),_xlfn.TEXTAFTER('Additional Cartons-WUO_ERR'!A278, ":"))))</f>
        <v/>
      </c>
    </row>
    <row r="279">
      <c r="A279" s="38">
        <f>IF('Additional Cartons'!B279 = "", "", IF('Additional Cartons-WUO_ERR'!A279 = "", "Validated", HYPERLINK("#" &amp; ADDRESS(279, 'Additional Cartons-WUO_TRK'!A279),_xlfn.TEXTAFTER('Additional Cartons-WUO_ERR'!A279, ":"))))</f>
        <v/>
      </c>
    </row>
    <row r="280">
      <c r="A280" s="38">
        <f>IF('Additional Cartons'!B280 = "", "", IF('Additional Cartons-WUO_ERR'!A280 = "", "Validated", HYPERLINK("#" &amp; ADDRESS(280, 'Additional Cartons-WUO_TRK'!A280),_xlfn.TEXTAFTER('Additional Cartons-WUO_ERR'!A280, ":"))))</f>
        <v/>
      </c>
    </row>
    <row r="281">
      <c r="A281" s="38">
        <f>IF('Additional Cartons'!B281 = "", "", IF('Additional Cartons-WUO_ERR'!A281 = "", "Validated", HYPERLINK("#" &amp; ADDRESS(281, 'Additional Cartons-WUO_TRK'!A281),_xlfn.TEXTAFTER('Additional Cartons-WUO_ERR'!A281, ":"))))</f>
        <v/>
      </c>
    </row>
    <row r="282">
      <c r="A282" s="38">
        <f>IF('Additional Cartons'!B282 = "", "", IF('Additional Cartons-WUO_ERR'!A282 = "", "Validated", HYPERLINK("#" &amp; ADDRESS(282, 'Additional Cartons-WUO_TRK'!A282),_xlfn.TEXTAFTER('Additional Cartons-WUO_ERR'!A282, ":"))))</f>
        <v/>
      </c>
    </row>
    <row r="283">
      <c r="A283" s="38">
        <f>IF('Additional Cartons'!B283 = "", "", IF('Additional Cartons-WUO_ERR'!A283 = "", "Validated", HYPERLINK("#" &amp; ADDRESS(283, 'Additional Cartons-WUO_TRK'!A283),_xlfn.TEXTAFTER('Additional Cartons-WUO_ERR'!A283, ":"))))</f>
        <v/>
      </c>
    </row>
    <row r="284">
      <c r="A284" s="38">
        <f>IF('Additional Cartons'!B284 = "", "", IF('Additional Cartons-WUO_ERR'!A284 = "", "Validated", HYPERLINK("#" &amp; ADDRESS(284, 'Additional Cartons-WUO_TRK'!A284),_xlfn.TEXTAFTER('Additional Cartons-WUO_ERR'!A284, ":"))))</f>
        <v/>
      </c>
    </row>
    <row r="285">
      <c r="A285" s="38">
        <f>IF('Additional Cartons'!B285 = "", "", IF('Additional Cartons-WUO_ERR'!A285 = "", "Validated", HYPERLINK("#" &amp; ADDRESS(285, 'Additional Cartons-WUO_TRK'!A285),_xlfn.TEXTAFTER('Additional Cartons-WUO_ERR'!A285, ":"))))</f>
        <v/>
      </c>
    </row>
    <row r="286">
      <c r="A286" s="38">
        <f>IF('Additional Cartons'!B286 = "", "", IF('Additional Cartons-WUO_ERR'!A286 = "", "Validated", HYPERLINK("#" &amp; ADDRESS(286, 'Additional Cartons-WUO_TRK'!A286),_xlfn.TEXTAFTER('Additional Cartons-WUO_ERR'!A286, ":"))))</f>
        <v/>
      </c>
    </row>
    <row r="287">
      <c r="A287" s="38">
        <f>IF('Additional Cartons'!B287 = "", "", IF('Additional Cartons-WUO_ERR'!A287 = "", "Validated", HYPERLINK("#" &amp; ADDRESS(287, 'Additional Cartons-WUO_TRK'!A287),_xlfn.TEXTAFTER('Additional Cartons-WUO_ERR'!A287, ":"))))</f>
        <v/>
      </c>
    </row>
    <row r="288">
      <c r="A288" s="38">
        <f>IF('Additional Cartons'!B288 = "", "", IF('Additional Cartons-WUO_ERR'!A288 = "", "Validated", HYPERLINK("#" &amp; ADDRESS(288, 'Additional Cartons-WUO_TRK'!A288),_xlfn.TEXTAFTER('Additional Cartons-WUO_ERR'!A288, ":"))))</f>
        <v/>
      </c>
    </row>
    <row r="289">
      <c r="A289" s="38">
        <f>IF('Additional Cartons'!B289 = "", "", IF('Additional Cartons-WUO_ERR'!A289 = "", "Validated", HYPERLINK("#" &amp; ADDRESS(289, 'Additional Cartons-WUO_TRK'!A289),_xlfn.TEXTAFTER('Additional Cartons-WUO_ERR'!A289, ":"))))</f>
        <v/>
      </c>
    </row>
    <row r="290">
      <c r="A290" s="38">
        <f>IF('Additional Cartons'!B290 = "", "", IF('Additional Cartons-WUO_ERR'!A290 = "", "Validated", HYPERLINK("#" &amp; ADDRESS(290, 'Additional Cartons-WUO_TRK'!A290),_xlfn.TEXTAFTER('Additional Cartons-WUO_ERR'!A290, ":"))))</f>
        <v/>
      </c>
    </row>
    <row r="291">
      <c r="A291" s="38">
        <f>IF('Additional Cartons'!B291 = "", "", IF('Additional Cartons-WUO_ERR'!A291 = "", "Validated", HYPERLINK("#" &amp; ADDRESS(291, 'Additional Cartons-WUO_TRK'!A291),_xlfn.TEXTAFTER('Additional Cartons-WUO_ERR'!A291, ":"))))</f>
        <v/>
      </c>
    </row>
    <row r="292">
      <c r="A292" s="38">
        <f>IF('Additional Cartons'!B292 = "", "", IF('Additional Cartons-WUO_ERR'!A292 = "", "Validated", HYPERLINK("#" &amp; ADDRESS(292, 'Additional Cartons-WUO_TRK'!A292),_xlfn.TEXTAFTER('Additional Cartons-WUO_ERR'!A292, ":"))))</f>
        <v/>
      </c>
    </row>
    <row r="293">
      <c r="A293" s="38">
        <f>IF('Additional Cartons'!B293 = "", "", IF('Additional Cartons-WUO_ERR'!A293 = "", "Validated", HYPERLINK("#" &amp; ADDRESS(293, 'Additional Cartons-WUO_TRK'!A293),_xlfn.TEXTAFTER('Additional Cartons-WUO_ERR'!A293, ":"))))</f>
        <v/>
      </c>
    </row>
    <row r="294">
      <c r="A294" s="38">
        <f>IF('Additional Cartons'!B294 = "", "", IF('Additional Cartons-WUO_ERR'!A294 = "", "Validated", HYPERLINK("#" &amp; ADDRESS(294, 'Additional Cartons-WUO_TRK'!A294),_xlfn.TEXTAFTER('Additional Cartons-WUO_ERR'!A294, ":"))))</f>
        <v/>
      </c>
    </row>
    <row r="295">
      <c r="A295" s="38">
        <f>IF('Additional Cartons'!B295 = "", "", IF('Additional Cartons-WUO_ERR'!A295 = "", "Validated", HYPERLINK("#" &amp; ADDRESS(295, 'Additional Cartons-WUO_TRK'!A295),_xlfn.TEXTAFTER('Additional Cartons-WUO_ERR'!A295, ":"))))</f>
        <v/>
      </c>
    </row>
    <row r="296">
      <c r="A296" s="38">
        <f>IF('Additional Cartons'!B296 = "", "", IF('Additional Cartons-WUO_ERR'!A296 = "", "Validated", HYPERLINK("#" &amp; ADDRESS(296, 'Additional Cartons-WUO_TRK'!A296),_xlfn.TEXTAFTER('Additional Cartons-WUO_ERR'!A296, ":"))))</f>
        <v/>
      </c>
    </row>
    <row r="297">
      <c r="A297" s="38">
        <f>IF('Additional Cartons'!B297 = "", "", IF('Additional Cartons-WUO_ERR'!A297 = "", "Validated", HYPERLINK("#" &amp; ADDRESS(297, 'Additional Cartons-WUO_TRK'!A297),_xlfn.TEXTAFTER('Additional Cartons-WUO_ERR'!A297, ":"))))</f>
        <v/>
      </c>
    </row>
    <row r="298">
      <c r="A298" s="38">
        <f>IF('Additional Cartons'!B298 = "", "", IF('Additional Cartons-WUO_ERR'!A298 = "", "Validated", HYPERLINK("#" &amp; ADDRESS(298, 'Additional Cartons-WUO_TRK'!A298),_xlfn.TEXTAFTER('Additional Cartons-WUO_ERR'!A298, ":"))))</f>
        <v/>
      </c>
    </row>
    <row r="299">
      <c r="A299" s="38">
        <f>IF('Additional Cartons'!B299 = "", "", IF('Additional Cartons-WUO_ERR'!A299 = "", "Validated", HYPERLINK("#" &amp; ADDRESS(299, 'Additional Cartons-WUO_TRK'!A299),_xlfn.TEXTAFTER('Additional Cartons-WUO_ERR'!A299, ":"))))</f>
        <v/>
      </c>
    </row>
    <row r="300">
      <c r="A300" s="38">
        <f>IF('Additional Cartons'!B300 = "", "", IF('Additional Cartons-WUO_ERR'!A300 = "", "Validated", HYPERLINK("#" &amp; ADDRESS(300, 'Additional Cartons-WUO_TRK'!A300),_xlfn.TEXTAFTER('Additional Cartons-WUO_ERR'!A300, ":"))))</f>
        <v/>
      </c>
    </row>
    <row r="301">
      <c r="A301" s="38">
        <f>IF('Additional Cartons'!B301 = "", "", IF('Additional Cartons-WUO_ERR'!A301 = "", "Validated", HYPERLINK("#" &amp; ADDRESS(301, 'Additional Cartons-WUO_TRK'!A301),_xlfn.TEXTAFTER('Additional Cartons-WUO_ERR'!A301, ":"))))</f>
        <v/>
      </c>
    </row>
    <row r="302">
      <c r="A302" s="38">
        <f>IF('Additional Cartons'!B302 = "", "", IF('Additional Cartons-WUO_ERR'!A302 = "", "Validated", HYPERLINK("#" &amp; ADDRESS(302, 'Additional Cartons-WUO_TRK'!A302),_xlfn.TEXTAFTER('Additional Cartons-WUO_ERR'!A302, ":"))))</f>
        <v/>
      </c>
    </row>
    <row r="303">
      <c r="A303" s="38">
        <f>IF('Additional Cartons'!B303 = "", "", IF('Additional Cartons-WUO_ERR'!A303 = "", "Validated", HYPERLINK("#" &amp; ADDRESS(303, 'Additional Cartons-WUO_TRK'!A303),_xlfn.TEXTAFTER('Additional Cartons-WUO_ERR'!A303, ":"))))</f>
        <v/>
      </c>
    </row>
    <row r="304">
      <c r="A304" s="38">
        <f>IF('Additional Cartons'!B304 = "", "", IF('Additional Cartons-WUO_ERR'!A304 = "", "Validated", HYPERLINK("#" &amp; ADDRESS(304, 'Additional Cartons-WUO_TRK'!A304),_xlfn.TEXTAFTER('Additional Cartons-WUO_ERR'!A304, ":"))))</f>
        <v/>
      </c>
    </row>
    <row r="305">
      <c r="A305" s="38">
        <f>IF('Additional Cartons'!B305 = "", "", IF('Additional Cartons-WUO_ERR'!A305 = "", "Validated", HYPERLINK("#" &amp; ADDRESS(305, 'Additional Cartons-WUO_TRK'!A305),_xlfn.TEXTAFTER('Additional Cartons-WUO_ERR'!A305, ":"))))</f>
        <v/>
      </c>
    </row>
    <row r="306">
      <c r="A306" s="38">
        <f>IF('Additional Cartons'!B306 = "", "", IF('Additional Cartons-WUO_ERR'!A306 = "", "Validated", HYPERLINK("#" &amp; ADDRESS(306, 'Additional Cartons-WUO_TRK'!A306),_xlfn.TEXTAFTER('Additional Cartons-WUO_ERR'!A306, ":"))))</f>
        <v/>
      </c>
    </row>
    <row r="307">
      <c r="A307" s="38">
        <f>IF('Additional Cartons'!B307 = "", "", IF('Additional Cartons-WUO_ERR'!A307 = "", "Validated", HYPERLINK("#" &amp; ADDRESS(307, 'Additional Cartons-WUO_TRK'!A307),_xlfn.TEXTAFTER('Additional Cartons-WUO_ERR'!A307, ":"))))</f>
        <v/>
      </c>
    </row>
    <row r="308">
      <c r="A308" s="38">
        <f>IF('Additional Cartons'!B308 = "", "", IF('Additional Cartons-WUO_ERR'!A308 = "", "Validated", HYPERLINK("#" &amp; ADDRESS(308, 'Additional Cartons-WUO_TRK'!A308),_xlfn.TEXTAFTER('Additional Cartons-WUO_ERR'!A308, ":"))))</f>
        <v/>
      </c>
    </row>
    <row r="309">
      <c r="A309" s="38">
        <f>IF('Additional Cartons'!B309 = "", "", IF('Additional Cartons-WUO_ERR'!A309 = "", "Validated", HYPERLINK("#" &amp; ADDRESS(309, 'Additional Cartons-WUO_TRK'!A309),_xlfn.TEXTAFTER('Additional Cartons-WUO_ERR'!A309, ":"))))</f>
        <v/>
      </c>
    </row>
    <row r="310">
      <c r="A310" s="38">
        <f>IF('Additional Cartons'!B310 = "", "", IF('Additional Cartons-WUO_ERR'!A310 = "", "Validated", HYPERLINK("#" &amp; ADDRESS(310, 'Additional Cartons-WUO_TRK'!A310),_xlfn.TEXTAFTER('Additional Cartons-WUO_ERR'!A310, ":"))))</f>
        <v/>
      </c>
    </row>
    <row r="311">
      <c r="A311" s="38">
        <f>IF('Additional Cartons'!B311 = "", "", IF('Additional Cartons-WUO_ERR'!A311 = "", "Validated", HYPERLINK("#" &amp; ADDRESS(311, 'Additional Cartons-WUO_TRK'!A311),_xlfn.TEXTAFTER('Additional Cartons-WUO_ERR'!A311, ":"))))</f>
        <v/>
      </c>
    </row>
    <row r="312">
      <c r="A312" s="38">
        <f>IF('Additional Cartons'!B312 = "", "", IF('Additional Cartons-WUO_ERR'!A312 = "", "Validated", HYPERLINK("#" &amp; ADDRESS(312, 'Additional Cartons-WUO_TRK'!A312),_xlfn.TEXTAFTER('Additional Cartons-WUO_ERR'!A312, ":"))))</f>
        <v/>
      </c>
    </row>
    <row r="313">
      <c r="A313" s="38">
        <f>IF('Additional Cartons'!B313 = "", "", IF('Additional Cartons-WUO_ERR'!A313 = "", "Validated", HYPERLINK("#" &amp; ADDRESS(313, 'Additional Cartons-WUO_TRK'!A313),_xlfn.TEXTAFTER('Additional Cartons-WUO_ERR'!A313, ":"))))</f>
        <v/>
      </c>
    </row>
    <row r="314">
      <c r="A314" s="38">
        <f>IF('Additional Cartons'!B314 = "", "", IF('Additional Cartons-WUO_ERR'!A314 = "", "Validated", HYPERLINK("#" &amp; ADDRESS(314, 'Additional Cartons-WUO_TRK'!A314),_xlfn.TEXTAFTER('Additional Cartons-WUO_ERR'!A314, ":"))))</f>
        <v/>
      </c>
    </row>
    <row r="315">
      <c r="A315" s="38">
        <f>IF('Additional Cartons'!B315 = "", "", IF('Additional Cartons-WUO_ERR'!A315 = "", "Validated", HYPERLINK("#" &amp; ADDRESS(315, 'Additional Cartons-WUO_TRK'!A315),_xlfn.TEXTAFTER('Additional Cartons-WUO_ERR'!A315, ":"))))</f>
        <v/>
      </c>
    </row>
    <row r="316">
      <c r="A316" s="38">
        <f>IF('Additional Cartons'!B316 = "", "", IF('Additional Cartons-WUO_ERR'!A316 = "", "Validated", HYPERLINK("#" &amp; ADDRESS(316, 'Additional Cartons-WUO_TRK'!A316),_xlfn.TEXTAFTER('Additional Cartons-WUO_ERR'!A316, ":"))))</f>
        <v/>
      </c>
    </row>
    <row r="317">
      <c r="A317" s="38">
        <f>IF('Additional Cartons'!B317 = "", "", IF('Additional Cartons-WUO_ERR'!A317 = "", "Validated", HYPERLINK("#" &amp; ADDRESS(317, 'Additional Cartons-WUO_TRK'!A317),_xlfn.TEXTAFTER('Additional Cartons-WUO_ERR'!A317, ":"))))</f>
        <v/>
      </c>
    </row>
    <row r="318">
      <c r="A318" s="38">
        <f>IF('Additional Cartons'!B318 = "", "", IF('Additional Cartons-WUO_ERR'!A318 = "", "Validated", HYPERLINK("#" &amp; ADDRESS(318, 'Additional Cartons-WUO_TRK'!A318),_xlfn.TEXTAFTER('Additional Cartons-WUO_ERR'!A318, ":"))))</f>
        <v/>
      </c>
    </row>
    <row r="319">
      <c r="A319" s="38">
        <f>IF('Additional Cartons'!B319 = "", "", IF('Additional Cartons-WUO_ERR'!A319 = "", "Validated", HYPERLINK("#" &amp; ADDRESS(319, 'Additional Cartons-WUO_TRK'!A319),_xlfn.TEXTAFTER('Additional Cartons-WUO_ERR'!A319, ":"))))</f>
        <v/>
      </c>
    </row>
    <row r="320">
      <c r="A320" s="38">
        <f>IF('Additional Cartons'!B320 = "", "", IF('Additional Cartons-WUO_ERR'!A320 = "", "Validated", HYPERLINK("#" &amp; ADDRESS(320, 'Additional Cartons-WUO_TRK'!A320),_xlfn.TEXTAFTER('Additional Cartons-WUO_ERR'!A320, ":"))))</f>
        <v/>
      </c>
    </row>
    <row r="321">
      <c r="A321" s="38">
        <f>IF('Additional Cartons'!B321 = "", "", IF('Additional Cartons-WUO_ERR'!A321 = "", "Validated", HYPERLINK("#" &amp; ADDRESS(321, 'Additional Cartons-WUO_TRK'!A321),_xlfn.TEXTAFTER('Additional Cartons-WUO_ERR'!A321, ":"))))</f>
        <v/>
      </c>
    </row>
    <row r="322">
      <c r="A322" s="38">
        <f>IF('Additional Cartons'!B322 = "", "", IF('Additional Cartons-WUO_ERR'!A322 = "", "Validated", HYPERLINK("#" &amp; ADDRESS(322, 'Additional Cartons-WUO_TRK'!A322),_xlfn.TEXTAFTER('Additional Cartons-WUO_ERR'!A322, ":"))))</f>
        <v/>
      </c>
    </row>
    <row r="323">
      <c r="A323" s="38">
        <f>IF('Additional Cartons'!B323 = "", "", IF('Additional Cartons-WUO_ERR'!A323 = "", "Validated", HYPERLINK("#" &amp; ADDRESS(323, 'Additional Cartons-WUO_TRK'!A323),_xlfn.TEXTAFTER('Additional Cartons-WUO_ERR'!A323, ":"))))</f>
        <v/>
      </c>
    </row>
    <row r="324">
      <c r="A324" s="38">
        <f>IF('Additional Cartons'!B324 = "", "", IF('Additional Cartons-WUO_ERR'!A324 = "", "Validated", HYPERLINK("#" &amp; ADDRESS(324, 'Additional Cartons-WUO_TRK'!A324),_xlfn.TEXTAFTER('Additional Cartons-WUO_ERR'!A324, ":"))))</f>
        <v/>
      </c>
    </row>
    <row r="325">
      <c r="A325" s="38">
        <f>IF('Additional Cartons'!B325 = "", "", IF('Additional Cartons-WUO_ERR'!A325 = "", "Validated", HYPERLINK("#" &amp; ADDRESS(325, 'Additional Cartons-WUO_TRK'!A325),_xlfn.TEXTAFTER('Additional Cartons-WUO_ERR'!A325, ":"))))</f>
        <v/>
      </c>
    </row>
    <row r="326">
      <c r="A326" s="38">
        <f>IF('Additional Cartons'!B326 = "", "", IF('Additional Cartons-WUO_ERR'!A326 = "", "Validated", HYPERLINK("#" &amp; ADDRESS(326, 'Additional Cartons-WUO_TRK'!A326),_xlfn.TEXTAFTER('Additional Cartons-WUO_ERR'!A326, ":"))))</f>
        <v/>
      </c>
    </row>
    <row r="327">
      <c r="A327" s="38">
        <f>IF('Additional Cartons'!B327 = "", "", IF('Additional Cartons-WUO_ERR'!A327 = "", "Validated", HYPERLINK("#" &amp; ADDRESS(327, 'Additional Cartons-WUO_TRK'!A327),_xlfn.TEXTAFTER('Additional Cartons-WUO_ERR'!A327, ":"))))</f>
        <v/>
      </c>
    </row>
    <row r="328">
      <c r="A328" s="38">
        <f>IF('Additional Cartons'!B328 = "", "", IF('Additional Cartons-WUO_ERR'!A328 = "", "Validated", HYPERLINK("#" &amp; ADDRESS(328, 'Additional Cartons-WUO_TRK'!A328),_xlfn.TEXTAFTER('Additional Cartons-WUO_ERR'!A328, ":"))))</f>
        <v/>
      </c>
    </row>
    <row r="329">
      <c r="A329" s="38">
        <f>IF('Additional Cartons'!B329 = "", "", IF('Additional Cartons-WUO_ERR'!A329 = "", "Validated", HYPERLINK("#" &amp; ADDRESS(329, 'Additional Cartons-WUO_TRK'!A329),_xlfn.TEXTAFTER('Additional Cartons-WUO_ERR'!A329, ":"))))</f>
        <v/>
      </c>
    </row>
    <row r="330">
      <c r="A330" s="38">
        <f>IF('Additional Cartons'!B330 = "", "", IF('Additional Cartons-WUO_ERR'!A330 = "", "Validated", HYPERLINK("#" &amp; ADDRESS(330, 'Additional Cartons-WUO_TRK'!A330),_xlfn.TEXTAFTER('Additional Cartons-WUO_ERR'!A330, ":"))))</f>
        <v/>
      </c>
    </row>
    <row r="331">
      <c r="A331" s="38">
        <f>IF('Additional Cartons'!B331 = "", "", IF('Additional Cartons-WUO_ERR'!A331 = "", "Validated", HYPERLINK("#" &amp; ADDRESS(331, 'Additional Cartons-WUO_TRK'!A331),_xlfn.TEXTAFTER('Additional Cartons-WUO_ERR'!A331, ":"))))</f>
        <v/>
      </c>
    </row>
    <row r="332">
      <c r="A332" s="38">
        <f>IF('Additional Cartons'!B332 = "", "", IF('Additional Cartons-WUO_ERR'!A332 = "", "Validated", HYPERLINK("#" &amp; ADDRESS(332, 'Additional Cartons-WUO_TRK'!A332),_xlfn.TEXTAFTER('Additional Cartons-WUO_ERR'!A332, ":"))))</f>
        <v/>
      </c>
    </row>
    <row r="333">
      <c r="A333" s="38">
        <f>IF('Additional Cartons'!B333 = "", "", IF('Additional Cartons-WUO_ERR'!A333 = "", "Validated", HYPERLINK("#" &amp; ADDRESS(333, 'Additional Cartons-WUO_TRK'!A333),_xlfn.TEXTAFTER('Additional Cartons-WUO_ERR'!A333, ":"))))</f>
        <v/>
      </c>
    </row>
    <row r="334">
      <c r="A334" s="38">
        <f>IF('Additional Cartons'!B334 = "", "", IF('Additional Cartons-WUO_ERR'!A334 = "", "Validated", HYPERLINK("#" &amp; ADDRESS(334, 'Additional Cartons-WUO_TRK'!A334),_xlfn.TEXTAFTER('Additional Cartons-WUO_ERR'!A334, ":"))))</f>
        <v/>
      </c>
    </row>
    <row r="335">
      <c r="A335" s="38">
        <f>IF('Additional Cartons'!B335 = "", "", IF('Additional Cartons-WUO_ERR'!A335 = "", "Validated", HYPERLINK("#" &amp; ADDRESS(335, 'Additional Cartons-WUO_TRK'!A335),_xlfn.TEXTAFTER('Additional Cartons-WUO_ERR'!A335, ":"))))</f>
        <v/>
      </c>
    </row>
    <row r="336">
      <c r="A336" s="38">
        <f>IF('Additional Cartons'!B336 = "", "", IF('Additional Cartons-WUO_ERR'!A336 = "", "Validated", HYPERLINK("#" &amp; ADDRESS(336, 'Additional Cartons-WUO_TRK'!A336),_xlfn.TEXTAFTER('Additional Cartons-WUO_ERR'!A336, ":"))))</f>
        <v/>
      </c>
    </row>
    <row r="337">
      <c r="A337" s="38">
        <f>IF('Additional Cartons'!B337 = "", "", IF('Additional Cartons-WUO_ERR'!A337 = "", "Validated", HYPERLINK("#" &amp; ADDRESS(337, 'Additional Cartons-WUO_TRK'!A337),_xlfn.TEXTAFTER('Additional Cartons-WUO_ERR'!A337, ":"))))</f>
        <v/>
      </c>
    </row>
    <row r="338">
      <c r="A338" s="38">
        <f>IF('Additional Cartons'!B338 = "", "", IF('Additional Cartons-WUO_ERR'!A338 = "", "Validated", HYPERLINK("#" &amp; ADDRESS(338, 'Additional Cartons-WUO_TRK'!A338),_xlfn.TEXTAFTER('Additional Cartons-WUO_ERR'!A338, ":"))))</f>
        <v/>
      </c>
    </row>
    <row r="339">
      <c r="A339" s="38">
        <f>IF('Additional Cartons'!B339 = "", "", IF('Additional Cartons-WUO_ERR'!A339 = "", "Validated", HYPERLINK("#" &amp; ADDRESS(339, 'Additional Cartons-WUO_TRK'!A339),_xlfn.TEXTAFTER('Additional Cartons-WUO_ERR'!A339, ":"))))</f>
        <v/>
      </c>
    </row>
    <row r="340">
      <c r="A340" s="38">
        <f>IF('Additional Cartons'!B340 = "", "", IF('Additional Cartons-WUO_ERR'!A340 = "", "Validated", HYPERLINK("#" &amp; ADDRESS(340, 'Additional Cartons-WUO_TRK'!A340),_xlfn.TEXTAFTER('Additional Cartons-WUO_ERR'!A340, ":"))))</f>
        <v/>
      </c>
    </row>
    <row r="341">
      <c r="A341" s="38">
        <f>IF('Additional Cartons'!B341 = "", "", IF('Additional Cartons-WUO_ERR'!A341 = "", "Validated", HYPERLINK("#" &amp; ADDRESS(341, 'Additional Cartons-WUO_TRK'!A341),_xlfn.TEXTAFTER('Additional Cartons-WUO_ERR'!A341, ":"))))</f>
        <v/>
      </c>
    </row>
    <row r="342">
      <c r="A342" s="38">
        <f>IF('Additional Cartons'!B342 = "", "", IF('Additional Cartons-WUO_ERR'!A342 = "", "Validated", HYPERLINK("#" &amp; ADDRESS(342, 'Additional Cartons-WUO_TRK'!A342),_xlfn.TEXTAFTER('Additional Cartons-WUO_ERR'!A342, ":"))))</f>
        <v/>
      </c>
    </row>
    <row r="343">
      <c r="A343" s="38">
        <f>IF('Additional Cartons'!B343 = "", "", IF('Additional Cartons-WUO_ERR'!A343 = "", "Validated", HYPERLINK("#" &amp; ADDRESS(343, 'Additional Cartons-WUO_TRK'!A343),_xlfn.TEXTAFTER('Additional Cartons-WUO_ERR'!A343, ":"))))</f>
        <v/>
      </c>
    </row>
    <row r="344">
      <c r="A344" s="38">
        <f>IF('Additional Cartons'!B344 = "", "", IF('Additional Cartons-WUO_ERR'!A344 = "", "Validated", HYPERLINK("#" &amp; ADDRESS(344, 'Additional Cartons-WUO_TRK'!A344),_xlfn.TEXTAFTER('Additional Cartons-WUO_ERR'!A344, ":"))))</f>
        <v/>
      </c>
    </row>
    <row r="345">
      <c r="A345" s="38">
        <f>IF('Additional Cartons'!B345 = "", "", IF('Additional Cartons-WUO_ERR'!A345 = "", "Validated", HYPERLINK("#" &amp; ADDRESS(345, 'Additional Cartons-WUO_TRK'!A345),_xlfn.TEXTAFTER('Additional Cartons-WUO_ERR'!A345, ":"))))</f>
        <v/>
      </c>
    </row>
    <row r="346">
      <c r="A346" s="38">
        <f>IF('Additional Cartons'!B346 = "", "", IF('Additional Cartons-WUO_ERR'!A346 = "", "Validated", HYPERLINK("#" &amp; ADDRESS(346, 'Additional Cartons-WUO_TRK'!A346),_xlfn.TEXTAFTER('Additional Cartons-WUO_ERR'!A346, ":"))))</f>
        <v/>
      </c>
    </row>
    <row r="347">
      <c r="A347" s="38">
        <f>IF('Additional Cartons'!B347 = "", "", IF('Additional Cartons-WUO_ERR'!A347 = "", "Validated", HYPERLINK("#" &amp; ADDRESS(347, 'Additional Cartons-WUO_TRK'!A347),_xlfn.TEXTAFTER('Additional Cartons-WUO_ERR'!A347, ":"))))</f>
        <v/>
      </c>
    </row>
    <row r="348">
      <c r="A348" s="38">
        <f>IF('Additional Cartons'!B348 = "", "", IF('Additional Cartons-WUO_ERR'!A348 = "", "Validated", HYPERLINK("#" &amp; ADDRESS(348, 'Additional Cartons-WUO_TRK'!A348),_xlfn.TEXTAFTER('Additional Cartons-WUO_ERR'!A348, ":"))))</f>
        <v/>
      </c>
    </row>
    <row r="349">
      <c r="A349" s="38">
        <f>IF('Additional Cartons'!B349 = "", "", IF('Additional Cartons-WUO_ERR'!A349 = "", "Validated", HYPERLINK("#" &amp; ADDRESS(349, 'Additional Cartons-WUO_TRK'!A349),_xlfn.TEXTAFTER('Additional Cartons-WUO_ERR'!A349, ":"))))</f>
        <v/>
      </c>
    </row>
    <row r="350">
      <c r="A350" s="38">
        <f>IF('Additional Cartons'!B350 = "", "", IF('Additional Cartons-WUO_ERR'!A350 = "", "Validated", HYPERLINK("#" &amp; ADDRESS(350, 'Additional Cartons-WUO_TRK'!A350),_xlfn.TEXTAFTER('Additional Cartons-WUO_ERR'!A350, ":"))))</f>
        <v/>
      </c>
    </row>
    <row r="351">
      <c r="A351" s="38">
        <f>IF('Additional Cartons'!B351 = "", "", IF('Additional Cartons-WUO_ERR'!A351 = "", "Validated", HYPERLINK("#" &amp; ADDRESS(351, 'Additional Cartons-WUO_TRK'!A351),_xlfn.TEXTAFTER('Additional Cartons-WUO_ERR'!A351, ":"))))</f>
        <v/>
      </c>
    </row>
    <row r="352">
      <c r="A352" s="38">
        <f>IF('Additional Cartons'!B352 = "", "", IF('Additional Cartons-WUO_ERR'!A352 = "", "Validated", HYPERLINK("#" &amp; ADDRESS(352, 'Additional Cartons-WUO_TRK'!A352),_xlfn.TEXTAFTER('Additional Cartons-WUO_ERR'!A352, ":"))))</f>
        <v/>
      </c>
    </row>
    <row r="353">
      <c r="A353" s="38">
        <f>IF('Additional Cartons'!B353 = "", "", IF('Additional Cartons-WUO_ERR'!A353 = "", "Validated", HYPERLINK("#" &amp; ADDRESS(353, 'Additional Cartons-WUO_TRK'!A353),_xlfn.TEXTAFTER('Additional Cartons-WUO_ERR'!A353, ":"))))</f>
        <v/>
      </c>
    </row>
    <row r="354">
      <c r="A354" s="38">
        <f>IF('Additional Cartons'!B354 = "", "", IF('Additional Cartons-WUO_ERR'!A354 = "", "Validated", HYPERLINK("#" &amp; ADDRESS(354, 'Additional Cartons-WUO_TRK'!A354),_xlfn.TEXTAFTER('Additional Cartons-WUO_ERR'!A354, ":"))))</f>
        <v/>
      </c>
    </row>
    <row r="355">
      <c r="A355" s="38">
        <f>IF('Additional Cartons'!B355 = "", "", IF('Additional Cartons-WUO_ERR'!A355 = "", "Validated", HYPERLINK("#" &amp; ADDRESS(355, 'Additional Cartons-WUO_TRK'!A355),_xlfn.TEXTAFTER('Additional Cartons-WUO_ERR'!A355, ":"))))</f>
        <v/>
      </c>
    </row>
    <row r="356">
      <c r="A356" s="38">
        <f>IF('Additional Cartons'!B356 = "", "", IF('Additional Cartons-WUO_ERR'!A356 = "", "Validated", HYPERLINK("#" &amp; ADDRESS(356, 'Additional Cartons-WUO_TRK'!A356),_xlfn.TEXTAFTER('Additional Cartons-WUO_ERR'!A356, ":"))))</f>
        <v/>
      </c>
    </row>
    <row r="357">
      <c r="A357" s="38">
        <f>IF('Additional Cartons'!B357 = "", "", IF('Additional Cartons-WUO_ERR'!A357 = "", "Validated", HYPERLINK("#" &amp; ADDRESS(357, 'Additional Cartons-WUO_TRK'!A357),_xlfn.TEXTAFTER('Additional Cartons-WUO_ERR'!A357, ":"))))</f>
        <v/>
      </c>
    </row>
    <row r="358">
      <c r="A358" s="38">
        <f>IF('Additional Cartons'!B358 = "", "", IF('Additional Cartons-WUO_ERR'!A358 = "", "Validated", HYPERLINK("#" &amp; ADDRESS(358, 'Additional Cartons-WUO_TRK'!A358),_xlfn.TEXTAFTER('Additional Cartons-WUO_ERR'!A358, ":"))))</f>
        <v/>
      </c>
    </row>
    <row r="359">
      <c r="A359" s="38">
        <f>IF('Additional Cartons'!B359 = "", "", IF('Additional Cartons-WUO_ERR'!A359 = "", "Validated", HYPERLINK("#" &amp; ADDRESS(359, 'Additional Cartons-WUO_TRK'!A359),_xlfn.TEXTAFTER('Additional Cartons-WUO_ERR'!A359, ":"))))</f>
        <v/>
      </c>
    </row>
    <row r="360">
      <c r="A360" s="38">
        <f>IF('Additional Cartons'!B360 = "", "", IF('Additional Cartons-WUO_ERR'!A360 = "", "Validated", HYPERLINK("#" &amp; ADDRESS(360, 'Additional Cartons-WUO_TRK'!A360),_xlfn.TEXTAFTER('Additional Cartons-WUO_ERR'!A360, ":"))))</f>
        <v/>
      </c>
    </row>
    <row r="361">
      <c r="A361" s="38">
        <f>IF('Additional Cartons'!B361 = "", "", IF('Additional Cartons-WUO_ERR'!A361 = "", "Validated", HYPERLINK("#" &amp; ADDRESS(361, 'Additional Cartons-WUO_TRK'!A361),_xlfn.TEXTAFTER('Additional Cartons-WUO_ERR'!A361, ":"))))</f>
        <v/>
      </c>
    </row>
    <row r="362">
      <c r="A362" s="38">
        <f>IF('Additional Cartons'!B362 = "", "", IF('Additional Cartons-WUO_ERR'!A362 = "", "Validated", HYPERLINK("#" &amp; ADDRESS(362, 'Additional Cartons-WUO_TRK'!A362),_xlfn.TEXTAFTER('Additional Cartons-WUO_ERR'!A362, ":"))))</f>
        <v/>
      </c>
    </row>
    <row r="363">
      <c r="A363" s="38">
        <f>IF('Additional Cartons'!B363 = "", "", IF('Additional Cartons-WUO_ERR'!A363 = "", "Validated", HYPERLINK("#" &amp; ADDRESS(363, 'Additional Cartons-WUO_TRK'!A363),_xlfn.TEXTAFTER('Additional Cartons-WUO_ERR'!A363, ":"))))</f>
        <v/>
      </c>
    </row>
    <row r="364">
      <c r="A364" s="38">
        <f>IF('Additional Cartons'!B364 = "", "", IF('Additional Cartons-WUO_ERR'!A364 = "", "Validated", HYPERLINK("#" &amp; ADDRESS(364, 'Additional Cartons-WUO_TRK'!A364),_xlfn.TEXTAFTER('Additional Cartons-WUO_ERR'!A364, ":"))))</f>
        <v/>
      </c>
    </row>
    <row r="365">
      <c r="A365" s="38">
        <f>IF('Additional Cartons'!B365 = "", "", IF('Additional Cartons-WUO_ERR'!A365 = "", "Validated", HYPERLINK("#" &amp; ADDRESS(365, 'Additional Cartons-WUO_TRK'!A365),_xlfn.TEXTAFTER('Additional Cartons-WUO_ERR'!A365, ":"))))</f>
        <v/>
      </c>
    </row>
    <row r="366">
      <c r="A366" s="38">
        <f>IF('Additional Cartons'!B366 = "", "", IF('Additional Cartons-WUO_ERR'!A366 = "", "Validated", HYPERLINK("#" &amp; ADDRESS(366, 'Additional Cartons-WUO_TRK'!A366),_xlfn.TEXTAFTER('Additional Cartons-WUO_ERR'!A366, ":"))))</f>
        <v/>
      </c>
    </row>
    <row r="367">
      <c r="A367" s="38">
        <f>IF('Additional Cartons'!B367 = "", "", IF('Additional Cartons-WUO_ERR'!A367 = "", "Validated", HYPERLINK("#" &amp; ADDRESS(367, 'Additional Cartons-WUO_TRK'!A367),_xlfn.TEXTAFTER('Additional Cartons-WUO_ERR'!A367, ":"))))</f>
        <v/>
      </c>
    </row>
    <row r="368">
      <c r="A368" s="38">
        <f>IF('Additional Cartons'!B368 = "", "", IF('Additional Cartons-WUO_ERR'!A368 = "", "Validated", HYPERLINK("#" &amp; ADDRESS(368, 'Additional Cartons-WUO_TRK'!A368),_xlfn.TEXTAFTER('Additional Cartons-WUO_ERR'!A368, ":"))))</f>
        <v/>
      </c>
    </row>
    <row r="369">
      <c r="A369" s="38">
        <f>IF('Additional Cartons'!B369 = "", "", IF('Additional Cartons-WUO_ERR'!A369 = "", "Validated", HYPERLINK("#" &amp; ADDRESS(369, 'Additional Cartons-WUO_TRK'!A369),_xlfn.TEXTAFTER('Additional Cartons-WUO_ERR'!A369, ":"))))</f>
        <v/>
      </c>
    </row>
    <row r="370">
      <c r="A370" s="38">
        <f>IF('Additional Cartons'!B370 = "", "", IF('Additional Cartons-WUO_ERR'!A370 = "", "Validated", HYPERLINK("#" &amp; ADDRESS(370, 'Additional Cartons-WUO_TRK'!A370),_xlfn.TEXTAFTER('Additional Cartons-WUO_ERR'!A370, ":"))))</f>
        <v/>
      </c>
    </row>
    <row r="371">
      <c r="A371" s="38">
        <f>IF('Additional Cartons'!B371 = "", "", IF('Additional Cartons-WUO_ERR'!A371 = "", "Validated", HYPERLINK("#" &amp; ADDRESS(371, 'Additional Cartons-WUO_TRK'!A371),_xlfn.TEXTAFTER('Additional Cartons-WUO_ERR'!A371, ":"))))</f>
        <v/>
      </c>
    </row>
    <row r="372">
      <c r="A372" s="38">
        <f>IF('Additional Cartons'!B372 = "", "", IF('Additional Cartons-WUO_ERR'!A372 = "", "Validated", HYPERLINK("#" &amp; ADDRESS(372, 'Additional Cartons-WUO_TRK'!A372),_xlfn.TEXTAFTER('Additional Cartons-WUO_ERR'!A372, ":"))))</f>
        <v/>
      </c>
    </row>
    <row r="373">
      <c r="A373" s="38">
        <f>IF('Additional Cartons'!B373 = "", "", IF('Additional Cartons-WUO_ERR'!A373 = "", "Validated", HYPERLINK("#" &amp; ADDRESS(373, 'Additional Cartons-WUO_TRK'!A373),_xlfn.TEXTAFTER('Additional Cartons-WUO_ERR'!A373, ":"))))</f>
        <v/>
      </c>
    </row>
    <row r="374">
      <c r="A374" s="38">
        <f>IF('Additional Cartons'!B374 = "", "", IF('Additional Cartons-WUO_ERR'!A374 = "", "Validated", HYPERLINK("#" &amp; ADDRESS(374, 'Additional Cartons-WUO_TRK'!A374),_xlfn.TEXTAFTER('Additional Cartons-WUO_ERR'!A374, ":"))))</f>
        <v/>
      </c>
    </row>
    <row r="375">
      <c r="A375" s="38">
        <f>IF('Additional Cartons'!B375 = "", "", IF('Additional Cartons-WUO_ERR'!A375 = "", "Validated", HYPERLINK("#" &amp; ADDRESS(375, 'Additional Cartons-WUO_TRK'!A375),_xlfn.TEXTAFTER('Additional Cartons-WUO_ERR'!A375, ":"))))</f>
        <v/>
      </c>
    </row>
    <row r="376">
      <c r="A376" s="38">
        <f>IF('Additional Cartons'!B376 = "", "", IF('Additional Cartons-WUO_ERR'!A376 = "", "Validated", HYPERLINK("#" &amp; ADDRESS(376, 'Additional Cartons-WUO_TRK'!A376),_xlfn.TEXTAFTER('Additional Cartons-WUO_ERR'!A376, ":"))))</f>
        <v/>
      </c>
    </row>
    <row r="377">
      <c r="A377" s="38">
        <f>IF('Additional Cartons'!B377 = "", "", IF('Additional Cartons-WUO_ERR'!A377 = "", "Validated", HYPERLINK("#" &amp; ADDRESS(377, 'Additional Cartons-WUO_TRK'!A377),_xlfn.TEXTAFTER('Additional Cartons-WUO_ERR'!A377, ":"))))</f>
        <v/>
      </c>
    </row>
    <row r="378">
      <c r="A378" s="38">
        <f>IF('Additional Cartons'!B378 = "", "", IF('Additional Cartons-WUO_ERR'!A378 = "", "Validated", HYPERLINK("#" &amp; ADDRESS(378, 'Additional Cartons-WUO_TRK'!A378),_xlfn.TEXTAFTER('Additional Cartons-WUO_ERR'!A378, ":"))))</f>
        <v/>
      </c>
    </row>
    <row r="379">
      <c r="A379" s="38">
        <f>IF('Additional Cartons'!B379 = "", "", IF('Additional Cartons-WUO_ERR'!A379 = "", "Validated", HYPERLINK("#" &amp; ADDRESS(379, 'Additional Cartons-WUO_TRK'!A379),_xlfn.TEXTAFTER('Additional Cartons-WUO_ERR'!A379, ":"))))</f>
        <v/>
      </c>
    </row>
    <row r="380">
      <c r="A380" s="38">
        <f>IF('Additional Cartons'!B380 = "", "", IF('Additional Cartons-WUO_ERR'!A380 = "", "Validated", HYPERLINK("#" &amp; ADDRESS(380, 'Additional Cartons-WUO_TRK'!A380),_xlfn.TEXTAFTER('Additional Cartons-WUO_ERR'!A380, ":"))))</f>
        <v/>
      </c>
    </row>
    <row r="381">
      <c r="A381" s="38">
        <f>IF('Additional Cartons'!B381 = "", "", IF('Additional Cartons-WUO_ERR'!A381 = "", "Validated", HYPERLINK("#" &amp; ADDRESS(381, 'Additional Cartons-WUO_TRK'!A381),_xlfn.TEXTAFTER('Additional Cartons-WUO_ERR'!A381, ":"))))</f>
        <v/>
      </c>
    </row>
    <row r="382">
      <c r="A382" s="38">
        <f>IF('Additional Cartons'!B382 = "", "", IF('Additional Cartons-WUO_ERR'!A382 = "", "Validated", HYPERLINK("#" &amp; ADDRESS(382, 'Additional Cartons-WUO_TRK'!A382),_xlfn.TEXTAFTER('Additional Cartons-WUO_ERR'!A382, ":"))))</f>
        <v/>
      </c>
    </row>
    <row r="383">
      <c r="A383" s="38">
        <f>IF('Additional Cartons'!B383 = "", "", IF('Additional Cartons-WUO_ERR'!A383 = "", "Validated", HYPERLINK("#" &amp; ADDRESS(383, 'Additional Cartons-WUO_TRK'!A383),_xlfn.TEXTAFTER('Additional Cartons-WUO_ERR'!A383, ":"))))</f>
        <v/>
      </c>
    </row>
    <row r="384">
      <c r="A384" s="38">
        <f>IF('Additional Cartons'!B384 = "", "", IF('Additional Cartons-WUO_ERR'!A384 = "", "Validated", HYPERLINK("#" &amp; ADDRESS(384, 'Additional Cartons-WUO_TRK'!A384),_xlfn.TEXTAFTER('Additional Cartons-WUO_ERR'!A384, ":"))))</f>
        <v/>
      </c>
    </row>
    <row r="385">
      <c r="A385" s="38">
        <f>IF('Additional Cartons'!B385 = "", "", IF('Additional Cartons-WUO_ERR'!A385 = "", "Validated", HYPERLINK("#" &amp; ADDRESS(385, 'Additional Cartons-WUO_TRK'!A385),_xlfn.TEXTAFTER('Additional Cartons-WUO_ERR'!A385, ":"))))</f>
        <v/>
      </c>
    </row>
    <row r="386">
      <c r="A386" s="38">
        <f>IF('Additional Cartons'!B386 = "", "", IF('Additional Cartons-WUO_ERR'!A386 = "", "Validated", HYPERLINK("#" &amp; ADDRESS(386, 'Additional Cartons-WUO_TRK'!A386),_xlfn.TEXTAFTER('Additional Cartons-WUO_ERR'!A386, ":"))))</f>
        <v/>
      </c>
    </row>
    <row r="387">
      <c r="A387" s="38">
        <f>IF('Additional Cartons'!B387 = "", "", IF('Additional Cartons-WUO_ERR'!A387 = "", "Validated", HYPERLINK("#" &amp; ADDRESS(387, 'Additional Cartons-WUO_TRK'!A387),_xlfn.TEXTAFTER('Additional Cartons-WUO_ERR'!A387, ":"))))</f>
        <v/>
      </c>
    </row>
    <row r="388">
      <c r="A388" s="38">
        <f>IF('Additional Cartons'!B388 = "", "", IF('Additional Cartons-WUO_ERR'!A388 = "", "Validated", HYPERLINK("#" &amp; ADDRESS(388, 'Additional Cartons-WUO_TRK'!A388),_xlfn.TEXTAFTER('Additional Cartons-WUO_ERR'!A388, ":"))))</f>
        <v/>
      </c>
    </row>
    <row r="389">
      <c r="A389" s="38">
        <f>IF('Additional Cartons'!B389 = "", "", IF('Additional Cartons-WUO_ERR'!A389 = "", "Validated", HYPERLINK("#" &amp; ADDRESS(389, 'Additional Cartons-WUO_TRK'!A389),_xlfn.TEXTAFTER('Additional Cartons-WUO_ERR'!A389, ":"))))</f>
        <v/>
      </c>
    </row>
    <row r="390">
      <c r="A390" s="38">
        <f>IF('Additional Cartons'!B390 = "", "", IF('Additional Cartons-WUO_ERR'!A390 = "", "Validated", HYPERLINK("#" &amp; ADDRESS(390, 'Additional Cartons-WUO_TRK'!A390),_xlfn.TEXTAFTER('Additional Cartons-WUO_ERR'!A390, ":"))))</f>
        <v/>
      </c>
    </row>
    <row r="391">
      <c r="A391" s="38">
        <f>IF('Additional Cartons'!B391 = "", "", IF('Additional Cartons-WUO_ERR'!A391 = "", "Validated", HYPERLINK("#" &amp; ADDRESS(391, 'Additional Cartons-WUO_TRK'!A391),_xlfn.TEXTAFTER('Additional Cartons-WUO_ERR'!A391, ":"))))</f>
        <v/>
      </c>
    </row>
    <row r="392">
      <c r="A392" s="38">
        <f>IF('Additional Cartons'!B392 = "", "", IF('Additional Cartons-WUO_ERR'!A392 = "", "Validated", HYPERLINK("#" &amp; ADDRESS(392, 'Additional Cartons-WUO_TRK'!A392),_xlfn.TEXTAFTER('Additional Cartons-WUO_ERR'!A392, ":"))))</f>
        <v/>
      </c>
    </row>
    <row r="393">
      <c r="A393" s="38">
        <f>IF('Additional Cartons'!B393 = "", "", IF('Additional Cartons-WUO_ERR'!A393 = "", "Validated", HYPERLINK("#" &amp; ADDRESS(393, 'Additional Cartons-WUO_TRK'!A393),_xlfn.TEXTAFTER('Additional Cartons-WUO_ERR'!A393, ":"))))</f>
        <v/>
      </c>
    </row>
    <row r="394">
      <c r="A394" s="38">
        <f>IF('Additional Cartons'!B394 = "", "", IF('Additional Cartons-WUO_ERR'!A394 = "", "Validated", HYPERLINK("#" &amp; ADDRESS(394, 'Additional Cartons-WUO_TRK'!A394),_xlfn.TEXTAFTER('Additional Cartons-WUO_ERR'!A394, ":"))))</f>
        <v/>
      </c>
    </row>
    <row r="395">
      <c r="A395" s="38">
        <f>IF('Additional Cartons'!B395 = "", "", IF('Additional Cartons-WUO_ERR'!A395 = "", "Validated", HYPERLINK("#" &amp; ADDRESS(395, 'Additional Cartons-WUO_TRK'!A395),_xlfn.TEXTAFTER('Additional Cartons-WUO_ERR'!A395, ":"))))</f>
        <v/>
      </c>
    </row>
    <row r="396">
      <c r="A396" s="38">
        <f>IF('Additional Cartons'!B396 = "", "", IF('Additional Cartons-WUO_ERR'!A396 = "", "Validated", HYPERLINK("#" &amp; ADDRESS(396, 'Additional Cartons-WUO_TRK'!A396),_xlfn.TEXTAFTER('Additional Cartons-WUO_ERR'!A396, ":"))))</f>
        <v/>
      </c>
    </row>
    <row r="397">
      <c r="A397" s="38">
        <f>IF('Additional Cartons'!B397 = "", "", IF('Additional Cartons-WUO_ERR'!A397 = "", "Validated", HYPERLINK("#" &amp; ADDRESS(397, 'Additional Cartons-WUO_TRK'!A397),_xlfn.TEXTAFTER('Additional Cartons-WUO_ERR'!A397, ":"))))</f>
        <v/>
      </c>
    </row>
    <row r="398">
      <c r="A398" s="38">
        <f>IF('Additional Cartons'!B398 = "", "", IF('Additional Cartons-WUO_ERR'!A398 = "", "Validated", HYPERLINK("#" &amp; ADDRESS(398, 'Additional Cartons-WUO_TRK'!A398),_xlfn.TEXTAFTER('Additional Cartons-WUO_ERR'!A398, ":"))))</f>
        <v/>
      </c>
    </row>
    <row r="399">
      <c r="A399" s="38">
        <f>IF('Additional Cartons'!B399 = "", "", IF('Additional Cartons-WUO_ERR'!A399 = "", "Validated", HYPERLINK("#" &amp; ADDRESS(399, 'Additional Cartons-WUO_TRK'!A399),_xlfn.TEXTAFTER('Additional Cartons-WUO_ERR'!A399, ":"))))</f>
        <v/>
      </c>
    </row>
    <row r="400">
      <c r="A400" s="38">
        <f>IF('Additional Cartons'!B400 = "", "", IF('Additional Cartons-WUO_ERR'!A400 = "", "Validated", HYPERLINK("#" &amp; ADDRESS(400, 'Additional Cartons-WUO_TRK'!A400),_xlfn.TEXTAFTER('Additional Cartons-WUO_ERR'!A400, ":"))))</f>
        <v/>
      </c>
    </row>
    <row r="401">
      <c r="A401" s="38">
        <f>IF('Additional Cartons'!B401 = "", "", IF('Additional Cartons-WUO_ERR'!A401 = "", "Validated", HYPERLINK("#" &amp; ADDRESS(401, 'Additional Cartons-WUO_TRK'!A401),_xlfn.TEXTAFTER('Additional Cartons-WUO_ERR'!A401, ":"))))</f>
        <v/>
      </c>
    </row>
    <row r="402">
      <c r="A402" s="38">
        <f>IF('Additional Cartons'!B402 = "", "", IF('Additional Cartons-WUO_ERR'!A402 = "", "Validated", HYPERLINK("#" &amp; ADDRESS(402, 'Additional Cartons-WUO_TRK'!A402),_xlfn.TEXTAFTER('Additional Cartons-WUO_ERR'!A402, ":"))))</f>
        <v/>
      </c>
    </row>
    <row r="403">
      <c r="A403" s="38">
        <f>IF('Additional Cartons'!B403 = "", "", IF('Additional Cartons-WUO_ERR'!A403 = "", "Validated", HYPERLINK("#" &amp; ADDRESS(403, 'Additional Cartons-WUO_TRK'!A403),_xlfn.TEXTAFTER('Additional Cartons-WUO_ERR'!A403, ":"))))</f>
        <v/>
      </c>
    </row>
    <row r="404">
      <c r="A404" s="38">
        <f>IF('Additional Cartons'!B404 = "", "", IF('Additional Cartons-WUO_ERR'!A404 = "", "Validated", HYPERLINK("#" &amp; ADDRESS(404, 'Additional Cartons-WUO_TRK'!A404),_xlfn.TEXTAFTER('Additional Cartons-WUO_ERR'!A404, ":"))))</f>
        <v/>
      </c>
    </row>
    <row r="405">
      <c r="A405" s="38">
        <f>IF('Additional Cartons'!B405 = "", "", IF('Additional Cartons-WUO_ERR'!A405 = "", "Validated", HYPERLINK("#" &amp; ADDRESS(405, 'Additional Cartons-WUO_TRK'!A405),_xlfn.TEXTAFTER('Additional Cartons-WUO_ERR'!A405, ":"))))</f>
        <v/>
      </c>
    </row>
    <row r="406">
      <c r="A406" s="38">
        <f>IF('Additional Cartons'!B406 = "", "", IF('Additional Cartons-WUO_ERR'!A406 = "", "Validated", HYPERLINK("#" &amp; ADDRESS(406, 'Additional Cartons-WUO_TRK'!A406),_xlfn.TEXTAFTER('Additional Cartons-WUO_ERR'!A406, ":"))))</f>
        <v/>
      </c>
    </row>
    <row r="407">
      <c r="A407" s="38">
        <f>IF('Additional Cartons'!B407 = "", "", IF('Additional Cartons-WUO_ERR'!A407 = "", "Validated", HYPERLINK("#" &amp; ADDRESS(407, 'Additional Cartons-WUO_TRK'!A407),_xlfn.TEXTAFTER('Additional Cartons-WUO_ERR'!A407, ":"))))</f>
        <v/>
      </c>
    </row>
    <row r="408">
      <c r="A408" s="38">
        <f>IF('Additional Cartons'!B408 = "", "", IF('Additional Cartons-WUO_ERR'!A408 = "", "Validated", HYPERLINK("#" &amp; ADDRESS(408, 'Additional Cartons-WUO_TRK'!A408),_xlfn.TEXTAFTER('Additional Cartons-WUO_ERR'!A408, ":"))))</f>
        <v/>
      </c>
    </row>
    <row r="409">
      <c r="A409" s="38">
        <f>IF('Additional Cartons'!B409 = "", "", IF('Additional Cartons-WUO_ERR'!A409 = "", "Validated", HYPERLINK("#" &amp; ADDRESS(409, 'Additional Cartons-WUO_TRK'!A409),_xlfn.TEXTAFTER('Additional Cartons-WUO_ERR'!A409, ":"))))</f>
        <v/>
      </c>
    </row>
    <row r="410">
      <c r="A410" s="38">
        <f>IF('Additional Cartons'!B410 = "", "", IF('Additional Cartons-WUO_ERR'!A410 = "", "Validated", HYPERLINK("#" &amp; ADDRESS(410, 'Additional Cartons-WUO_TRK'!A410),_xlfn.TEXTAFTER('Additional Cartons-WUO_ERR'!A410, ":"))))</f>
        <v/>
      </c>
    </row>
    <row r="411">
      <c r="A411" s="38">
        <f>IF('Additional Cartons'!B411 = "", "", IF('Additional Cartons-WUO_ERR'!A411 = "", "Validated", HYPERLINK("#" &amp; ADDRESS(411, 'Additional Cartons-WUO_TRK'!A411),_xlfn.TEXTAFTER('Additional Cartons-WUO_ERR'!A411, ":"))))</f>
        <v/>
      </c>
    </row>
    <row r="412">
      <c r="A412" s="38">
        <f>IF('Additional Cartons'!B412 = "", "", IF('Additional Cartons-WUO_ERR'!A412 = "", "Validated", HYPERLINK("#" &amp; ADDRESS(412, 'Additional Cartons-WUO_TRK'!A412),_xlfn.TEXTAFTER('Additional Cartons-WUO_ERR'!A412, ":"))))</f>
        <v/>
      </c>
    </row>
    <row r="413">
      <c r="A413" s="38">
        <f>IF('Additional Cartons'!B413 = "", "", IF('Additional Cartons-WUO_ERR'!A413 = "", "Validated", HYPERLINK("#" &amp; ADDRESS(413, 'Additional Cartons-WUO_TRK'!A413),_xlfn.TEXTAFTER('Additional Cartons-WUO_ERR'!A413, ":"))))</f>
        <v/>
      </c>
    </row>
    <row r="414">
      <c r="A414" s="38">
        <f>IF('Additional Cartons'!B414 = "", "", IF('Additional Cartons-WUO_ERR'!A414 = "", "Validated", HYPERLINK("#" &amp; ADDRESS(414, 'Additional Cartons-WUO_TRK'!A414),_xlfn.TEXTAFTER('Additional Cartons-WUO_ERR'!A414, ":"))))</f>
        <v/>
      </c>
    </row>
    <row r="415">
      <c r="A415" s="38">
        <f>IF('Additional Cartons'!B415 = "", "", IF('Additional Cartons-WUO_ERR'!A415 = "", "Validated", HYPERLINK("#" &amp; ADDRESS(415, 'Additional Cartons-WUO_TRK'!A415),_xlfn.TEXTAFTER('Additional Cartons-WUO_ERR'!A415, ":"))))</f>
        <v/>
      </c>
    </row>
    <row r="416">
      <c r="A416" s="38">
        <f>IF('Additional Cartons'!B416 = "", "", IF('Additional Cartons-WUO_ERR'!A416 = "", "Validated", HYPERLINK("#" &amp; ADDRESS(416, 'Additional Cartons-WUO_TRK'!A416),_xlfn.TEXTAFTER('Additional Cartons-WUO_ERR'!A416, ":"))))</f>
        <v/>
      </c>
    </row>
    <row r="417">
      <c r="A417" s="38">
        <f>IF('Additional Cartons'!B417 = "", "", IF('Additional Cartons-WUO_ERR'!A417 = "", "Validated", HYPERLINK("#" &amp; ADDRESS(417, 'Additional Cartons-WUO_TRK'!A417),_xlfn.TEXTAFTER('Additional Cartons-WUO_ERR'!A417, ":"))))</f>
        <v/>
      </c>
    </row>
    <row r="418">
      <c r="A418" s="38">
        <f>IF('Additional Cartons'!B418 = "", "", IF('Additional Cartons-WUO_ERR'!A418 = "", "Validated", HYPERLINK("#" &amp; ADDRESS(418, 'Additional Cartons-WUO_TRK'!A418),_xlfn.TEXTAFTER('Additional Cartons-WUO_ERR'!A418, ":"))))</f>
        <v/>
      </c>
    </row>
    <row r="419">
      <c r="A419" s="38">
        <f>IF('Additional Cartons'!B419 = "", "", IF('Additional Cartons-WUO_ERR'!A419 = "", "Validated", HYPERLINK("#" &amp; ADDRESS(419, 'Additional Cartons-WUO_TRK'!A419),_xlfn.TEXTAFTER('Additional Cartons-WUO_ERR'!A419, ":"))))</f>
        <v/>
      </c>
    </row>
    <row r="420">
      <c r="A420" s="38">
        <f>IF('Additional Cartons'!B420 = "", "", IF('Additional Cartons-WUO_ERR'!A420 = "", "Validated", HYPERLINK("#" &amp; ADDRESS(420, 'Additional Cartons-WUO_TRK'!A420),_xlfn.TEXTAFTER('Additional Cartons-WUO_ERR'!A420, ":"))))</f>
        <v/>
      </c>
    </row>
    <row r="421">
      <c r="A421" s="38">
        <f>IF('Additional Cartons'!B421 = "", "", IF('Additional Cartons-WUO_ERR'!A421 = "", "Validated", HYPERLINK("#" &amp; ADDRESS(421, 'Additional Cartons-WUO_TRK'!A421),_xlfn.TEXTAFTER('Additional Cartons-WUO_ERR'!A421, ":"))))</f>
        <v/>
      </c>
    </row>
    <row r="422">
      <c r="A422" s="38">
        <f>IF('Additional Cartons'!B422 = "", "", IF('Additional Cartons-WUO_ERR'!A422 = "", "Validated", HYPERLINK("#" &amp; ADDRESS(422, 'Additional Cartons-WUO_TRK'!A422),_xlfn.TEXTAFTER('Additional Cartons-WUO_ERR'!A422, ":"))))</f>
        <v/>
      </c>
    </row>
    <row r="423">
      <c r="A423" s="38">
        <f>IF('Additional Cartons'!B423 = "", "", IF('Additional Cartons-WUO_ERR'!A423 = "", "Validated", HYPERLINK("#" &amp; ADDRESS(423, 'Additional Cartons-WUO_TRK'!A423),_xlfn.TEXTAFTER('Additional Cartons-WUO_ERR'!A423, ":"))))</f>
        <v/>
      </c>
    </row>
    <row r="424">
      <c r="A424" s="38">
        <f>IF('Additional Cartons'!B424 = "", "", IF('Additional Cartons-WUO_ERR'!A424 = "", "Validated", HYPERLINK("#" &amp; ADDRESS(424, 'Additional Cartons-WUO_TRK'!A424),_xlfn.TEXTAFTER('Additional Cartons-WUO_ERR'!A424, ":"))))</f>
        <v/>
      </c>
    </row>
    <row r="425">
      <c r="A425" s="38">
        <f>IF('Additional Cartons'!B425 = "", "", IF('Additional Cartons-WUO_ERR'!A425 = "", "Validated", HYPERLINK("#" &amp; ADDRESS(425, 'Additional Cartons-WUO_TRK'!A425),_xlfn.TEXTAFTER('Additional Cartons-WUO_ERR'!A425, ":"))))</f>
        <v/>
      </c>
    </row>
    <row r="426">
      <c r="A426" s="38">
        <f>IF('Additional Cartons'!B426 = "", "", IF('Additional Cartons-WUO_ERR'!A426 = "", "Validated", HYPERLINK("#" &amp; ADDRESS(426, 'Additional Cartons-WUO_TRK'!A426),_xlfn.TEXTAFTER('Additional Cartons-WUO_ERR'!A426, ":"))))</f>
        <v/>
      </c>
    </row>
    <row r="427">
      <c r="A427" s="38">
        <f>IF('Additional Cartons'!B427 = "", "", IF('Additional Cartons-WUO_ERR'!A427 = "", "Validated", HYPERLINK("#" &amp; ADDRESS(427, 'Additional Cartons-WUO_TRK'!A427),_xlfn.TEXTAFTER('Additional Cartons-WUO_ERR'!A427, ":"))))</f>
        <v/>
      </c>
    </row>
    <row r="428">
      <c r="A428" s="38">
        <f>IF('Additional Cartons'!B428 = "", "", IF('Additional Cartons-WUO_ERR'!A428 = "", "Validated", HYPERLINK("#" &amp; ADDRESS(428, 'Additional Cartons-WUO_TRK'!A428),_xlfn.TEXTAFTER('Additional Cartons-WUO_ERR'!A428, ":"))))</f>
        <v/>
      </c>
    </row>
    <row r="429">
      <c r="A429" s="38">
        <f>IF('Additional Cartons'!B429 = "", "", IF('Additional Cartons-WUO_ERR'!A429 = "", "Validated", HYPERLINK("#" &amp; ADDRESS(429, 'Additional Cartons-WUO_TRK'!A429),_xlfn.TEXTAFTER('Additional Cartons-WUO_ERR'!A429, ":"))))</f>
        <v/>
      </c>
    </row>
    <row r="430">
      <c r="A430" s="38">
        <f>IF('Additional Cartons'!B430 = "", "", IF('Additional Cartons-WUO_ERR'!A430 = "", "Validated", HYPERLINK("#" &amp; ADDRESS(430, 'Additional Cartons-WUO_TRK'!A430),_xlfn.TEXTAFTER('Additional Cartons-WUO_ERR'!A430, ":"))))</f>
        <v/>
      </c>
    </row>
    <row r="431">
      <c r="A431" s="38">
        <f>IF('Additional Cartons'!B431 = "", "", IF('Additional Cartons-WUO_ERR'!A431 = "", "Validated", HYPERLINK("#" &amp; ADDRESS(431, 'Additional Cartons-WUO_TRK'!A431),_xlfn.TEXTAFTER('Additional Cartons-WUO_ERR'!A431, ":"))))</f>
        <v/>
      </c>
    </row>
    <row r="432">
      <c r="A432" s="38">
        <f>IF('Additional Cartons'!B432 = "", "", IF('Additional Cartons-WUO_ERR'!A432 = "", "Validated", HYPERLINK("#" &amp; ADDRESS(432, 'Additional Cartons-WUO_TRK'!A432),_xlfn.TEXTAFTER('Additional Cartons-WUO_ERR'!A432, ":"))))</f>
        <v/>
      </c>
    </row>
    <row r="433">
      <c r="A433" s="38">
        <f>IF('Additional Cartons'!B433 = "", "", IF('Additional Cartons-WUO_ERR'!A433 = "", "Validated", HYPERLINK("#" &amp; ADDRESS(433, 'Additional Cartons-WUO_TRK'!A433),_xlfn.TEXTAFTER('Additional Cartons-WUO_ERR'!A433, ":"))))</f>
        <v/>
      </c>
    </row>
    <row r="434">
      <c r="A434" s="38">
        <f>IF('Additional Cartons'!B434 = "", "", IF('Additional Cartons-WUO_ERR'!A434 = "", "Validated", HYPERLINK("#" &amp; ADDRESS(434, 'Additional Cartons-WUO_TRK'!A434),_xlfn.TEXTAFTER('Additional Cartons-WUO_ERR'!A434, ":"))))</f>
        <v/>
      </c>
    </row>
    <row r="435">
      <c r="A435" s="38">
        <f>IF('Additional Cartons'!B435 = "", "", IF('Additional Cartons-WUO_ERR'!A435 = "", "Validated", HYPERLINK("#" &amp; ADDRESS(435, 'Additional Cartons-WUO_TRK'!A435),_xlfn.TEXTAFTER('Additional Cartons-WUO_ERR'!A435, ":"))))</f>
        <v/>
      </c>
    </row>
    <row r="436">
      <c r="A436" s="38">
        <f>IF('Additional Cartons'!B436 = "", "", IF('Additional Cartons-WUO_ERR'!A436 = "", "Validated", HYPERLINK("#" &amp; ADDRESS(436, 'Additional Cartons-WUO_TRK'!A436),_xlfn.TEXTAFTER('Additional Cartons-WUO_ERR'!A436, ":"))))</f>
        <v/>
      </c>
    </row>
    <row r="437">
      <c r="A437" s="38">
        <f>IF('Additional Cartons'!B437 = "", "", IF('Additional Cartons-WUO_ERR'!A437 = "", "Validated", HYPERLINK("#" &amp; ADDRESS(437, 'Additional Cartons-WUO_TRK'!A437),_xlfn.TEXTAFTER('Additional Cartons-WUO_ERR'!A437, ":"))))</f>
        <v/>
      </c>
    </row>
    <row r="438">
      <c r="A438" s="38">
        <f>IF('Additional Cartons'!B438 = "", "", IF('Additional Cartons-WUO_ERR'!A438 = "", "Validated", HYPERLINK("#" &amp; ADDRESS(438, 'Additional Cartons-WUO_TRK'!A438),_xlfn.TEXTAFTER('Additional Cartons-WUO_ERR'!A438, ":"))))</f>
        <v/>
      </c>
    </row>
    <row r="439">
      <c r="A439" s="38">
        <f>IF('Additional Cartons'!B439 = "", "", IF('Additional Cartons-WUO_ERR'!A439 = "", "Validated", HYPERLINK("#" &amp; ADDRESS(439, 'Additional Cartons-WUO_TRK'!A439),_xlfn.TEXTAFTER('Additional Cartons-WUO_ERR'!A439, ":"))))</f>
        <v/>
      </c>
    </row>
    <row r="440">
      <c r="A440" s="38">
        <f>IF('Additional Cartons'!B440 = "", "", IF('Additional Cartons-WUO_ERR'!A440 = "", "Validated", HYPERLINK("#" &amp; ADDRESS(440, 'Additional Cartons-WUO_TRK'!A440),_xlfn.TEXTAFTER('Additional Cartons-WUO_ERR'!A440, ":"))))</f>
        <v/>
      </c>
    </row>
    <row r="441">
      <c r="A441" s="38">
        <f>IF('Additional Cartons'!B441 = "", "", IF('Additional Cartons-WUO_ERR'!A441 = "", "Validated", HYPERLINK("#" &amp; ADDRESS(441, 'Additional Cartons-WUO_TRK'!A441),_xlfn.TEXTAFTER('Additional Cartons-WUO_ERR'!A441, ":"))))</f>
        <v/>
      </c>
    </row>
    <row r="442">
      <c r="A442" s="38">
        <f>IF('Additional Cartons'!B442 = "", "", IF('Additional Cartons-WUO_ERR'!A442 = "", "Validated", HYPERLINK("#" &amp; ADDRESS(442, 'Additional Cartons-WUO_TRK'!A442),_xlfn.TEXTAFTER('Additional Cartons-WUO_ERR'!A442, ":"))))</f>
        <v/>
      </c>
    </row>
    <row r="443">
      <c r="A443" s="38">
        <f>IF('Additional Cartons'!B443 = "", "", IF('Additional Cartons-WUO_ERR'!A443 = "", "Validated", HYPERLINK("#" &amp; ADDRESS(443, 'Additional Cartons-WUO_TRK'!A443),_xlfn.TEXTAFTER('Additional Cartons-WUO_ERR'!A443, ":"))))</f>
        <v/>
      </c>
    </row>
    <row r="444">
      <c r="A444" s="38">
        <f>IF('Additional Cartons'!B444 = "", "", IF('Additional Cartons-WUO_ERR'!A444 = "", "Validated", HYPERLINK("#" &amp; ADDRESS(444, 'Additional Cartons-WUO_TRK'!A444),_xlfn.TEXTAFTER('Additional Cartons-WUO_ERR'!A444, ":"))))</f>
        <v/>
      </c>
    </row>
    <row r="445">
      <c r="A445" s="38">
        <f>IF('Additional Cartons'!B445 = "", "", IF('Additional Cartons-WUO_ERR'!A445 = "", "Validated", HYPERLINK("#" &amp; ADDRESS(445, 'Additional Cartons-WUO_TRK'!A445),_xlfn.TEXTAFTER('Additional Cartons-WUO_ERR'!A445, ":"))))</f>
        <v/>
      </c>
    </row>
    <row r="446">
      <c r="A446" s="38">
        <f>IF('Additional Cartons'!B446 = "", "", IF('Additional Cartons-WUO_ERR'!A446 = "", "Validated", HYPERLINK("#" &amp; ADDRESS(446, 'Additional Cartons-WUO_TRK'!A446),_xlfn.TEXTAFTER('Additional Cartons-WUO_ERR'!A446, ":"))))</f>
        <v/>
      </c>
    </row>
    <row r="447">
      <c r="A447" s="38">
        <f>IF('Additional Cartons'!B447 = "", "", IF('Additional Cartons-WUO_ERR'!A447 = "", "Validated", HYPERLINK("#" &amp; ADDRESS(447, 'Additional Cartons-WUO_TRK'!A447),_xlfn.TEXTAFTER('Additional Cartons-WUO_ERR'!A447, ":"))))</f>
        <v/>
      </c>
    </row>
    <row r="448">
      <c r="A448" s="38">
        <f>IF('Additional Cartons'!B448 = "", "", IF('Additional Cartons-WUO_ERR'!A448 = "", "Validated", HYPERLINK("#" &amp; ADDRESS(448, 'Additional Cartons-WUO_TRK'!A448),_xlfn.TEXTAFTER('Additional Cartons-WUO_ERR'!A448, ":"))))</f>
        <v/>
      </c>
    </row>
    <row r="449">
      <c r="A449" s="38">
        <f>IF('Additional Cartons'!B449 = "", "", IF('Additional Cartons-WUO_ERR'!A449 = "", "Validated", HYPERLINK("#" &amp; ADDRESS(449, 'Additional Cartons-WUO_TRK'!A449),_xlfn.TEXTAFTER('Additional Cartons-WUO_ERR'!A449, ":"))))</f>
        <v/>
      </c>
    </row>
    <row r="450">
      <c r="A450" s="38">
        <f>IF('Additional Cartons'!B450 = "", "", IF('Additional Cartons-WUO_ERR'!A450 = "", "Validated", HYPERLINK("#" &amp; ADDRESS(450, 'Additional Cartons-WUO_TRK'!A450),_xlfn.TEXTAFTER('Additional Cartons-WUO_ERR'!A450, ":"))))</f>
        <v/>
      </c>
    </row>
    <row r="451">
      <c r="A451" s="38">
        <f>IF('Additional Cartons'!B451 = "", "", IF('Additional Cartons-WUO_ERR'!A451 = "", "Validated", HYPERLINK("#" &amp; ADDRESS(451, 'Additional Cartons-WUO_TRK'!A451),_xlfn.TEXTAFTER('Additional Cartons-WUO_ERR'!A451, ":"))))</f>
        <v/>
      </c>
    </row>
    <row r="452">
      <c r="A452" s="38">
        <f>IF('Additional Cartons'!B452 = "", "", IF('Additional Cartons-WUO_ERR'!A452 = "", "Validated", HYPERLINK("#" &amp; ADDRESS(452, 'Additional Cartons-WUO_TRK'!A452),_xlfn.TEXTAFTER('Additional Cartons-WUO_ERR'!A452, ":"))))</f>
        <v/>
      </c>
    </row>
    <row r="453">
      <c r="A453" s="38">
        <f>IF('Additional Cartons'!B453 = "", "", IF('Additional Cartons-WUO_ERR'!A453 = "", "Validated", HYPERLINK("#" &amp; ADDRESS(453, 'Additional Cartons-WUO_TRK'!A453),_xlfn.TEXTAFTER('Additional Cartons-WUO_ERR'!A453, ":"))))</f>
        <v/>
      </c>
    </row>
    <row r="454">
      <c r="A454" s="38">
        <f>IF('Additional Cartons'!B454 = "", "", IF('Additional Cartons-WUO_ERR'!A454 = "", "Validated", HYPERLINK("#" &amp; ADDRESS(454, 'Additional Cartons-WUO_TRK'!A454),_xlfn.TEXTAFTER('Additional Cartons-WUO_ERR'!A454, ":"))))</f>
        <v/>
      </c>
    </row>
    <row r="455">
      <c r="A455" s="38">
        <f>IF('Additional Cartons'!B455 = "", "", IF('Additional Cartons-WUO_ERR'!A455 = "", "Validated", HYPERLINK("#" &amp; ADDRESS(455, 'Additional Cartons-WUO_TRK'!A455),_xlfn.TEXTAFTER('Additional Cartons-WUO_ERR'!A455, ":"))))</f>
        <v/>
      </c>
    </row>
    <row r="456">
      <c r="A456" s="38">
        <f>IF('Additional Cartons'!B456 = "", "", IF('Additional Cartons-WUO_ERR'!A456 = "", "Validated", HYPERLINK("#" &amp; ADDRESS(456, 'Additional Cartons-WUO_TRK'!A456),_xlfn.TEXTAFTER('Additional Cartons-WUO_ERR'!A456, ":"))))</f>
        <v/>
      </c>
    </row>
    <row r="457">
      <c r="A457" s="38">
        <f>IF('Additional Cartons'!B457 = "", "", IF('Additional Cartons-WUO_ERR'!A457 = "", "Validated", HYPERLINK("#" &amp; ADDRESS(457, 'Additional Cartons-WUO_TRK'!A457),_xlfn.TEXTAFTER('Additional Cartons-WUO_ERR'!A457, ":"))))</f>
        <v/>
      </c>
    </row>
    <row r="458">
      <c r="A458" s="38">
        <f>IF('Additional Cartons'!B458 = "", "", IF('Additional Cartons-WUO_ERR'!A458 = "", "Validated", HYPERLINK("#" &amp; ADDRESS(458, 'Additional Cartons-WUO_TRK'!A458),_xlfn.TEXTAFTER('Additional Cartons-WUO_ERR'!A458, ":"))))</f>
        <v/>
      </c>
    </row>
    <row r="459">
      <c r="A459" s="38">
        <f>IF('Additional Cartons'!B459 = "", "", IF('Additional Cartons-WUO_ERR'!A459 = "", "Validated", HYPERLINK("#" &amp; ADDRESS(459, 'Additional Cartons-WUO_TRK'!A459),_xlfn.TEXTAFTER('Additional Cartons-WUO_ERR'!A459, ":"))))</f>
        <v/>
      </c>
    </row>
    <row r="460">
      <c r="A460" s="38">
        <f>IF('Additional Cartons'!B460 = "", "", IF('Additional Cartons-WUO_ERR'!A460 = "", "Validated", HYPERLINK("#" &amp; ADDRESS(460, 'Additional Cartons-WUO_TRK'!A460),_xlfn.TEXTAFTER('Additional Cartons-WUO_ERR'!A460, ":"))))</f>
        <v/>
      </c>
    </row>
    <row r="461">
      <c r="A461" s="38">
        <f>IF('Additional Cartons'!B461 = "", "", IF('Additional Cartons-WUO_ERR'!A461 = "", "Validated", HYPERLINK("#" &amp; ADDRESS(461, 'Additional Cartons-WUO_TRK'!A461),_xlfn.TEXTAFTER('Additional Cartons-WUO_ERR'!A461, ":"))))</f>
        <v/>
      </c>
    </row>
    <row r="462">
      <c r="A462" s="38">
        <f>IF('Additional Cartons'!B462 = "", "", IF('Additional Cartons-WUO_ERR'!A462 = "", "Validated", HYPERLINK("#" &amp; ADDRESS(462, 'Additional Cartons-WUO_TRK'!A462),_xlfn.TEXTAFTER('Additional Cartons-WUO_ERR'!A462, ":"))))</f>
        <v/>
      </c>
    </row>
    <row r="463">
      <c r="A463" s="38">
        <f>IF('Additional Cartons'!B463 = "", "", IF('Additional Cartons-WUO_ERR'!A463 = "", "Validated", HYPERLINK("#" &amp; ADDRESS(463, 'Additional Cartons-WUO_TRK'!A463),_xlfn.TEXTAFTER('Additional Cartons-WUO_ERR'!A463, ":"))))</f>
        <v/>
      </c>
    </row>
    <row r="464">
      <c r="A464" s="38">
        <f>IF('Additional Cartons'!B464 = "", "", IF('Additional Cartons-WUO_ERR'!A464 = "", "Validated", HYPERLINK("#" &amp; ADDRESS(464, 'Additional Cartons-WUO_TRK'!A464),_xlfn.TEXTAFTER('Additional Cartons-WUO_ERR'!A464, ":"))))</f>
        <v/>
      </c>
    </row>
    <row r="465">
      <c r="A465" s="38">
        <f>IF('Additional Cartons'!B465 = "", "", IF('Additional Cartons-WUO_ERR'!A465 = "", "Validated", HYPERLINK("#" &amp; ADDRESS(465, 'Additional Cartons-WUO_TRK'!A465),_xlfn.TEXTAFTER('Additional Cartons-WUO_ERR'!A465, ":"))))</f>
        <v/>
      </c>
    </row>
    <row r="466">
      <c r="A466" s="38">
        <f>IF('Additional Cartons'!B466 = "", "", IF('Additional Cartons-WUO_ERR'!A466 = "", "Validated", HYPERLINK("#" &amp; ADDRESS(466, 'Additional Cartons-WUO_TRK'!A466),_xlfn.TEXTAFTER('Additional Cartons-WUO_ERR'!A466, ":"))))</f>
        <v/>
      </c>
    </row>
    <row r="467">
      <c r="A467" s="38">
        <f>IF('Additional Cartons'!B467 = "", "", IF('Additional Cartons-WUO_ERR'!A467 = "", "Validated", HYPERLINK("#" &amp; ADDRESS(467, 'Additional Cartons-WUO_TRK'!A467),_xlfn.TEXTAFTER('Additional Cartons-WUO_ERR'!A467, ":"))))</f>
        <v/>
      </c>
    </row>
    <row r="468">
      <c r="A468" s="38">
        <f>IF('Additional Cartons'!B468 = "", "", IF('Additional Cartons-WUO_ERR'!A468 = "", "Validated", HYPERLINK("#" &amp; ADDRESS(468, 'Additional Cartons-WUO_TRK'!A468),_xlfn.TEXTAFTER('Additional Cartons-WUO_ERR'!A468, ":"))))</f>
        <v/>
      </c>
    </row>
    <row r="469">
      <c r="A469" s="38">
        <f>IF('Additional Cartons'!B469 = "", "", IF('Additional Cartons-WUO_ERR'!A469 = "", "Validated", HYPERLINK("#" &amp; ADDRESS(469, 'Additional Cartons-WUO_TRK'!A469),_xlfn.TEXTAFTER('Additional Cartons-WUO_ERR'!A469, ":"))))</f>
        <v/>
      </c>
    </row>
    <row r="470">
      <c r="A470" s="38">
        <f>IF('Additional Cartons'!B470 = "", "", IF('Additional Cartons-WUO_ERR'!A470 = "", "Validated", HYPERLINK("#" &amp; ADDRESS(470, 'Additional Cartons-WUO_TRK'!A470),_xlfn.TEXTAFTER('Additional Cartons-WUO_ERR'!A470, ":"))))</f>
        <v/>
      </c>
    </row>
    <row r="471">
      <c r="A471" s="38">
        <f>IF('Additional Cartons'!B471 = "", "", IF('Additional Cartons-WUO_ERR'!A471 = "", "Validated", HYPERLINK("#" &amp; ADDRESS(471, 'Additional Cartons-WUO_TRK'!A471),_xlfn.TEXTAFTER('Additional Cartons-WUO_ERR'!A471, ":"))))</f>
        <v/>
      </c>
    </row>
    <row r="472">
      <c r="A472" s="38">
        <f>IF('Additional Cartons'!B472 = "", "", IF('Additional Cartons-WUO_ERR'!A472 = "", "Validated", HYPERLINK("#" &amp; ADDRESS(472, 'Additional Cartons-WUO_TRK'!A472),_xlfn.TEXTAFTER('Additional Cartons-WUO_ERR'!A472, ":"))))</f>
        <v/>
      </c>
    </row>
    <row r="473">
      <c r="A473" s="38">
        <f>IF('Additional Cartons'!B473 = "", "", IF('Additional Cartons-WUO_ERR'!A473 = "", "Validated", HYPERLINK("#" &amp; ADDRESS(473, 'Additional Cartons-WUO_TRK'!A473),_xlfn.TEXTAFTER('Additional Cartons-WUO_ERR'!A473, ":"))))</f>
        <v/>
      </c>
    </row>
    <row r="474">
      <c r="A474" s="38">
        <f>IF('Additional Cartons'!B474 = "", "", IF('Additional Cartons-WUO_ERR'!A474 = "", "Validated", HYPERLINK("#" &amp; ADDRESS(474, 'Additional Cartons-WUO_TRK'!A474),_xlfn.TEXTAFTER('Additional Cartons-WUO_ERR'!A474, ":"))))</f>
        <v/>
      </c>
    </row>
    <row r="475">
      <c r="A475" s="38">
        <f>IF('Additional Cartons'!B475 = "", "", IF('Additional Cartons-WUO_ERR'!A475 = "", "Validated", HYPERLINK("#" &amp; ADDRESS(475, 'Additional Cartons-WUO_TRK'!A475),_xlfn.TEXTAFTER('Additional Cartons-WUO_ERR'!A475, ":"))))</f>
        <v/>
      </c>
    </row>
    <row r="476">
      <c r="A476" s="38">
        <f>IF('Additional Cartons'!B476 = "", "", IF('Additional Cartons-WUO_ERR'!A476 = "", "Validated", HYPERLINK("#" &amp; ADDRESS(476, 'Additional Cartons-WUO_TRK'!A476),_xlfn.TEXTAFTER('Additional Cartons-WUO_ERR'!A476, ":"))))</f>
        <v/>
      </c>
    </row>
    <row r="477">
      <c r="A477" s="38">
        <f>IF('Additional Cartons'!B477 = "", "", IF('Additional Cartons-WUO_ERR'!A477 = "", "Validated", HYPERLINK("#" &amp; ADDRESS(477, 'Additional Cartons-WUO_TRK'!A477),_xlfn.TEXTAFTER('Additional Cartons-WUO_ERR'!A477, ":"))))</f>
        <v/>
      </c>
    </row>
    <row r="478">
      <c r="A478" s="38">
        <f>IF('Additional Cartons'!B478 = "", "", IF('Additional Cartons-WUO_ERR'!A478 = "", "Validated", HYPERLINK("#" &amp; ADDRESS(478, 'Additional Cartons-WUO_TRK'!A478),_xlfn.TEXTAFTER('Additional Cartons-WUO_ERR'!A478, ":"))))</f>
        <v/>
      </c>
    </row>
    <row r="479">
      <c r="A479" s="38">
        <f>IF('Additional Cartons'!B479 = "", "", IF('Additional Cartons-WUO_ERR'!A479 = "", "Validated", HYPERLINK("#" &amp; ADDRESS(479, 'Additional Cartons-WUO_TRK'!A479),_xlfn.TEXTAFTER('Additional Cartons-WUO_ERR'!A479, ":"))))</f>
        <v/>
      </c>
    </row>
    <row r="480">
      <c r="A480" s="38">
        <f>IF('Additional Cartons'!B480 = "", "", IF('Additional Cartons-WUO_ERR'!A480 = "", "Validated", HYPERLINK("#" &amp; ADDRESS(480, 'Additional Cartons-WUO_TRK'!A480),_xlfn.TEXTAFTER('Additional Cartons-WUO_ERR'!A480, ":"))))</f>
        <v/>
      </c>
    </row>
    <row r="481">
      <c r="A481" s="38">
        <f>IF('Additional Cartons'!B481 = "", "", IF('Additional Cartons-WUO_ERR'!A481 = "", "Validated", HYPERLINK("#" &amp; ADDRESS(481, 'Additional Cartons-WUO_TRK'!A481),_xlfn.TEXTAFTER('Additional Cartons-WUO_ERR'!A481, ":"))))</f>
        <v/>
      </c>
    </row>
    <row r="482">
      <c r="A482" s="38">
        <f>IF('Additional Cartons'!B482 = "", "", IF('Additional Cartons-WUO_ERR'!A482 = "", "Validated", HYPERLINK("#" &amp; ADDRESS(482, 'Additional Cartons-WUO_TRK'!A482),_xlfn.TEXTAFTER('Additional Cartons-WUO_ERR'!A482, ":"))))</f>
        <v/>
      </c>
    </row>
    <row r="483">
      <c r="A483" s="38">
        <f>IF('Additional Cartons'!B483 = "", "", IF('Additional Cartons-WUO_ERR'!A483 = "", "Validated", HYPERLINK("#" &amp; ADDRESS(483, 'Additional Cartons-WUO_TRK'!A483),_xlfn.TEXTAFTER('Additional Cartons-WUO_ERR'!A483, ":"))))</f>
        <v/>
      </c>
    </row>
    <row r="484">
      <c r="A484" s="38">
        <f>IF('Additional Cartons'!B484 = "", "", IF('Additional Cartons-WUO_ERR'!A484 = "", "Validated", HYPERLINK("#" &amp; ADDRESS(484, 'Additional Cartons-WUO_TRK'!A484),_xlfn.TEXTAFTER('Additional Cartons-WUO_ERR'!A484, ":"))))</f>
        <v/>
      </c>
    </row>
    <row r="485">
      <c r="A485" s="38">
        <f>IF('Additional Cartons'!B485 = "", "", IF('Additional Cartons-WUO_ERR'!A485 = "", "Validated", HYPERLINK("#" &amp; ADDRESS(485, 'Additional Cartons-WUO_TRK'!A485),_xlfn.TEXTAFTER('Additional Cartons-WUO_ERR'!A485, ":"))))</f>
        <v/>
      </c>
    </row>
    <row r="486">
      <c r="A486" s="38">
        <f>IF('Additional Cartons'!B486 = "", "", IF('Additional Cartons-WUO_ERR'!A486 = "", "Validated", HYPERLINK("#" &amp; ADDRESS(486, 'Additional Cartons-WUO_TRK'!A486),_xlfn.TEXTAFTER('Additional Cartons-WUO_ERR'!A486, ":"))))</f>
        <v/>
      </c>
    </row>
    <row r="487">
      <c r="A487" s="38">
        <f>IF('Additional Cartons'!B487 = "", "", IF('Additional Cartons-WUO_ERR'!A487 = "", "Validated", HYPERLINK("#" &amp; ADDRESS(487, 'Additional Cartons-WUO_TRK'!A487),_xlfn.TEXTAFTER('Additional Cartons-WUO_ERR'!A487, ":"))))</f>
        <v/>
      </c>
    </row>
    <row r="488">
      <c r="A488" s="38">
        <f>IF('Additional Cartons'!B488 = "", "", IF('Additional Cartons-WUO_ERR'!A488 = "", "Validated", HYPERLINK("#" &amp; ADDRESS(488, 'Additional Cartons-WUO_TRK'!A488),_xlfn.TEXTAFTER('Additional Cartons-WUO_ERR'!A488, ":"))))</f>
        <v/>
      </c>
    </row>
    <row r="489">
      <c r="A489" s="38">
        <f>IF('Additional Cartons'!B489 = "", "", IF('Additional Cartons-WUO_ERR'!A489 = "", "Validated", HYPERLINK("#" &amp; ADDRESS(489, 'Additional Cartons-WUO_TRK'!A489),_xlfn.TEXTAFTER('Additional Cartons-WUO_ERR'!A489, ":"))))</f>
        <v/>
      </c>
    </row>
    <row r="490">
      <c r="A490" s="38">
        <f>IF('Additional Cartons'!B490 = "", "", IF('Additional Cartons-WUO_ERR'!A490 = "", "Validated", HYPERLINK("#" &amp; ADDRESS(490, 'Additional Cartons-WUO_TRK'!A490),_xlfn.TEXTAFTER('Additional Cartons-WUO_ERR'!A490, ":"))))</f>
        <v/>
      </c>
    </row>
    <row r="491">
      <c r="A491" s="38">
        <f>IF('Additional Cartons'!B491 = "", "", IF('Additional Cartons-WUO_ERR'!A491 = "", "Validated", HYPERLINK("#" &amp; ADDRESS(491, 'Additional Cartons-WUO_TRK'!A491),_xlfn.TEXTAFTER('Additional Cartons-WUO_ERR'!A491, ":"))))</f>
        <v/>
      </c>
    </row>
    <row r="492">
      <c r="A492" s="38">
        <f>IF('Additional Cartons'!B492 = "", "", IF('Additional Cartons-WUO_ERR'!A492 = "", "Validated", HYPERLINK("#" &amp; ADDRESS(492, 'Additional Cartons-WUO_TRK'!A492),_xlfn.TEXTAFTER('Additional Cartons-WUO_ERR'!A492, ":"))))</f>
        <v/>
      </c>
    </row>
    <row r="493">
      <c r="A493" s="38">
        <f>IF('Additional Cartons'!B493 = "", "", IF('Additional Cartons-WUO_ERR'!A493 = "", "Validated", HYPERLINK("#" &amp; ADDRESS(493, 'Additional Cartons-WUO_TRK'!A493),_xlfn.TEXTAFTER('Additional Cartons-WUO_ERR'!A493, ":"))))</f>
        <v/>
      </c>
    </row>
    <row r="494">
      <c r="A494" s="38">
        <f>IF('Additional Cartons'!B494 = "", "", IF('Additional Cartons-WUO_ERR'!A494 = "", "Validated", HYPERLINK("#" &amp; ADDRESS(494, 'Additional Cartons-WUO_TRK'!A494),_xlfn.TEXTAFTER('Additional Cartons-WUO_ERR'!A494, ":"))))</f>
        <v/>
      </c>
    </row>
    <row r="495">
      <c r="A495" s="38">
        <f>IF('Additional Cartons'!B495 = "", "", IF('Additional Cartons-WUO_ERR'!A495 = "", "Validated", HYPERLINK("#" &amp; ADDRESS(495, 'Additional Cartons-WUO_TRK'!A495),_xlfn.TEXTAFTER('Additional Cartons-WUO_ERR'!A495, ":"))))</f>
        <v/>
      </c>
    </row>
    <row r="496">
      <c r="A496" s="38">
        <f>IF('Additional Cartons'!B496 = "", "", IF('Additional Cartons-WUO_ERR'!A496 = "", "Validated", HYPERLINK("#" &amp; ADDRESS(496, 'Additional Cartons-WUO_TRK'!A496),_xlfn.TEXTAFTER('Additional Cartons-WUO_ERR'!A496, ":"))))</f>
        <v/>
      </c>
    </row>
    <row r="497">
      <c r="A497" s="38">
        <f>IF('Additional Cartons'!B497 = "", "", IF('Additional Cartons-WUO_ERR'!A497 = "", "Validated", HYPERLINK("#" &amp; ADDRESS(497, 'Additional Cartons-WUO_TRK'!A497),_xlfn.TEXTAFTER('Additional Cartons-WUO_ERR'!A497, ":"))))</f>
        <v/>
      </c>
    </row>
    <row r="498">
      <c r="A498" s="38">
        <f>IF('Additional Cartons'!B498 = "", "", IF('Additional Cartons-WUO_ERR'!A498 = "", "Validated", HYPERLINK("#" &amp; ADDRESS(498, 'Additional Cartons-WUO_TRK'!A498),_xlfn.TEXTAFTER('Additional Cartons-WUO_ERR'!A498, ":"))))</f>
        <v/>
      </c>
    </row>
    <row r="499">
      <c r="A499" s="38">
        <f>IF('Additional Cartons'!B499 = "", "", IF('Additional Cartons-WUO_ERR'!A499 = "", "Validated", HYPERLINK("#" &amp; ADDRESS(499, 'Additional Cartons-WUO_TRK'!A499),_xlfn.TEXTAFTER('Additional Cartons-WUO_ERR'!A499, ":"))))</f>
        <v/>
      </c>
    </row>
    <row r="500">
      <c r="A500" s="38">
        <f>IF('Additional Cartons'!B500 = "", "", IF('Additional Cartons-WUO_ERR'!A500 = "", "Validated", HYPERLINK("#" &amp; ADDRESS(500, 'Additional Cartons-WUO_TRK'!A500),_xlfn.TEXTAFTER('Additional Cartons-WUO_ERR'!A500, ":"))))</f>
        <v/>
      </c>
    </row>
    <row r="501">
      <c r="A501" s="38">
        <f>IF('Additional Cartons'!B501 = "", "", IF('Additional Cartons-WUO_ERR'!A501 = "", "Validated", HYPERLINK("#" &amp; ADDRESS(501, 'Additional Cartons-WUO_TRK'!A501),_xlfn.TEXTAFTER('Additional Cartons-WUO_ERR'!A501, ":"))))</f>
        <v/>
      </c>
    </row>
    <row r="502">
      <c r="A502" s="38">
        <f>IF('Additional Cartons'!B502 = "", "", IF('Additional Cartons-WUO_ERR'!A502 = "", "Validated", HYPERLINK("#" &amp; ADDRESS(502, 'Additional Cartons-WUO_TRK'!A502),_xlfn.TEXTAFTER('Additional Cartons-WUO_ERR'!A502, ":"))))</f>
        <v/>
      </c>
    </row>
    <row r="503">
      <c r="A503" s="38">
        <f>IF('Additional Cartons'!B503 = "", "", IF('Additional Cartons-WUO_ERR'!A503 = "", "Validated", HYPERLINK("#" &amp; ADDRESS(503, 'Additional Cartons-WUO_TRK'!A503),_xlfn.TEXTAFTER('Additional Cartons-WUO_ERR'!A503, ":"))))</f>
        <v/>
      </c>
    </row>
    <row r="504">
      <c r="A504" s="38">
        <f>IF('Additional Cartons'!B504 = "", "", IF('Additional Cartons-WUO_ERR'!A504 = "", "Validated", HYPERLINK("#" &amp; ADDRESS(504, 'Additional Cartons-WUO_TRK'!A504),_xlfn.TEXTAFTER('Additional Cartons-WUO_ERR'!A504, ":"))))</f>
        <v/>
      </c>
    </row>
    <row r="505">
      <c r="A505" s="38">
        <f>IF('Additional Cartons'!B505 = "", "", IF('Additional Cartons-WUO_ERR'!A505 = "", "Validated", HYPERLINK("#" &amp; ADDRESS(505, 'Additional Cartons-WUO_TRK'!A505),_xlfn.TEXTAFTER('Additional Cartons-WUO_ERR'!A505, ":"))))</f>
        <v/>
      </c>
    </row>
    <row r="506">
      <c r="A506" s="38">
        <f>IF('Additional Cartons'!B506 = "", "", IF('Additional Cartons-WUO_ERR'!A506 = "", "Validated", HYPERLINK("#" &amp; ADDRESS(506, 'Additional Cartons-WUO_TRK'!A506),_xlfn.TEXTAFTER('Additional Cartons-WUO_ERR'!A506, ":"))))</f>
        <v/>
      </c>
    </row>
    <row r="507">
      <c r="A507" s="38">
        <f>IF('Additional Cartons'!B507 = "", "", IF('Additional Cartons-WUO_ERR'!A507 = "", "Validated", HYPERLINK("#" &amp; ADDRESS(507, 'Additional Cartons-WUO_TRK'!A507),_xlfn.TEXTAFTER('Additional Cartons-WUO_ERR'!A507, ":"))))</f>
        <v/>
      </c>
    </row>
  </sheetData>
  <sheetProtection selectLockedCells="0" selectUnlockedCells="0" sheet="1" objects="1" insertRows="1" insertHyperlinks="1" autoFilter="1" scenarios="1" formatColumns="0" deleteColumns="1" insertColumns="1" pivotTables="1" deleteRows="1" formatCells="1" formatRows="0" sort="1" password="E718"/>
  <mergeCells count="1">
    <mergeCell ref="C2:F2"/>
  </mergeCells>
  <conditionalFormatting sqref="A7:A507">
    <cfRule type="expression" priority="5" dxfId="4">
      <formula>A7="Validated"</formula>
    </cfRule>
    <cfRule type="expression" priority="6" dxfId="5">
      <formula>OR(COUNTIF('Additional Cartons-WUO_TRK'!B7:G7,"Error"),COUNTIF('Additional Cartons-WUO_TRK'!B7:G7,"Required"))</formula>
    </cfRule>
    <cfRule type="expression" priority="7" dxfId="6">
      <formula>COUNTIF('Additional Cartons-WUO_TRK'!B7:G7,"Warning")</formula>
    </cfRule>
  </conditionalFormatting>
  <conditionalFormatting sqref="B7:G507">
    <cfRule type="expression" priority="1" dxfId="0">
      <formula>'Additional Cartons-WUO_TRK'!B7="Error"</formula>
    </cfRule>
    <cfRule type="expression" priority="2" dxfId="1">
      <formula>'Additional Cartons-WUO_TRK'!B7="Required"</formula>
    </cfRule>
    <cfRule type="expression" priority="3" dxfId="2">
      <formula>'Additional Cartons-WUO_TRK'!B7="Warning"</formula>
    </cfRule>
    <cfRule type="expression" priority="4" dxfId="3">
      <formula>'Additional Cartons-WUO_TRK'!B7="Disabled"</formula>
    </cfRule>
  </conditionalFormatting>
  <dataValidations count="4">
    <dataValidation sqref="C7:C2500" showDropDown="0" showInputMessage="1" showErrorMessage="1" allowBlank="0" errorTitle="Invalid Number" error="The value provided is not a valid Number." promptTitle="Carton Weight" prompt="Please enter Number" type="textLength" errorStyle="warning" operator="lessThanOrEqual">
      <formula1>32767</formula1>
    </dataValidation>
    <dataValidation sqref="D7:D2500" showDropDown="0" showInputMessage="1" showErrorMessage="1" allowBlank="0" errorTitle="Invalid Number" error="The value provided is not a valid Number." promptTitle="Carton Height" prompt="Please enter Number" type="textLength" errorStyle="warning" operator="lessThanOrEqual">
      <formula1>32767</formula1>
    </dataValidation>
    <dataValidation sqref="E7:E2500" showDropDown="0" showInputMessage="1" showErrorMessage="1" allowBlank="0" errorTitle="Invalid Number" error="The value provided is not a valid Number." promptTitle="Carton Width" prompt="Please enter Number" type="textLength" errorStyle="warning" operator="lessThanOrEqual">
      <formula1>32767</formula1>
    </dataValidation>
    <dataValidation sqref="F7:F2500" showDropDown="0" showInputMessage="1" showErrorMessage="1" allowBlank="0" errorTitle="Invalid Number" error="The value provided is not a valid Number." promptTitle="Carton Depth" prompt="Please enter Number" type="textLength" errorStyle="warning" operator="lessThanOrEqual">
      <formula1>32767</formula1>
    </dataValidation>
  </dataValidations>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cols>
    <col width="25.7109375" customWidth="1" style="22" min="2" max="2"/>
    <col width="18.7109375" customWidth="1" style="22" min="3" max="4"/>
    <col width="17.7109375" customWidth="1" style="22" min="5" max="6"/>
  </cols>
  <sheetData>
    <row r="1" hidden="1">
      <c r="B1" s="22" t="inlineStr">
        <is>
          <t>core::supplierPartNumber</t>
        </is>
      </c>
      <c r="C1" s="22" t="inlineStr">
        <is>
          <t>shippingAndFulfillment::weight</t>
        </is>
      </c>
      <c r="D1" s="22" t="inlineStr">
        <is>
          <t>shippingAndFulfillment::height</t>
        </is>
      </c>
      <c r="E1" s="22" t="inlineStr">
        <is>
          <t>shippingAndFulfillment::width</t>
        </is>
      </c>
      <c r="F1" s="22" t="inlineStr">
        <is>
          <t>shippingAndFulfillment::depth</t>
        </is>
      </c>
    </row>
    <row r="3">
      <c r="B3" s="31" t="inlineStr">
        <is>
          <t>Required</t>
        </is>
      </c>
      <c r="C3" s="31" t="inlineStr">
        <is>
          <t>Conditional</t>
        </is>
      </c>
      <c r="D3" s="31" t="inlineStr">
        <is>
          <t>Conditional</t>
        </is>
      </c>
      <c r="E3" s="31" t="inlineStr">
        <is>
          <t>Conditional</t>
        </is>
      </c>
      <c r="F3" s="31" t="inlineStr">
        <is>
          <t>Conditional</t>
        </is>
      </c>
    </row>
    <row r="4" ht="50" customHeight="1">
      <c r="B4" s="19" t="inlineStr">
        <is>
          <t>Supplier Part Number</t>
        </is>
      </c>
      <c r="C4" s="19" t="inlineStr">
        <is>
          <t>Carton Weight</t>
        </is>
      </c>
      <c r="D4" s="19" t="inlineStr">
        <is>
          <t>Carton Height</t>
        </is>
      </c>
      <c r="E4" s="19" t="inlineStr">
        <is>
          <t>Carton Width</t>
        </is>
      </c>
      <c r="F4" s="19" t="inlineStr">
        <is>
          <t>Carton Depth</t>
        </is>
      </c>
    </row>
    <row r="5" ht="50" customHeight="1">
      <c r="B5" s="34" t="inlineStr">
        <is>
          <t>Must be less than 64 characters and must be a unique value (products cannot be added if they have the same part number as something you already have in your catalog). This is the supplier-specific value for the product as it appears on your Inventory Feed and Purchased Orders.</t>
        </is>
      </c>
      <c r="C5" s="34" t="inlineStr">
        <is>
          <t>[Pounds] Enter in the shipping weight (i.e. 45.5) of the packaging used for the product.  If the product ships in more than one box, this measurement is per box.</t>
        </is>
      </c>
      <c r="D5" s="34" t="inlineStr">
        <is>
          <t>[Inches] Enter in the shipping height (i.e. 45.5) of the packaging used for the product.  If the product ships in more than one box, this measurement is per box.</t>
        </is>
      </c>
      <c r="E5" s="34" t="inlineStr">
        <is>
          <t>[Inches] Enter in the shipping width (i.e. 45.5) of the packaging used for the product.  If the product ships in more than one box, this measurement is per box.</t>
        </is>
      </c>
      <c r="F5" s="34" t="inlineStr">
        <is>
          <t>[Inches] Enter in the shipping depth (i.e. 45.5) of the packaging used for the product.  If the product ships in more than one box, this measurement is per box.</t>
        </is>
      </c>
    </row>
    <row r="6" ht="50" customHeight="1">
      <c r="B6" s="34" t="inlineStr">
        <is>
          <t>Text</t>
        </is>
      </c>
      <c r="C6" s="34" t="inlineStr">
        <is>
          <t>Number</t>
        </is>
      </c>
      <c r="D6" s="34" t="inlineStr">
        <is>
          <t>Number</t>
        </is>
      </c>
      <c r="E6" s="34" t="inlineStr">
        <is>
          <t>Number</t>
        </is>
      </c>
      <c r="F6" s="34" t="inlineStr">
        <is>
          <t>Number</t>
        </is>
      </c>
    </row>
    <row r="7">
      <c r="A7">
        <f t="array" ref="A7">_xlfn.BYROW(B7:G507, _xlfn.LAMBDA(_xlpm.r, _xlfn.LET(_xlpm.high_priority, IFERROR(INDEX(_xlpm.r, MATCH(TRUE, (_xlpm.r &lt;&gt; "") * ((LEFT(_xlpm.r, 2) = "1:") + (LEFT(_xlpm.r, 2) = "3:")) &gt; 0, 0)), ""), IF(_xlpm.high_priority &lt;&gt; "", _xlpm.high_priority, IFERROR(INDEX(_xlpm.r, MATCH(TRUE, (_xlpm.r &lt;&gt; "") * (LEFT(_xlpm.r, 2) = "4:") &gt; 0, 0)), "")))))</f>
        <v/>
      </c>
      <c r="B7" s="22">
        <f t="array" ref="B7">_xlfn.MAP('Additional Cartons'!B7:B507, 'Additional Cartons'!B7:B507, _xlfn.LAMBDA(_xlpm.part, _xlpm.val, IF(_xlpm.part = "", "", _xlfn.LET(_xlpm.check1, IF(OR(ISNUMBER(SEARCH({","}, _xlpm.val))), "1:Please enter a single value with no commas for the Supplier Part Number column", ""), IF(LEN(_xlpm.check1) &gt; 0, _xlpm.check1, _xlfn.LET(_xlpm.check2, IF(OR(ISNUMBER(SEARCH({"&lt;","&gt;","^","Ø","•","‣","⁃","⁌","™","∙","⌀","◦"}, _xlpm.val))), "1:Supplier Part Number cannot contain special characters ([™Ø⌀•‣◦⁃⁌⁍∙&lt;&gt;])", ""), IF(LEN(_xlpm.check2) &gt; 0, _xlpm.check2, IF(AND(_xlpm.val = "", B$3="Required"), "3:Supplier Part Number - Value is required", ""))))))))</f>
        <v/>
      </c>
      <c r="C7" s="22">
        <f t="array" ref="C7">_xlfn.MAP('Additional Cartons'!B7:B507, 'Additional Cartons'!C7:C507, 'Additional Cartons'!D7:D507, 'Additional Cartons'!E7:E507, 'Additional Cartons'!F7:F507, _xlfn.LAMBDA(_xlpm.part, _xlpm.val, _xlpm.dep1, _xlpm.dep2, _xlpm.dep3, IF(_xlpm.part = "", "", _xlfn.LET(_xlpm.check1, IF(AND(NOT(ISBLANK(_xlpm.val)),OR(NOT(ISNUMBER(IFERROR(VALUE(_xlpm.val), ""))), IFERROR(VALUE(_xlpm.val), -1) &lt; 0)), "1:Carton Weight - Value should be numeric", ""), IF(LEN(_xlpm.check1) &gt; 0, _xlpm.check1, _xlfn.LET(_xlpm.check2, IF(AND(_xlpm.val &lt;&gt; "" ,IFERROR(VALUE(_xlpm.val), _xlpm.val)&lt;0), "1:Shipping weight must be a positive number", ""), IF(LEN(_xlpm.check2) &gt; 0, _xlpm.check2, _xlfn.LET(_xlpm.check3, IF(AND(_xlpm.val = "", C$3="Required"), "3:Carton Weight - Value is required", ""), IF(LEN(_xlpm.check3) &gt; 0, _xlpm.check3, _xlfn.LET(_xlpm.check4, IF(OR(_xlpm.dep1 &lt;&gt; "", _xlpm.dep2 &lt;&gt; "", _xlpm.dep3 &lt;&gt; ""), IF(_xlpm.val = "", "3:Shipping weight is required", ""), ""), IF(LEN(_xlpm.check4) &gt; 0, _xlpm.check4, IF(AND(_xlpm.dep3 = "", _xlpm.dep1 = "", _xlpm.dep2 = ""), IF(_xlpm.val = "", "3:Shipping weight is required", ""), ""))))))))))))</f>
        <v/>
      </c>
      <c r="D7" s="22">
        <f t="array" ref="D7">_xlfn.MAP('Additional Cartons'!B7:B507, 'Additional Cartons'!D7:D507, 'Additional Cartons'!C7:C507, 'Additional Cartons'!E7:E507, 'Additional Cartons'!F7:F507, _xlfn.LAMBDA(_xlpm.part, _xlpm.val, _xlpm.dep1, _xlpm.dep2, _xlpm.dep3, IF(_xlpm.part = "", "", _xlfn.LET(_xlpm.check1, IF(AND(NOT(ISBLANK(_xlpm.val)),OR(NOT(ISNUMBER(IFERROR(VALUE(_xlpm.val), ""))), IFERROR(VALUE(_xlpm.val), -1) &lt; 0)), "1:Carton Height - Value should be numeric", ""), IF(LEN(_xlpm.check1) &gt; 0, _xlpm.check1, _xlfn.LET(_xlpm.check2, IF(AND(_xlpm.val &lt;&gt; "" ,IFERROR(VALUE(_xlpm.val), _xlpm.val)&lt;0), "1:Carton height must be a positive number", ""), IF(LEN(_xlpm.check2) &gt; 0, _xlpm.check2, _xlfn.LET(_xlpm.check3, IF(AND(_xlpm.val = "", D$3="Required"), "3:Carton Height - Value is required", ""), IF(LEN(_xlpm.check3) &gt; 0, _xlpm.check3, _xlfn.LET(_xlpm.check4, IF(OR(_xlpm.dep1 &lt;&gt; "", _xlpm.dep2 &lt;&gt; "", _xlpm.dep3 &lt;&gt; ""), IF(_xlpm.val = "", "3:Carton height is required", ""), ""), IF(LEN(_xlpm.check4) &gt; 0, _xlpm.check4, IF(AND(_xlpm.dep1 = "", _xlpm.dep3 = "", _xlpm.dep2 = ""), IF(_xlpm.val = "", "3:Carton height is required", ""), ""))))))))))))</f>
        <v/>
      </c>
      <c r="E7" s="22">
        <f t="array" ref="E7">_xlfn.MAP('Additional Cartons'!B7:B507, 'Additional Cartons'!E7:E507, 'Additional Cartons'!C7:C507, 'Additional Cartons'!D7:D507, 'Additional Cartons'!F7:F507, _xlfn.LAMBDA(_xlpm.part, _xlpm.val, _xlpm.dep1, _xlpm.dep2, _xlpm.dep3, IF(_xlpm.part = "", "", _xlfn.LET(_xlpm.check1, IF(AND(NOT(ISBLANK(_xlpm.val)),OR(NOT(ISNUMBER(IFERROR(VALUE(_xlpm.val), ""))), IFERROR(VALUE(_xlpm.val), -1) &lt; 0)), "1:Carton Width - Value should be numeric", ""), IF(LEN(_xlpm.check1) &gt; 0, _xlpm.check1, _xlfn.LET(_xlpm.check2, IF(AND(_xlpm.val &lt;&gt; "" ,IFERROR(VALUE(_xlpm.val), _xlpm.val)&lt;0), "1:Carton width must be a positive number", ""), IF(LEN(_xlpm.check2) &gt; 0, _xlpm.check2, _xlfn.LET(_xlpm.check3, IF(AND(_xlpm.val = "", E$3="Required"), "3:Carton Width - Value is required", ""), IF(LEN(_xlpm.check3) &gt; 0, _xlpm.check3, _xlfn.LET(_xlpm.check4, IF(OR(_xlpm.dep1 &lt;&gt; "", _xlpm.dep2 &lt;&gt; "", _xlpm.dep3 &lt;&gt; ""), IF(_xlpm.val = "", "3:Carton width is required", ""), ""), IF(LEN(_xlpm.check4) &gt; 0, _xlpm.check4, IF(AND(_xlpm.dep1 = "", _xlpm.dep2 = "", _xlpm.dep3 = ""), IF(_xlpm.val = "", "3:Carton width is required", ""), ""))))))))))))</f>
        <v/>
      </c>
      <c r="F7" s="22">
        <f t="array" ref="F7">_xlfn.MAP('Additional Cartons'!B7:B507, 'Additional Cartons'!F7:F507, 'Additional Cartons'!C7:C507, 'Additional Cartons'!D7:D507, 'Additional Cartons'!E7:E507, _xlfn.LAMBDA(_xlpm.part, _xlpm.val, _xlpm.dep1, _xlpm.dep2, _xlpm.dep3, IF(_xlpm.part = "", "", _xlfn.LET(_xlpm.check1, IF(AND(NOT(ISBLANK(_xlpm.val)),OR(NOT(ISNUMBER(IFERROR(VALUE(_xlpm.val), ""))), IFERROR(VALUE(_xlpm.val), -1) &lt; 0)), "1:Carton Depth - Value should be numeric", ""), IF(LEN(_xlpm.check1) &gt; 0, _xlpm.check1, _xlfn.LET(_xlpm.check2, IF(AND(_xlpm.val &lt;&gt; "" ,IFERROR(VALUE(_xlpm.val), _xlpm.val)&lt;0), "1:Carton depth must be a positive number", ""), IF(LEN(_xlpm.check2) &gt; 0, _xlpm.check2, _xlfn.LET(_xlpm.check3, IF(AND(_xlpm.val = "", F$3="Required"), "3:Carton Depth - Value is required", ""), IF(LEN(_xlpm.check3) &gt; 0, _xlpm.check3, _xlfn.LET(_xlpm.check4, IF(OR(_xlpm.dep1 &lt;&gt; "", _xlpm.dep2 &lt;&gt; "", _xlpm.dep3 &lt;&gt; ""), IF(_xlpm.val = "", "3:Carton depth is required", ""), ""), IF(LEN(_xlpm.check4) &gt; 0, _xlpm.check4, IF(AND(_xlpm.dep1 = "", _xlpm.dep2 = "", _xlpm.dep3 = ""), IF(_xlpm.val = "", "3:Carton depth is required", ""), ""))))))))))))</f>
        <v/>
      </c>
    </row>
  </sheetData>
  <sheetProtection selectLockedCells="0" selectUnlockedCells="0" sheet="1" objects="1" insertRows="1" insertHyperlinks="1" autoFilter="1" scenarios="1" formatColumns="1" deleteColumns="1" insertColumns="1" pivotTables="1" deleteRows="1" formatCells="1" formatRows="1" sort="1" password="D0E6"/>
  <pageMargins left="0.7" right="0.7" top="0.75" bottom="0.75" header="0.3" footer="0.3"/>
</worksheet>
</file>

<file path=xl/worksheets/sheet9.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cols>
    <col width="25.7109375" customWidth="1" style="22" min="2" max="2"/>
    <col width="18.7109375" customWidth="1" style="22" min="3" max="4"/>
    <col width="17.7109375" customWidth="1" style="22" min="5" max="6"/>
  </cols>
  <sheetData>
    <row r="1" hidden="1">
      <c r="B1" s="22" t="inlineStr">
        <is>
          <t>core::supplierPartNumber</t>
        </is>
      </c>
      <c r="C1" s="22" t="inlineStr">
        <is>
          <t>shippingAndFulfillment::weight</t>
        </is>
      </c>
      <c r="D1" s="22" t="inlineStr">
        <is>
          <t>shippingAndFulfillment::height</t>
        </is>
      </c>
      <c r="E1" s="22" t="inlineStr">
        <is>
          <t>shippingAndFulfillment::width</t>
        </is>
      </c>
      <c r="F1" s="22" t="inlineStr">
        <is>
          <t>shippingAndFulfillment::depth</t>
        </is>
      </c>
    </row>
    <row r="3">
      <c r="B3" s="31" t="inlineStr">
        <is>
          <t>Required</t>
        </is>
      </c>
      <c r="C3" s="31" t="inlineStr">
        <is>
          <t>Conditional</t>
        </is>
      </c>
      <c r="D3" s="31" t="inlineStr">
        <is>
          <t>Conditional</t>
        </is>
      </c>
      <c r="E3" s="31" t="inlineStr">
        <is>
          <t>Conditional</t>
        </is>
      </c>
      <c r="F3" s="31" t="inlineStr">
        <is>
          <t>Conditional</t>
        </is>
      </c>
    </row>
    <row r="4" ht="50" customHeight="1">
      <c r="B4" s="19" t="inlineStr">
        <is>
          <t>Supplier Part Number</t>
        </is>
      </c>
      <c r="C4" s="19" t="inlineStr">
        <is>
          <t>Carton Weight</t>
        </is>
      </c>
      <c r="D4" s="19" t="inlineStr">
        <is>
          <t>Carton Height</t>
        </is>
      </c>
      <c r="E4" s="19" t="inlineStr">
        <is>
          <t>Carton Width</t>
        </is>
      </c>
      <c r="F4" s="19" t="inlineStr">
        <is>
          <t>Carton Depth</t>
        </is>
      </c>
    </row>
    <row r="5" ht="50" customHeight="1">
      <c r="B5" s="34" t="inlineStr">
        <is>
          <t>Must be less than 64 characters and must be a unique value (products cannot be added if they have the same part number as something you already have in your catalog). This is the supplier-specific value for the product as it appears on your Inventory Feed and Purchased Orders.</t>
        </is>
      </c>
      <c r="C5" s="34" t="inlineStr">
        <is>
          <t>[Pounds] Enter in the shipping weight (i.e. 45.5) of the packaging used for the product.  If the product ships in more than one box, this measurement is per box.</t>
        </is>
      </c>
      <c r="D5" s="34" t="inlineStr">
        <is>
          <t>[Inches] Enter in the shipping height (i.e. 45.5) of the packaging used for the product.  If the product ships in more than one box, this measurement is per box.</t>
        </is>
      </c>
      <c r="E5" s="34" t="inlineStr">
        <is>
          <t>[Inches] Enter in the shipping width (i.e. 45.5) of the packaging used for the product.  If the product ships in more than one box, this measurement is per box.</t>
        </is>
      </c>
      <c r="F5" s="34" t="inlineStr">
        <is>
          <t>[Inches] Enter in the shipping depth (i.e. 45.5) of the packaging used for the product.  If the product ships in more than one box, this measurement is per box.</t>
        </is>
      </c>
    </row>
    <row r="6" ht="50" customHeight="1">
      <c r="B6" s="34" t="inlineStr">
        <is>
          <t>Text</t>
        </is>
      </c>
      <c r="C6" s="34" t="inlineStr">
        <is>
          <t>Number</t>
        </is>
      </c>
      <c r="D6" s="34" t="inlineStr">
        <is>
          <t>Number</t>
        </is>
      </c>
      <c r="E6" s="34" t="inlineStr">
        <is>
          <t>Number</t>
        </is>
      </c>
      <c r="F6" s="34" t="inlineStr">
        <is>
          <t>Number</t>
        </is>
      </c>
    </row>
    <row r="7">
      <c r="A7">
        <f t="array" ref="A7">_xlfn.BYROW(B7:G507, _xlfn.LAMBDA(_xlpm.r, _xlfn.LET(_xlpm.high_priority_idx, IFERROR(MATCH(TRUE, (_xlpm.r = "Error") + (_xlpm.r = "Required") &gt; 0, 0), 0), IF(_xlpm.high_priority_idx &gt; 0, _xlpm.high_priority_idx + 1, IFERROR(MATCH(1, (_xlpm.r = "Warning") * 1, 0) + 1, "")))))</f>
        <v/>
      </c>
      <c r="B7" s="22">
        <f t="array" ref="B7">_xlfn.MAP('Additional Cartons'!B7:B507, 'Additional Cartons'!B7:B507, 'Additional Cartons-WUO_ERR'!B7:B507, _xlfn.LAMBDA(_xlpm.part, _xlpm.val, _xlpm.error, IF(_xlpm.part = "", "", IF(LEN(_xlpm.error), _xlfn.SWITCH(IFERROR(_xlfn.TEXTBEFORE(_xlpm.error,":"), ""), "1", "Error", "2", "Disabled", "3", "Required", "4", "Warning", "Valid"), "Valid"))))</f>
        <v/>
      </c>
      <c r="C7" s="22">
        <f t="array" ref="C7">_xlfn.MAP('Additional Cartons'!B7:B507, 'Additional Cartons'!C7:C507, 'Additional Cartons-WUO_ERR'!C7:C507, _xlfn.LAMBDA(_xlpm.part, _xlpm.val, _xlpm.error, IF(_xlpm.part = "", "", IF(LEN(_xlpm.error), _xlfn.SWITCH(IFERROR(_xlfn.TEXTBEFORE(_xlpm.error,":"), ""), "1", "Error", "2", "Disabled", "3", "Required", "4", "Warning", "Valid"), "Valid"))))</f>
        <v/>
      </c>
      <c r="D7" s="22">
        <f t="array" ref="D7">_xlfn.MAP('Additional Cartons'!B7:B507, 'Additional Cartons'!D7:D507, 'Additional Cartons-WUO_ERR'!D7:D507, _xlfn.LAMBDA(_xlpm.part, _xlpm.val, _xlpm.error, IF(_xlpm.part = "", "", IF(LEN(_xlpm.error), _xlfn.SWITCH(IFERROR(_xlfn.TEXTBEFORE(_xlpm.error,":"), ""), "1", "Error", "2", "Disabled", "3", "Required", "4", "Warning", "Valid"), "Valid"))))</f>
        <v/>
      </c>
      <c r="E7" s="22">
        <f t="array" ref="E7">_xlfn.MAP('Additional Cartons'!B7:B507, 'Additional Cartons'!E7:E507, 'Additional Cartons-WUO_ERR'!E7:E507, _xlfn.LAMBDA(_xlpm.part, _xlpm.val, _xlpm.error, IF(_xlpm.part = "", "", IF(LEN(_xlpm.error), _xlfn.SWITCH(IFERROR(_xlfn.TEXTBEFORE(_xlpm.error,":"), ""), "1", "Error", "2", "Disabled", "3", "Required", "4", "Warning", "Valid"), "Valid"))))</f>
        <v/>
      </c>
      <c r="F7" s="22">
        <f t="array" ref="F7">_xlfn.MAP('Additional Cartons'!B7:B507, 'Additional Cartons'!F7:F507, 'Additional Cartons-WUO_ERR'!F7:F507, _xlfn.LAMBDA(_xlpm.part, _xlpm.val, _xlpm.error, IF(_xlpm.part = "", "", IF(LEN(_xlpm.error), _xlfn.SWITCH(IFERROR(_xlfn.TEXTBEFORE(_xlpm.error,":"), ""), "1", "Error", "2", "Disabled", "3", "Required", "4", "Warning", "Valid"), "Valid"))))</f>
        <v/>
      </c>
    </row>
  </sheetData>
  <sheetProtection selectLockedCells="0" selectUnlockedCells="0" sheet="1" objects="1" insertRows="1" insertHyperlinks="1" autoFilter="1" scenarios="1" formatColumns="1" deleteColumns="1" insertColumns="1" pivotTables="1" deleteRows="1" formatCells="1" formatRows="1" sort="1" password="BAE7"/>
  <pageMargins left="0.7" right="0.7" top="0.75" bottom="0.75" header="0.3" footer="0.3"/>
</worksheet>
</file>

<file path=xl/worksheets/sheet10.xml><?xml version="1.0" encoding="utf-8"?>
<worksheet xmlns="http://schemas.openxmlformats.org/spreadsheetml/2006/main">
  <sheetPr>
    <outlinePr summaryBelow="1" summaryRight="1"/>
    <pageSetUpPr/>
  </sheetPr>
  <dimension ref="A1:Z507"/>
  <sheetViews>
    <sheetView workbookViewId="0">
      <selection activeCell="A1" sqref="A1"/>
    </sheetView>
  </sheetViews>
  <sheetFormatPr baseColWidth="8" defaultRowHeight="15"/>
  <cols>
    <col width="35.7109375" customWidth="1" min="1" max="1"/>
    <col width="25.7109375" customWidth="1" style="22" min="2" max="2"/>
    <col width="13.7109375" customWidth="1" style="22" min="3" max="4"/>
    <col hidden="1" min="26" max="26"/>
  </cols>
  <sheetData>
    <row r="1" hidden="1">
      <c r="B1" s="22" t="inlineStr">
        <is>
          <t>core::supplierPartNumber</t>
        </is>
      </c>
      <c r="C1" s="22" t="inlineStr">
        <is>
          <t>propSixtyFive::chemicalId</t>
        </is>
      </c>
      <c r="D1" s="22" t="inlineStr">
        <is>
          <t>propSixtyFive::toxicity</t>
        </is>
      </c>
    </row>
    <row r="2">
      <c r="B2" s="23" t="inlineStr">
        <is>
          <t>Basic Information</t>
        </is>
      </c>
      <c r="C2" s="28" t="inlineStr">
        <is>
          <t>Compliance</t>
        </is>
      </c>
      <c r="D2" s="41" t="n"/>
    </row>
    <row r="3">
      <c r="B3" s="31" t="inlineStr">
        <is>
          <t>Required</t>
        </is>
      </c>
      <c r="C3" s="31" t="inlineStr">
        <is>
          <t>Conditional</t>
        </is>
      </c>
      <c r="D3" s="31" t="inlineStr">
        <is>
          <t>Conditional</t>
        </is>
      </c>
    </row>
    <row r="4" ht="50" customHeight="1">
      <c r="A4" s="19" t="inlineStr">
        <is>
          <t>Errors</t>
        </is>
      </c>
      <c r="B4" s="19" t="inlineStr">
        <is>
          <t>Supplier Part Number</t>
        </is>
      </c>
      <c r="C4" s="19" t="inlineStr">
        <is>
          <t>Chemical</t>
        </is>
      </c>
      <c r="D4" s="19" t="inlineStr">
        <is>
          <t>Toxicity</t>
        </is>
      </c>
    </row>
    <row r="5" ht="50" customHeight="1">
      <c r="A5" s="34" t="inlineStr">
        <is>
          <t>Displays the error status and message for the first error in the row, with a link to the corresponding cell.</t>
        </is>
      </c>
      <c r="B5" s="34" t="inlineStr">
        <is>
          <t>Must be less than 64 characters and must be a unique value (products cannot be added if they have the same part number as something you already have in your catalog). This is the supplier-specific value for the product as it appears on your Inventory Feed and Purchased Orders.</t>
        </is>
      </c>
      <c r="C5" s="34" t="inlineStr">
        <is>
          <t>Select the chemical that requires the Prop65 warning.</t>
        </is>
      </c>
      <c r="D5" s="34" t="inlineStr">
        <is>
          <t>Select the toxicity that can result from the selected chemical.</t>
        </is>
      </c>
    </row>
    <row r="6" ht="50" customHeight="1">
      <c r="A6" s="34" t="inlineStr">
        <is>
          <t>Read-Only</t>
        </is>
      </c>
      <c r="B6" s="34" t="inlineStr">
        <is>
          <t>Text</t>
        </is>
      </c>
      <c r="C6" s="35" t="inlineStr">
        <is>
          <t>Select</t>
        </is>
      </c>
      <c r="D6" s="35" t="inlineStr">
        <is>
          <t>Please choose one or more from the following, using a semicolon (;) to separate each value: Cancer; Developmental</t>
        </is>
      </c>
    </row>
    <row r="7">
      <c r="A7" s="38">
        <f>IF('Additional Chemicals'!B7 = "", "", IF('Additional Chemicals-WUO_ERR'!A7 = "", "Validated", HYPERLINK("#" &amp; ADDRESS(7, 'Additional Chemicals-WUO_TRK'!A7),_xlfn.TEXTAFTER('Additional Chemicals-WUO_ERR'!A7, ":"))))</f>
        <v/>
      </c>
      <c r="Z7">
        <f t="array" ref="Z7">IF(B7:B507="", "", IFERROR(_xlfn.XLOOKUP(B7:B507, _xlfn.VSTACK('6 - TV Stands &amp; Enterta'!B7:B507), _xlfn.VSTACK('6 - TV Stands &amp; Enterta'!G7:G507)), ""))</f>
        <v/>
      </c>
    </row>
    <row r="8">
      <c r="A8" s="38">
        <f>IF('Additional Chemicals'!B8 = "", "", IF('Additional Chemicals-WUO_ERR'!A8 = "", "Validated", HYPERLINK("#" &amp; ADDRESS(8, 'Additional Chemicals-WUO_TRK'!A8),_xlfn.TEXTAFTER('Additional Chemicals-WUO_ERR'!A8, ":"))))</f>
        <v/>
      </c>
    </row>
    <row r="9">
      <c r="A9" s="38">
        <f>IF('Additional Chemicals'!B9 = "", "", IF('Additional Chemicals-WUO_ERR'!A9 = "", "Validated", HYPERLINK("#" &amp; ADDRESS(9, 'Additional Chemicals-WUO_TRK'!A9),_xlfn.TEXTAFTER('Additional Chemicals-WUO_ERR'!A9, ":"))))</f>
        <v/>
      </c>
    </row>
    <row r="10">
      <c r="A10" s="38">
        <f>IF('Additional Chemicals'!B10 = "", "", IF('Additional Chemicals-WUO_ERR'!A10 = "", "Validated", HYPERLINK("#" &amp; ADDRESS(10, 'Additional Chemicals-WUO_TRK'!A10),_xlfn.TEXTAFTER('Additional Chemicals-WUO_ERR'!A10, ":"))))</f>
        <v/>
      </c>
    </row>
    <row r="11">
      <c r="A11" s="38">
        <f>IF('Additional Chemicals'!B11 = "", "", IF('Additional Chemicals-WUO_ERR'!A11 = "", "Validated", HYPERLINK("#" &amp; ADDRESS(11, 'Additional Chemicals-WUO_TRK'!A11),_xlfn.TEXTAFTER('Additional Chemicals-WUO_ERR'!A11, ":"))))</f>
        <v/>
      </c>
    </row>
    <row r="12">
      <c r="A12" s="38">
        <f>IF('Additional Chemicals'!B12 = "", "", IF('Additional Chemicals-WUO_ERR'!A12 = "", "Validated", HYPERLINK("#" &amp; ADDRESS(12, 'Additional Chemicals-WUO_TRK'!A12),_xlfn.TEXTAFTER('Additional Chemicals-WUO_ERR'!A12, ":"))))</f>
        <v/>
      </c>
    </row>
    <row r="13">
      <c r="A13" s="38">
        <f>IF('Additional Chemicals'!B13 = "", "", IF('Additional Chemicals-WUO_ERR'!A13 = "", "Validated", HYPERLINK("#" &amp; ADDRESS(13, 'Additional Chemicals-WUO_TRK'!A13),_xlfn.TEXTAFTER('Additional Chemicals-WUO_ERR'!A13, ":"))))</f>
        <v/>
      </c>
    </row>
    <row r="14">
      <c r="A14" s="38">
        <f>IF('Additional Chemicals'!B14 = "", "", IF('Additional Chemicals-WUO_ERR'!A14 = "", "Validated", HYPERLINK("#" &amp; ADDRESS(14, 'Additional Chemicals-WUO_TRK'!A14),_xlfn.TEXTAFTER('Additional Chemicals-WUO_ERR'!A14, ":"))))</f>
        <v/>
      </c>
    </row>
    <row r="15">
      <c r="A15" s="38">
        <f>IF('Additional Chemicals'!B15 = "", "", IF('Additional Chemicals-WUO_ERR'!A15 = "", "Validated", HYPERLINK("#" &amp; ADDRESS(15, 'Additional Chemicals-WUO_TRK'!A15),_xlfn.TEXTAFTER('Additional Chemicals-WUO_ERR'!A15, ":"))))</f>
        <v/>
      </c>
    </row>
    <row r="16">
      <c r="A16" s="38">
        <f>IF('Additional Chemicals'!B16 = "", "", IF('Additional Chemicals-WUO_ERR'!A16 = "", "Validated", HYPERLINK("#" &amp; ADDRESS(16, 'Additional Chemicals-WUO_TRK'!A16),_xlfn.TEXTAFTER('Additional Chemicals-WUO_ERR'!A16, ":"))))</f>
        <v/>
      </c>
    </row>
    <row r="17">
      <c r="A17" s="38">
        <f>IF('Additional Chemicals'!B17 = "", "", IF('Additional Chemicals-WUO_ERR'!A17 = "", "Validated", HYPERLINK("#" &amp; ADDRESS(17, 'Additional Chemicals-WUO_TRK'!A17),_xlfn.TEXTAFTER('Additional Chemicals-WUO_ERR'!A17, ":"))))</f>
        <v/>
      </c>
    </row>
    <row r="18">
      <c r="A18" s="38">
        <f>IF('Additional Chemicals'!B18 = "", "", IF('Additional Chemicals-WUO_ERR'!A18 = "", "Validated", HYPERLINK("#" &amp; ADDRESS(18, 'Additional Chemicals-WUO_TRK'!A18),_xlfn.TEXTAFTER('Additional Chemicals-WUO_ERR'!A18, ":"))))</f>
        <v/>
      </c>
    </row>
    <row r="19">
      <c r="A19" s="38">
        <f>IF('Additional Chemicals'!B19 = "", "", IF('Additional Chemicals-WUO_ERR'!A19 = "", "Validated", HYPERLINK("#" &amp; ADDRESS(19, 'Additional Chemicals-WUO_TRK'!A19),_xlfn.TEXTAFTER('Additional Chemicals-WUO_ERR'!A19, ":"))))</f>
        <v/>
      </c>
    </row>
    <row r="20">
      <c r="A20" s="38">
        <f>IF('Additional Chemicals'!B20 = "", "", IF('Additional Chemicals-WUO_ERR'!A20 = "", "Validated", HYPERLINK("#" &amp; ADDRESS(20, 'Additional Chemicals-WUO_TRK'!A20),_xlfn.TEXTAFTER('Additional Chemicals-WUO_ERR'!A20, ":"))))</f>
        <v/>
      </c>
    </row>
    <row r="21">
      <c r="A21" s="38">
        <f>IF('Additional Chemicals'!B21 = "", "", IF('Additional Chemicals-WUO_ERR'!A21 = "", "Validated", HYPERLINK("#" &amp; ADDRESS(21, 'Additional Chemicals-WUO_TRK'!A21),_xlfn.TEXTAFTER('Additional Chemicals-WUO_ERR'!A21, ":"))))</f>
        <v/>
      </c>
    </row>
    <row r="22">
      <c r="A22" s="38">
        <f>IF('Additional Chemicals'!B22 = "", "", IF('Additional Chemicals-WUO_ERR'!A22 = "", "Validated", HYPERLINK("#" &amp; ADDRESS(22, 'Additional Chemicals-WUO_TRK'!A22),_xlfn.TEXTAFTER('Additional Chemicals-WUO_ERR'!A22, ":"))))</f>
        <v/>
      </c>
    </row>
    <row r="23">
      <c r="A23" s="38">
        <f>IF('Additional Chemicals'!B23 = "", "", IF('Additional Chemicals-WUO_ERR'!A23 = "", "Validated", HYPERLINK("#" &amp; ADDRESS(23, 'Additional Chemicals-WUO_TRK'!A23),_xlfn.TEXTAFTER('Additional Chemicals-WUO_ERR'!A23, ":"))))</f>
        <v/>
      </c>
    </row>
    <row r="24">
      <c r="A24" s="38">
        <f>IF('Additional Chemicals'!B24 = "", "", IF('Additional Chemicals-WUO_ERR'!A24 = "", "Validated", HYPERLINK("#" &amp; ADDRESS(24, 'Additional Chemicals-WUO_TRK'!A24),_xlfn.TEXTAFTER('Additional Chemicals-WUO_ERR'!A24, ":"))))</f>
        <v/>
      </c>
    </row>
    <row r="25">
      <c r="A25" s="38">
        <f>IF('Additional Chemicals'!B25 = "", "", IF('Additional Chemicals-WUO_ERR'!A25 = "", "Validated", HYPERLINK("#" &amp; ADDRESS(25, 'Additional Chemicals-WUO_TRK'!A25),_xlfn.TEXTAFTER('Additional Chemicals-WUO_ERR'!A25, ":"))))</f>
        <v/>
      </c>
    </row>
    <row r="26">
      <c r="A26" s="38">
        <f>IF('Additional Chemicals'!B26 = "", "", IF('Additional Chemicals-WUO_ERR'!A26 = "", "Validated", HYPERLINK("#" &amp; ADDRESS(26, 'Additional Chemicals-WUO_TRK'!A26),_xlfn.TEXTAFTER('Additional Chemicals-WUO_ERR'!A26, ":"))))</f>
        <v/>
      </c>
    </row>
    <row r="27">
      <c r="A27" s="38">
        <f>IF('Additional Chemicals'!B27 = "", "", IF('Additional Chemicals-WUO_ERR'!A27 = "", "Validated", HYPERLINK("#" &amp; ADDRESS(27, 'Additional Chemicals-WUO_TRK'!A27),_xlfn.TEXTAFTER('Additional Chemicals-WUO_ERR'!A27, ":"))))</f>
        <v/>
      </c>
    </row>
    <row r="28">
      <c r="A28" s="38">
        <f>IF('Additional Chemicals'!B28 = "", "", IF('Additional Chemicals-WUO_ERR'!A28 = "", "Validated", HYPERLINK("#" &amp; ADDRESS(28, 'Additional Chemicals-WUO_TRK'!A28),_xlfn.TEXTAFTER('Additional Chemicals-WUO_ERR'!A28, ":"))))</f>
        <v/>
      </c>
    </row>
    <row r="29">
      <c r="A29" s="38">
        <f>IF('Additional Chemicals'!B29 = "", "", IF('Additional Chemicals-WUO_ERR'!A29 = "", "Validated", HYPERLINK("#" &amp; ADDRESS(29, 'Additional Chemicals-WUO_TRK'!A29),_xlfn.TEXTAFTER('Additional Chemicals-WUO_ERR'!A29, ":"))))</f>
        <v/>
      </c>
    </row>
    <row r="30">
      <c r="A30" s="38">
        <f>IF('Additional Chemicals'!B30 = "", "", IF('Additional Chemicals-WUO_ERR'!A30 = "", "Validated", HYPERLINK("#" &amp; ADDRESS(30, 'Additional Chemicals-WUO_TRK'!A30),_xlfn.TEXTAFTER('Additional Chemicals-WUO_ERR'!A30, ":"))))</f>
        <v/>
      </c>
    </row>
    <row r="31">
      <c r="A31" s="38">
        <f>IF('Additional Chemicals'!B31 = "", "", IF('Additional Chemicals-WUO_ERR'!A31 = "", "Validated", HYPERLINK("#" &amp; ADDRESS(31, 'Additional Chemicals-WUO_TRK'!A31),_xlfn.TEXTAFTER('Additional Chemicals-WUO_ERR'!A31, ":"))))</f>
        <v/>
      </c>
    </row>
    <row r="32">
      <c r="A32" s="38">
        <f>IF('Additional Chemicals'!B32 = "", "", IF('Additional Chemicals-WUO_ERR'!A32 = "", "Validated", HYPERLINK("#" &amp; ADDRESS(32, 'Additional Chemicals-WUO_TRK'!A32),_xlfn.TEXTAFTER('Additional Chemicals-WUO_ERR'!A32, ":"))))</f>
        <v/>
      </c>
    </row>
    <row r="33">
      <c r="A33" s="38">
        <f>IF('Additional Chemicals'!B33 = "", "", IF('Additional Chemicals-WUO_ERR'!A33 = "", "Validated", HYPERLINK("#" &amp; ADDRESS(33, 'Additional Chemicals-WUO_TRK'!A33),_xlfn.TEXTAFTER('Additional Chemicals-WUO_ERR'!A33, ":"))))</f>
        <v/>
      </c>
    </row>
    <row r="34">
      <c r="A34" s="38">
        <f>IF('Additional Chemicals'!B34 = "", "", IF('Additional Chemicals-WUO_ERR'!A34 = "", "Validated", HYPERLINK("#" &amp; ADDRESS(34, 'Additional Chemicals-WUO_TRK'!A34),_xlfn.TEXTAFTER('Additional Chemicals-WUO_ERR'!A34, ":"))))</f>
        <v/>
      </c>
    </row>
    <row r="35">
      <c r="A35" s="38">
        <f>IF('Additional Chemicals'!B35 = "", "", IF('Additional Chemicals-WUO_ERR'!A35 = "", "Validated", HYPERLINK("#" &amp; ADDRESS(35, 'Additional Chemicals-WUO_TRK'!A35),_xlfn.TEXTAFTER('Additional Chemicals-WUO_ERR'!A35, ":"))))</f>
        <v/>
      </c>
    </row>
    <row r="36">
      <c r="A36" s="38">
        <f>IF('Additional Chemicals'!B36 = "", "", IF('Additional Chemicals-WUO_ERR'!A36 = "", "Validated", HYPERLINK("#" &amp; ADDRESS(36, 'Additional Chemicals-WUO_TRK'!A36),_xlfn.TEXTAFTER('Additional Chemicals-WUO_ERR'!A36, ":"))))</f>
        <v/>
      </c>
    </row>
    <row r="37">
      <c r="A37" s="38">
        <f>IF('Additional Chemicals'!B37 = "", "", IF('Additional Chemicals-WUO_ERR'!A37 = "", "Validated", HYPERLINK("#" &amp; ADDRESS(37, 'Additional Chemicals-WUO_TRK'!A37),_xlfn.TEXTAFTER('Additional Chemicals-WUO_ERR'!A37, ":"))))</f>
        <v/>
      </c>
    </row>
    <row r="38">
      <c r="A38" s="38">
        <f>IF('Additional Chemicals'!B38 = "", "", IF('Additional Chemicals-WUO_ERR'!A38 = "", "Validated", HYPERLINK("#" &amp; ADDRESS(38, 'Additional Chemicals-WUO_TRK'!A38),_xlfn.TEXTAFTER('Additional Chemicals-WUO_ERR'!A38, ":"))))</f>
        <v/>
      </c>
    </row>
    <row r="39">
      <c r="A39" s="38">
        <f>IF('Additional Chemicals'!B39 = "", "", IF('Additional Chemicals-WUO_ERR'!A39 = "", "Validated", HYPERLINK("#" &amp; ADDRESS(39, 'Additional Chemicals-WUO_TRK'!A39),_xlfn.TEXTAFTER('Additional Chemicals-WUO_ERR'!A39, ":"))))</f>
        <v/>
      </c>
    </row>
    <row r="40">
      <c r="A40" s="38">
        <f>IF('Additional Chemicals'!B40 = "", "", IF('Additional Chemicals-WUO_ERR'!A40 = "", "Validated", HYPERLINK("#" &amp; ADDRESS(40, 'Additional Chemicals-WUO_TRK'!A40),_xlfn.TEXTAFTER('Additional Chemicals-WUO_ERR'!A40, ":"))))</f>
        <v/>
      </c>
    </row>
    <row r="41">
      <c r="A41" s="38">
        <f>IF('Additional Chemicals'!B41 = "", "", IF('Additional Chemicals-WUO_ERR'!A41 = "", "Validated", HYPERLINK("#" &amp; ADDRESS(41, 'Additional Chemicals-WUO_TRK'!A41),_xlfn.TEXTAFTER('Additional Chemicals-WUO_ERR'!A41, ":"))))</f>
        <v/>
      </c>
    </row>
    <row r="42">
      <c r="A42" s="38">
        <f>IF('Additional Chemicals'!B42 = "", "", IF('Additional Chemicals-WUO_ERR'!A42 = "", "Validated", HYPERLINK("#" &amp; ADDRESS(42, 'Additional Chemicals-WUO_TRK'!A42),_xlfn.TEXTAFTER('Additional Chemicals-WUO_ERR'!A42, ":"))))</f>
        <v/>
      </c>
    </row>
    <row r="43">
      <c r="A43" s="38">
        <f>IF('Additional Chemicals'!B43 = "", "", IF('Additional Chemicals-WUO_ERR'!A43 = "", "Validated", HYPERLINK("#" &amp; ADDRESS(43, 'Additional Chemicals-WUO_TRK'!A43),_xlfn.TEXTAFTER('Additional Chemicals-WUO_ERR'!A43, ":"))))</f>
        <v/>
      </c>
    </row>
    <row r="44">
      <c r="A44" s="38">
        <f>IF('Additional Chemicals'!B44 = "", "", IF('Additional Chemicals-WUO_ERR'!A44 = "", "Validated", HYPERLINK("#" &amp; ADDRESS(44, 'Additional Chemicals-WUO_TRK'!A44),_xlfn.TEXTAFTER('Additional Chemicals-WUO_ERR'!A44, ":"))))</f>
        <v/>
      </c>
    </row>
    <row r="45">
      <c r="A45" s="38">
        <f>IF('Additional Chemicals'!B45 = "", "", IF('Additional Chemicals-WUO_ERR'!A45 = "", "Validated", HYPERLINK("#" &amp; ADDRESS(45, 'Additional Chemicals-WUO_TRK'!A45),_xlfn.TEXTAFTER('Additional Chemicals-WUO_ERR'!A45, ":"))))</f>
        <v/>
      </c>
    </row>
    <row r="46">
      <c r="A46" s="38">
        <f>IF('Additional Chemicals'!B46 = "", "", IF('Additional Chemicals-WUO_ERR'!A46 = "", "Validated", HYPERLINK("#" &amp; ADDRESS(46, 'Additional Chemicals-WUO_TRK'!A46),_xlfn.TEXTAFTER('Additional Chemicals-WUO_ERR'!A46, ":"))))</f>
        <v/>
      </c>
    </row>
    <row r="47">
      <c r="A47" s="38">
        <f>IF('Additional Chemicals'!B47 = "", "", IF('Additional Chemicals-WUO_ERR'!A47 = "", "Validated", HYPERLINK("#" &amp; ADDRESS(47, 'Additional Chemicals-WUO_TRK'!A47),_xlfn.TEXTAFTER('Additional Chemicals-WUO_ERR'!A47, ":"))))</f>
        <v/>
      </c>
    </row>
    <row r="48">
      <c r="A48" s="38">
        <f>IF('Additional Chemicals'!B48 = "", "", IF('Additional Chemicals-WUO_ERR'!A48 = "", "Validated", HYPERLINK("#" &amp; ADDRESS(48, 'Additional Chemicals-WUO_TRK'!A48),_xlfn.TEXTAFTER('Additional Chemicals-WUO_ERR'!A48, ":"))))</f>
        <v/>
      </c>
    </row>
    <row r="49">
      <c r="A49" s="38">
        <f>IF('Additional Chemicals'!B49 = "", "", IF('Additional Chemicals-WUO_ERR'!A49 = "", "Validated", HYPERLINK("#" &amp; ADDRESS(49, 'Additional Chemicals-WUO_TRK'!A49),_xlfn.TEXTAFTER('Additional Chemicals-WUO_ERR'!A49, ":"))))</f>
        <v/>
      </c>
    </row>
    <row r="50">
      <c r="A50" s="38">
        <f>IF('Additional Chemicals'!B50 = "", "", IF('Additional Chemicals-WUO_ERR'!A50 = "", "Validated", HYPERLINK("#" &amp; ADDRESS(50, 'Additional Chemicals-WUO_TRK'!A50),_xlfn.TEXTAFTER('Additional Chemicals-WUO_ERR'!A50, ":"))))</f>
        <v/>
      </c>
    </row>
    <row r="51">
      <c r="A51" s="38">
        <f>IF('Additional Chemicals'!B51 = "", "", IF('Additional Chemicals-WUO_ERR'!A51 = "", "Validated", HYPERLINK("#" &amp; ADDRESS(51, 'Additional Chemicals-WUO_TRK'!A51),_xlfn.TEXTAFTER('Additional Chemicals-WUO_ERR'!A51, ":"))))</f>
        <v/>
      </c>
    </row>
    <row r="52">
      <c r="A52" s="38">
        <f>IF('Additional Chemicals'!B52 = "", "", IF('Additional Chemicals-WUO_ERR'!A52 = "", "Validated", HYPERLINK("#" &amp; ADDRESS(52, 'Additional Chemicals-WUO_TRK'!A52),_xlfn.TEXTAFTER('Additional Chemicals-WUO_ERR'!A52, ":"))))</f>
        <v/>
      </c>
    </row>
    <row r="53">
      <c r="A53" s="38">
        <f>IF('Additional Chemicals'!B53 = "", "", IF('Additional Chemicals-WUO_ERR'!A53 = "", "Validated", HYPERLINK("#" &amp; ADDRESS(53, 'Additional Chemicals-WUO_TRK'!A53),_xlfn.TEXTAFTER('Additional Chemicals-WUO_ERR'!A53, ":"))))</f>
        <v/>
      </c>
    </row>
    <row r="54">
      <c r="A54" s="38">
        <f>IF('Additional Chemicals'!B54 = "", "", IF('Additional Chemicals-WUO_ERR'!A54 = "", "Validated", HYPERLINK("#" &amp; ADDRESS(54, 'Additional Chemicals-WUO_TRK'!A54),_xlfn.TEXTAFTER('Additional Chemicals-WUO_ERR'!A54, ":"))))</f>
        <v/>
      </c>
    </row>
    <row r="55">
      <c r="A55" s="38">
        <f>IF('Additional Chemicals'!B55 = "", "", IF('Additional Chemicals-WUO_ERR'!A55 = "", "Validated", HYPERLINK("#" &amp; ADDRESS(55, 'Additional Chemicals-WUO_TRK'!A55),_xlfn.TEXTAFTER('Additional Chemicals-WUO_ERR'!A55, ":"))))</f>
        <v/>
      </c>
    </row>
    <row r="56">
      <c r="A56" s="38">
        <f>IF('Additional Chemicals'!B56 = "", "", IF('Additional Chemicals-WUO_ERR'!A56 = "", "Validated", HYPERLINK("#" &amp; ADDRESS(56, 'Additional Chemicals-WUO_TRK'!A56),_xlfn.TEXTAFTER('Additional Chemicals-WUO_ERR'!A56, ":"))))</f>
        <v/>
      </c>
    </row>
    <row r="57">
      <c r="A57" s="38">
        <f>IF('Additional Chemicals'!B57 = "", "", IF('Additional Chemicals-WUO_ERR'!A57 = "", "Validated", HYPERLINK("#" &amp; ADDRESS(57, 'Additional Chemicals-WUO_TRK'!A57),_xlfn.TEXTAFTER('Additional Chemicals-WUO_ERR'!A57, ":"))))</f>
        <v/>
      </c>
    </row>
    <row r="58">
      <c r="A58" s="38">
        <f>IF('Additional Chemicals'!B58 = "", "", IF('Additional Chemicals-WUO_ERR'!A58 = "", "Validated", HYPERLINK("#" &amp; ADDRESS(58, 'Additional Chemicals-WUO_TRK'!A58),_xlfn.TEXTAFTER('Additional Chemicals-WUO_ERR'!A58, ":"))))</f>
        <v/>
      </c>
    </row>
    <row r="59">
      <c r="A59" s="38">
        <f>IF('Additional Chemicals'!B59 = "", "", IF('Additional Chemicals-WUO_ERR'!A59 = "", "Validated", HYPERLINK("#" &amp; ADDRESS(59, 'Additional Chemicals-WUO_TRK'!A59),_xlfn.TEXTAFTER('Additional Chemicals-WUO_ERR'!A59, ":"))))</f>
        <v/>
      </c>
    </row>
    <row r="60">
      <c r="A60" s="38">
        <f>IF('Additional Chemicals'!B60 = "", "", IF('Additional Chemicals-WUO_ERR'!A60 = "", "Validated", HYPERLINK("#" &amp; ADDRESS(60, 'Additional Chemicals-WUO_TRK'!A60),_xlfn.TEXTAFTER('Additional Chemicals-WUO_ERR'!A60, ":"))))</f>
        <v/>
      </c>
    </row>
    <row r="61">
      <c r="A61" s="38">
        <f>IF('Additional Chemicals'!B61 = "", "", IF('Additional Chemicals-WUO_ERR'!A61 = "", "Validated", HYPERLINK("#" &amp; ADDRESS(61, 'Additional Chemicals-WUO_TRK'!A61),_xlfn.TEXTAFTER('Additional Chemicals-WUO_ERR'!A61, ":"))))</f>
        <v/>
      </c>
    </row>
    <row r="62">
      <c r="A62" s="38">
        <f>IF('Additional Chemicals'!B62 = "", "", IF('Additional Chemicals-WUO_ERR'!A62 = "", "Validated", HYPERLINK("#" &amp; ADDRESS(62, 'Additional Chemicals-WUO_TRK'!A62),_xlfn.TEXTAFTER('Additional Chemicals-WUO_ERR'!A62, ":"))))</f>
        <v/>
      </c>
    </row>
    <row r="63">
      <c r="A63" s="38">
        <f>IF('Additional Chemicals'!B63 = "", "", IF('Additional Chemicals-WUO_ERR'!A63 = "", "Validated", HYPERLINK("#" &amp; ADDRESS(63, 'Additional Chemicals-WUO_TRK'!A63),_xlfn.TEXTAFTER('Additional Chemicals-WUO_ERR'!A63, ":"))))</f>
        <v/>
      </c>
    </row>
    <row r="64">
      <c r="A64" s="38">
        <f>IF('Additional Chemicals'!B64 = "", "", IF('Additional Chemicals-WUO_ERR'!A64 = "", "Validated", HYPERLINK("#" &amp; ADDRESS(64, 'Additional Chemicals-WUO_TRK'!A64),_xlfn.TEXTAFTER('Additional Chemicals-WUO_ERR'!A64, ":"))))</f>
        <v/>
      </c>
    </row>
    <row r="65">
      <c r="A65" s="38">
        <f>IF('Additional Chemicals'!B65 = "", "", IF('Additional Chemicals-WUO_ERR'!A65 = "", "Validated", HYPERLINK("#" &amp; ADDRESS(65, 'Additional Chemicals-WUO_TRK'!A65),_xlfn.TEXTAFTER('Additional Chemicals-WUO_ERR'!A65, ":"))))</f>
        <v/>
      </c>
    </row>
    <row r="66">
      <c r="A66" s="38">
        <f>IF('Additional Chemicals'!B66 = "", "", IF('Additional Chemicals-WUO_ERR'!A66 = "", "Validated", HYPERLINK("#" &amp; ADDRESS(66, 'Additional Chemicals-WUO_TRK'!A66),_xlfn.TEXTAFTER('Additional Chemicals-WUO_ERR'!A66, ":"))))</f>
        <v/>
      </c>
    </row>
    <row r="67">
      <c r="A67" s="38">
        <f>IF('Additional Chemicals'!B67 = "", "", IF('Additional Chemicals-WUO_ERR'!A67 = "", "Validated", HYPERLINK("#" &amp; ADDRESS(67, 'Additional Chemicals-WUO_TRK'!A67),_xlfn.TEXTAFTER('Additional Chemicals-WUO_ERR'!A67, ":"))))</f>
        <v/>
      </c>
    </row>
    <row r="68">
      <c r="A68" s="38">
        <f>IF('Additional Chemicals'!B68 = "", "", IF('Additional Chemicals-WUO_ERR'!A68 = "", "Validated", HYPERLINK("#" &amp; ADDRESS(68, 'Additional Chemicals-WUO_TRK'!A68),_xlfn.TEXTAFTER('Additional Chemicals-WUO_ERR'!A68, ":"))))</f>
        <v/>
      </c>
    </row>
    <row r="69">
      <c r="A69" s="38">
        <f>IF('Additional Chemicals'!B69 = "", "", IF('Additional Chemicals-WUO_ERR'!A69 = "", "Validated", HYPERLINK("#" &amp; ADDRESS(69, 'Additional Chemicals-WUO_TRK'!A69),_xlfn.TEXTAFTER('Additional Chemicals-WUO_ERR'!A69, ":"))))</f>
        <v/>
      </c>
    </row>
    <row r="70">
      <c r="A70" s="38">
        <f>IF('Additional Chemicals'!B70 = "", "", IF('Additional Chemicals-WUO_ERR'!A70 = "", "Validated", HYPERLINK("#" &amp; ADDRESS(70, 'Additional Chemicals-WUO_TRK'!A70),_xlfn.TEXTAFTER('Additional Chemicals-WUO_ERR'!A70, ":"))))</f>
        <v/>
      </c>
    </row>
    <row r="71">
      <c r="A71" s="38">
        <f>IF('Additional Chemicals'!B71 = "", "", IF('Additional Chemicals-WUO_ERR'!A71 = "", "Validated", HYPERLINK("#" &amp; ADDRESS(71, 'Additional Chemicals-WUO_TRK'!A71),_xlfn.TEXTAFTER('Additional Chemicals-WUO_ERR'!A71, ":"))))</f>
        <v/>
      </c>
    </row>
    <row r="72">
      <c r="A72" s="38">
        <f>IF('Additional Chemicals'!B72 = "", "", IF('Additional Chemicals-WUO_ERR'!A72 = "", "Validated", HYPERLINK("#" &amp; ADDRESS(72, 'Additional Chemicals-WUO_TRK'!A72),_xlfn.TEXTAFTER('Additional Chemicals-WUO_ERR'!A72, ":"))))</f>
        <v/>
      </c>
    </row>
    <row r="73">
      <c r="A73" s="38">
        <f>IF('Additional Chemicals'!B73 = "", "", IF('Additional Chemicals-WUO_ERR'!A73 = "", "Validated", HYPERLINK("#" &amp; ADDRESS(73, 'Additional Chemicals-WUO_TRK'!A73),_xlfn.TEXTAFTER('Additional Chemicals-WUO_ERR'!A73, ":"))))</f>
        <v/>
      </c>
    </row>
    <row r="74">
      <c r="A74" s="38">
        <f>IF('Additional Chemicals'!B74 = "", "", IF('Additional Chemicals-WUO_ERR'!A74 = "", "Validated", HYPERLINK("#" &amp; ADDRESS(74, 'Additional Chemicals-WUO_TRK'!A74),_xlfn.TEXTAFTER('Additional Chemicals-WUO_ERR'!A74, ":"))))</f>
        <v/>
      </c>
    </row>
    <row r="75">
      <c r="A75" s="38">
        <f>IF('Additional Chemicals'!B75 = "", "", IF('Additional Chemicals-WUO_ERR'!A75 = "", "Validated", HYPERLINK("#" &amp; ADDRESS(75, 'Additional Chemicals-WUO_TRK'!A75),_xlfn.TEXTAFTER('Additional Chemicals-WUO_ERR'!A75, ":"))))</f>
        <v/>
      </c>
    </row>
    <row r="76">
      <c r="A76" s="38">
        <f>IF('Additional Chemicals'!B76 = "", "", IF('Additional Chemicals-WUO_ERR'!A76 = "", "Validated", HYPERLINK("#" &amp; ADDRESS(76, 'Additional Chemicals-WUO_TRK'!A76),_xlfn.TEXTAFTER('Additional Chemicals-WUO_ERR'!A76, ":"))))</f>
        <v/>
      </c>
    </row>
    <row r="77">
      <c r="A77" s="38">
        <f>IF('Additional Chemicals'!B77 = "", "", IF('Additional Chemicals-WUO_ERR'!A77 = "", "Validated", HYPERLINK("#" &amp; ADDRESS(77, 'Additional Chemicals-WUO_TRK'!A77),_xlfn.TEXTAFTER('Additional Chemicals-WUO_ERR'!A77, ":"))))</f>
        <v/>
      </c>
    </row>
    <row r="78">
      <c r="A78" s="38">
        <f>IF('Additional Chemicals'!B78 = "", "", IF('Additional Chemicals-WUO_ERR'!A78 = "", "Validated", HYPERLINK("#" &amp; ADDRESS(78, 'Additional Chemicals-WUO_TRK'!A78),_xlfn.TEXTAFTER('Additional Chemicals-WUO_ERR'!A78, ":"))))</f>
        <v/>
      </c>
    </row>
    <row r="79">
      <c r="A79" s="38">
        <f>IF('Additional Chemicals'!B79 = "", "", IF('Additional Chemicals-WUO_ERR'!A79 = "", "Validated", HYPERLINK("#" &amp; ADDRESS(79, 'Additional Chemicals-WUO_TRK'!A79),_xlfn.TEXTAFTER('Additional Chemicals-WUO_ERR'!A79, ":"))))</f>
        <v/>
      </c>
    </row>
    <row r="80">
      <c r="A80" s="38">
        <f>IF('Additional Chemicals'!B80 = "", "", IF('Additional Chemicals-WUO_ERR'!A80 = "", "Validated", HYPERLINK("#" &amp; ADDRESS(80, 'Additional Chemicals-WUO_TRK'!A80),_xlfn.TEXTAFTER('Additional Chemicals-WUO_ERR'!A80, ":"))))</f>
        <v/>
      </c>
    </row>
    <row r="81">
      <c r="A81" s="38">
        <f>IF('Additional Chemicals'!B81 = "", "", IF('Additional Chemicals-WUO_ERR'!A81 = "", "Validated", HYPERLINK("#" &amp; ADDRESS(81, 'Additional Chemicals-WUO_TRK'!A81),_xlfn.TEXTAFTER('Additional Chemicals-WUO_ERR'!A81, ":"))))</f>
        <v/>
      </c>
    </row>
    <row r="82">
      <c r="A82" s="38">
        <f>IF('Additional Chemicals'!B82 = "", "", IF('Additional Chemicals-WUO_ERR'!A82 = "", "Validated", HYPERLINK("#" &amp; ADDRESS(82, 'Additional Chemicals-WUO_TRK'!A82),_xlfn.TEXTAFTER('Additional Chemicals-WUO_ERR'!A82, ":"))))</f>
        <v/>
      </c>
    </row>
    <row r="83">
      <c r="A83" s="38">
        <f>IF('Additional Chemicals'!B83 = "", "", IF('Additional Chemicals-WUO_ERR'!A83 = "", "Validated", HYPERLINK("#" &amp; ADDRESS(83, 'Additional Chemicals-WUO_TRK'!A83),_xlfn.TEXTAFTER('Additional Chemicals-WUO_ERR'!A83, ":"))))</f>
        <v/>
      </c>
    </row>
    <row r="84">
      <c r="A84" s="38">
        <f>IF('Additional Chemicals'!B84 = "", "", IF('Additional Chemicals-WUO_ERR'!A84 = "", "Validated", HYPERLINK("#" &amp; ADDRESS(84, 'Additional Chemicals-WUO_TRK'!A84),_xlfn.TEXTAFTER('Additional Chemicals-WUO_ERR'!A84, ":"))))</f>
        <v/>
      </c>
    </row>
    <row r="85">
      <c r="A85" s="38">
        <f>IF('Additional Chemicals'!B85 = "", "", IF('Additional Chemicals-WUO_ERR'!A85 = "", "Validated", HYPERLINK("#" &amp; ADDRESS(85, 'Additional Chemicals-WUO_TRK'!A85),_xlfn.TEXTAFTER('Additional Chemicals-WUO_ERR'!A85, ":"))))</f>
        <v/>
      </c>
    </row>
    <row r="86">
      <c r="A86" s="38">
        <f>IF('Additional Chemicals'!B86 = "", "", IF('Additional Chemicals-WUO_ERR'!A86 = "", "Validated", HYPERLINK("#" &amp; ADDRESS(86, 'Additional Chemicals-WUO_TRK'!A86),_xlfn.TEXTAFTER('Additional Chemicals-WUO_ERR'!A86, ":"))))</f>
        <v/>
      </c>
    </row>
    <row r="87">
      <c r="A87" s="38">
        <f>IF('Additional Chemicals'!B87 = "", "", IF('Additional Chemicals-WUO_ERR'!A87 = "", "Validated", HYPERLINK("#" &amp; ADDRESS(87, 'Additional Chemicals-WUO_TRK'!A87),_xlfn.TEXTAFTER('Additional Chemicals-WUO_ERR'!A87, ":"))))</f>
        <v/>
      </c>
    </row>
    <row r="88">
      <c r="A88" s="38">
        <f>IF('Additional Chemicals'!B88 = "", "", IF('Additional Chemicals-WUO_ERR'!A88 = "", "Validated", HYPERLINK("#" &amp; ADDRESS(88, 'Additional Chemicals-WUO_TRK'!A88),_xlfn.TEXTAFTER('Additional Chemicals-WUO_ERR'!A88, ":"))))</f>
        <v/>
      </c>
    </row>
    <row r="89">
      <c r="A89" s="38">
        <f>IF('Additional Chemicals'!B89 = "", "", IF('Additional Chemicals-WUO_ERR'!A89 = "", "Validated", HYPERLINK("#" &amp; ADDRESS(89, 'Additional Chemicals-WUO_TRK'!A89),_xlfn.TEXTAFTER('Additional Chemicals-WUO_ERR'!A89, ":"))))</f>
        <v/>
      </c>
    </row>
    <row r="90">
      <c r="A90" s="38">
        <f>IF('Additional Chemicals'!B90 = "", "", IF('Additional Chemicals-WUO_ERR'!A90 = "", "Validated", HYPERLINK("#" &amp; ADDRESS(90, 'Additional Chemicals-WUO_TRK'!A90),_xlfn.TEXTAFTER('Additional Chemicals-WUO_ERR'!A90, ":"))))</f>
        <v/>
      </c>
    </row>
    <row r="91">
      <c r="A91" s="38">
        <f>IF('Additional Chemicals'!B91 = "", "", IF('Additional Chemicals-WUO_ERR'!A91 = "", "Validated", HYPERLINK("#" &amp; ADDRESS(91, 'Additional Chemicals-WUO_TRK'!A91),_xlfn.TEXTAFTER('Additional Chemicals-WUO_ERR'!A91, ":"))))</f>
        <v/>
      </c>
    </row>
    <row r="92">
      <c r="A92" s="38">
        <f>IF('Additional Chemicals'!B92 = "", "", IF('Additional Chemicals-WUO_ERR'!A92 = "", "Validated", HYPERLINK("#" &amp; ADDRESS(92, 'Additional Chemicals-WUO_TRK'!A92),_xlfn.TEXTAFTER('Additional Chemicals-WUO_ERR'!A92, ":"))))</f>
        <v/>
      </c>
    </row>
    <row r="93">
      <c r="A93" s="38">
        <f>IF('Additional Chemicals'!B93 = "", "", IF('Additional Chemicals-WUO_ERR'!A93 = "", "Validated", HYPERLINK("#" &amp; ADDRESS(93, 'Additional Chemicals-WUO_TRK'!A93),_xlfn.TEXTAFTER('Additional Chemicals-WUO_ERR'!A93, ":"))))</f>
        <v/>
      </c>
    </row>
    <row r="94">
      <c r="A94" s="38">
        <f>IF('Additional Chemicals'!B94 = "", "", IF('Additional Chemicals-WUO_ERR'!A94 = "", "Validated", HYPERLINK("#" &amp; ADDRESS(94, 'Additional Chemicals-WUO_TRK'!A94),_xlfn.TEXTAFTER('Additional Chemicals-WUO_ERR'!A94, ":"))))</f>
        <v/>
      </c>
    </row>
    <row r="95">
      <c r="A95" s="38">
        <f>IF('Additional Chemicals'!B95 = "", "", IF('Additional Chemicals-WUO_ERR'!A95 = "", "Validated", HYPERLINK("#" &amp; ADDRESS(95, 'Additional Chemicals-WUO_TRK'!A95),_xlfn.TEXTAFTER('Additional Chemicals-WUO_ERR'!A95, ":"))))</f>
        <v/>
      </c>
    </row>
    <row r="96">
      <c r="A96" s="38">
        <f>IF('Additional Chemicals'!B96 = "", "", IF('Additional Chemicals-WUO_ERR'!A96 = "", "Validated", HYPERLINK("#" &amp; ADDRESS(96, 'Additional Chemicals-WUO_TRK'!A96),_xlfn.TEXTAFTER('Additional Chemicals-WUO_ERR'!A96, ":"))))</f>
        <v/>
      </c>
    </row>
    <row r="97">
      <c r="A97" s="38">
        <f>IF('Additional Chemicals'!B97 = "", "", IF('Additional Chemicals-WUO_ERR'!A97 = "", "Validated", HYPERLINK("#" &amp; ADDRESS(97, 'Additional Chemicals-WUO_TRK'!A97),_xlfn.TEXTAFTER('Additional Chemicals-WUO_ERR'!A97, ":"))))</f>
        <v/>
      </c>
    </row>
    <row r="98">
      <c r="A98" s="38">
        <f>IF('Additional Chemicals'!B98 = "", "", IF('Additional Chemicals-WUO_ERR'!A98 = "", "Validated", HYPERLINK("#" &amp; ADDRESS(98, 'Additional Chemicals-WUO_TRK'!A98),_xlfn.TEXTAFTER('Additional Chemicals-WUO_ERR'!A98, ":"))))</f>
        <v/>
      </c>
    </row>
    <row r="99">
      <c r="A99" s="38">
        <f>IF('Additional Chemicals'!B99 = "", "", IF('Additional Chemicals-WUO_ERR'!A99 = "", "Validated", HYPERLINK("#" &amp; ADDRESS(99, 'Additional Chemicals-WUO_TRK'!A99),_xlfn.TEXTAFTER('Additional Chemicals-WUO_ERR'!A99, ":"))))</f>
        <v/>
      </c>
    </row>
    <row r="100">
      <c r="A100" s="38">
        <f>IF('Additional Chemicals'!B100 = "", "", IF('Additional Chemicals-WUO_ERR'!A100 = "", "Validated", HYPERLINK("#" &amp; ADDRESS(100, 'Additional Chemicals-WUO_TRK'!A100),_xlfn.TEXTAFTER('Additional Chemicals-WUO_ERR'!A100, ":"))))</f>
        <v/>
      </c>
    </row>
    <row r="101">
      <c r="A101" s="38">
        <f>IF('Additional Chemicals'!B101 = "", "", IF('Additional Chemicals-WUO_ERR'!A101 = "", "Validated", HYPERLINK("#" &amp; ADDRESS(101, 'Additional Chemicals-WUO_TRK'!A101),_xlfn.TEXTAFTER('Additional Chemicals-WUO_ERR'!A101, ":"))))</f>
        <v/>
      </c>
    </row>
    <row r="102">
      <c r="A102" s="38">
        <f>IF('Additional Chemicals'!B102 = "", "", IF('Additional Chemicals-WUO_ERR'!A102 = "", "Validated", HYPERLINK("#" &amp; ADDRESS(102, 'Additional Chemicals-WUO_TRK'!A102),_xlfn.TEXTAFTER('Additional Chemicals-WUO_ERR'!A102, ":"))))</f>
        <v/>
      </c>
    </row>
    <row r="103">
      <c r="A103" s="38">
        <f>IF('Additional Chemicals'!B103 = "", "", IF('Additional Chemicals-WUO_ERR'!A103 = "", "Validated", HYPERLINK("#" &amp; ADDRESS(103, 'Additional Chemicals-WUO_TRK'!A103),_xlfn.TEXTAFTER('Additional Chemicals-WUO_ERR'!A103, ":"))))</f>
        <v/>
      </c>
    </row>
    <row r="104">
      <c r="A104" s="38">
        <f>IF('Additional Chemicals'!B104 = "", "", IF('Additional Chemicals-WUO_ERR'!A104 = "", "Validated", HYPERLINK("#" &amp; ADDRESS(104, 'Additional Chemicals-WUO_TRK'!A104),_xlfn.TEXTAFTER('Additional Chemicals-WUO_ERR'!A104, ":"))))</f>
        <v/>
      </c>
    </row>
    <row r="105">
      <c r="A105" s="38">
        <f>IF('Additional Chemicals'!B105 = "", "", IF('Additional Chemicals-WUO_ERR'!A105 = "", "Validated", HYPERLINK("#" &amp; ADDRESS(105, 'Additional Chemicals-WUO_TRK'!A105),_xlfn.TEXTAFTER('Additional Chemicals-WUO_ERR'!A105, ":"))))</f>
        <v/>
      </c>
    </row>
    <row r="106">
      <c r="A106" s="38">
        <f>IF('Additional Chemicals'!B106 = "", "", IF('Additional Chemicals-WUO_ERR'!A106 = "", "Validated", HYPERLINK("#" &amp; ADDRESS(106, 'Additional Chemicals-WUO_TRK'!A106),_xlfn.TEXTAFTER('Additional Chemicals-WUO_ERR'!A106, ":"))))</f>
        <v/>
      </c>
    </row>
    <row r="107">
      <c r="A107" s="38">
        <f>IF('Additional Chemicals'!B107 = "", "", IF('Additional Chemicals-WUO_ERR'!A107 = "", "Validated", HYPERLINK("#" &amp; ADDRESS(107, 'Additional Chemicals-WUO_TRK'!A107),_xlfn.TEXTAFTER('Additional Chemicals-WUO_ERR'!A107, ":"))))</f>
        <v/>
      </c>
    </row>
    <row r="108">
      <c r="A108" s="38">
        <f>IF('Additional Chemicals'!B108 = "", "", IF('Additional Chemicals-WUO_ERR'!A108 = "", "Validated", HYPERLINK("#" &amp; ADDRESS(108, 'Additional Chemicals-WUO_TRK'!A108),_xlfn.TEXTAFTER('Additional Chemicals-WUO_ERR'!A108, ":"))))</f>
        <v/>
      </c>
    </row>
    <row r="109">
      <c r="A109" s="38">
        <f>IF('Additional Chemicals'!B109 = "", "", IF('Additional Chemicals-WUO_ERR'!A109 = "", "Validated", HYPERLINK("#" &amp; ADDRESS(109, 'Additional Chemicals-WUO_TRK'!A109),_xlfn.TEXTAFTER('Additional Chemicals-WUO_ERR'!A109, ":"))))</f>
        <v/>
      </c>
    </row>
    <row r="110">
      <c r="A110" s="38">
        <f>IF('Additional Chemicals'!B110 = "", "", IF('Additional Chemicals-WUO_ERR'!A110 = "", "Validated", HYPERLINK("#" &amp; ADDRESS(110, 'Additional Chemicals-WUO_TRK'!A110),_xlfn.TEXTAFTER('Additional Chemicals-WUO_ERR'!A110, ":"))))</f>
        <v/>
      </c>
    </row>
    <row r="111">
      <c r="A111" s="38">
        <f>IF('Additional Chemicals'!B111 = "", "", IF('Additional Chemicals-WUO_ERR'!A111 = "", "Validated", HYPERLINK("#" &amp; ADDRESS(111, 'Additional Chemicals-WUO_TRK'!A111),_xlfn.TEXTAFTER('Additional Chemicals-WUO_ERR'!A111, ":"))))</f>
        <v/>
      </c>
    </row>
    <row r="112">
      <c r="A112" s="38">
        <f>IF('Additional Chemicals'!B112 = "", "", IF('Additional Chemicals-WUO_ERR'!A112 = "", "Validated", HYPERLINK("#" &amp; ADDRESS(112, 'Additional Chemicals-WUO_TRK'!A112),_xlfn.TEXTAFTER('Additional Chemicals-WUO_ERR'!A112, ":"))))</f>
        <v/>
      </c>
    </row>
    <row r="113">
      <c r="A113" s="38">
        <f>IF('Additional Chemicals'!B113 = "", "", IF('Additional Chemicals-WUO_ERR'!A113 = "", "Validated", HYPERLINK("#" &amp; ADDRESS(113, 'Additional Chemicals-WUO_TRK'!A113),_xlfn.TEXTAFTER('Additional Chemicals-WUO_ERR'!A113, ":"))))</f>
        <v/>
      </c>
    </row>
    <row r="114">
      <c r="A114" s="38">
        <f>IF('Additional Chemicals'!B114 = "", "", IF('Additional Chemicals-WUO_ERR'!A114 = "", "Validated", HYPERLINK("#" &amp; ADDRESS(114, 'Additional Chemicals-WUO_TRK'!A114),_xlfn.TEXTAFTER('Additional Chemicals-WUO_ERR'!A114, ":"))))</f>
        <v/>
      </c>
    </row>
    <row r="115">
      <c r="A115" s="38">
        <f>IF('Additional Chemicals'!B115 = "", "", IF('Additional Chemicals-WUO_ERR'!A115 = "", "Validated", HYPERLINK("#" &amp; ADDRESS(115, 'Additional Chemicals-WUO_TRK'!A115),_xlfn.TEXTAFTER('Additional Chemicals-WUO_ERR'!A115, ":"))))</f>
        <v/>
      </c>
    </row>
    <row r="116">
      <c r="A116" s="38">
        <f>IF('Additional Chemicals'!B116 = "", "", IF('Additional Chemicals-WUO_ERR'!A116 = "", "Validated", HYPERLINK("#" &amp; ADDRESS(116, 'Additional Chemicals-WUO_TRK'!A116),_xlfn.TEXTAFTER('Additional Chemicals-WUO_ERR'!A116, ":"))))</f>
        <v/>
      </c>
    </row>
    <row r="117">
      <c r="A117" s="38">
        <f>IF('Additional Chemicals'!B117 = "", "", IF('Additional Chemicals-WUO_ERR'!A117 = "", "Validated", HYPERLINK("#" &amp; ADDRESS(117, 'Additional Chemicals-WUO_TRK'!A117),_xlfn.TEXTAFTER('Additional Chemicals-WUO_ERR'!A117, ":"))))</f>
        <v/>
      </c>
    </row>
    <row r="118">
      <c r="A118" s="38">
        <f>IF('Additional Chemicals'!B118 = "", "", IF('Additional Chemicals-WUO_ERR'!A118 = "", "Validated", HYPERLINK("#" &amp; ADDRESS(118, 'Additional Chemicals-WUO_TRK'!A118),_xlfn.TEXTAFTER('Additional Chemicals-WUO_ERR'!A118, ":"))))</f>
        <v/>
      </c>
    </row>
    <row r="119">
      <c r="A119" s="38">
        <f>IF('Additional Chemicals'!B119 = "", "", IF('Additional Chemicals-WUO_ERR'!A119 = "", "Validated", HYPERLINK("#" &amp; ADDRESS(119, 'Additional Chemicals-WUO_TRK'!A119),_xlfn.TEXTAFTER('Additional Chemicals-WUO_ERR'!A119, ":"))))</f>
        <v/>
      </c>
    </row>
    <row r="120">
      <c r="A120" s="38">
        <f>IF('Additional Chemicals'!B120 = "", "", IF('Additional Chemicals-WUO_ERR'!A120 = "", "Validated", HYPERLINK("#" &amp; ADDRESS(120, 'Additional Chemicals-WUO_TRK'!A120),_xlfn.TEXTAFTER('Additional Chemicals-WUO_ERR'!A120, ":"))))</f>
        <v/>
      </c>
    </row>
    <row r="121">
      <c r="A121" s="38">
        <f>IF('Additional Chemicals'!B121 = "", "", IF('Additional Chemicals-WUO_ERR'!A121 = "", "Validated", HYPERLINK("#" &amp; ADDRESS(121, 'Additional Chemicals-WUO_TRK'!A121),_xlfn.TEXTAFTER('Additional Chemicals-WUO_ERR'!A121, ":"))))</f>
        <v/>
      </c>
    </row>
    <row r="122">
      <c r="A122" s="38">
        <f>IF('Additional Chemicals'!B122 = "", "", IF('Additional Chemicals-WUO_ERR'!A122 = "", "Validated", HYPERLINK("#" &amp; ADDRESS(122, 'Additional Chemicals-WUO_TRK'!A122),_xlfn.TEXTAFTER('Additional Chemicals-WUO_ERR'!A122, ":"))))</f>
        <v/>
      </c>
    </row>
    <row r="123">
      <c r="A123" s="38">
        <f>IF('Additional Chemicals'!B123 = "", "", IF('Additional Chemicals-WUO_ERR'!A123 = "", "Validated", HYPERLINK("#" &amp; ADDRESS(123, 'Additional Chemicals-WUO_TRK'!A123),_xlfn.TEXTAFTER('Additional Chemicals-WUO_ERR'!A123, ":"))))</f>
        <v/>
      </c>
    </row>
    <row r="124">
      <c r="A124" s="38">
        <f>IF('Additional Chemicals'!B124 = "", "", IF('Additional Chemicals-WUO_ERR'!A124 = "", "Validated", HYPERLINK("#" &amp; ADDRESS(124, 'Additional Chemicals-WUO_TRK'!A124),_xlfn.TEXTAFTER('Additional Chemicals-WUO_ERR'!A124, ":"))))</f>
        <v/>
      </c>
    </row>
    <row r="125">
      <c r="A125" s="38">
        <f>IF('Additional Chemicals'!B125 = "", "", IF('Additional Chemicals-WUO_ERR'!A125 = "", "Validated", HYPERLINK("#" &amp; ADDRESS(125, 'Additional Chemicals-WUO_TRK'!A125),_xlfn.TEXTAFTER('Additional Chemicals-WUO_ERR'!A125, ":"))))</f>
        <v/>
      </c>
    </row>
    <row r="126">
      <c r="A126" s="38">
        <f>IF('Additional Chemicals'!B126 = "", "", IF('Additional Chemicals-WUO_ERR'!A126 = "", "Validated", HYPERLINK("#" &amp; ADDRESS(126, 'Additional Chemicals-WUO_TRK'!A126),_xlfn.TEXTAFTER('Additional Chemicals-WUO_ERR'!A126, ":"))))</f>
        <v/>
      </c>
    </row>
    <row r="127">
      <c r="A127" s="38">
        <f>IF('Additional Chemicals'!B127 = "", "", IF('Additional Chemicals-WUO_ERR'!A127 = "", "Validated", HYPERLINK("#" &amp; ADDRESS(127, 'Additional Chemicals-WUO_TRK'!A127),_xlfn.TEXTAFTER('Additional Chemicals-WUO_ERR'!A127, ":"))))</f>
        <v/>
      </c>
    </row>
    <row r="128">
      <c r="A128" s="38">
        <f>IF('Additional Chemicals'!B128 = "", "", IF('Additional Chemicals-WUO_ERR'!A128 = "", "Validated", HYPERLINK("#" &amp; ADDRESS(128, 'Additional Chemicals-WUO_TRK'!A128),_xlfn.TEXTAFTER('Additional Chemicals-WUO_ERR'!A128, ":"))))</f>
        <v/>
      </c>
    </row>
    <row r="129">
      <c r="A129" s="38">
        <f>IF('Additional Chemicals'!B129 = "", "", IF('Additional Chemicals-WUO_ERR'!A129 = "", "Validated", HYPERLINK("#" &amp; ADDRESS(129, 'Additional Chemicals-WUO_TRK'!A129),_xlfn.TEXTAFTER('Additional Chemicals-WUO_ERR'!A129, ":"))))</f>
        <v/>
      </c>
    </row>
    <row r="130">
      <c r="A130" s="38">
        <f>IF('Additional Chemicals'!B130 = "", "", IF('Additional Chemicals-WUO_ERR'!A130 = "", "Validated", HYPERLINK("#" &amp; ADDRESS(130, 'Additional Chemicals-WUO_TRK'!A130),_xlfn.TEXTAFTER('Additional Chemicals-WUO_ERR'!A130, ":"))))</f>
        <v/>
      </c>
    </row>
    <row r="131">
      <c r="A131" s="38">
        <f>IF('Additional Chemicals'!B131 = "", "", IF('Additional Chemicals-WUO_ERR'!A131 = "", "Validated", HYPERLINK("#" &amp; ADDRESS(131, 'Additional Chemicals-WUO_TRK'!A131),_xlfn.TEXTAFTER('Additional Chemicals-WUO_ERR'!A131, ":"))))</f>
        <v/>
      </c>
    </row>
    <row r="132">
      <c r="A132" s="38">
        <f>IF('Additional Chemicals'!B132 = "", "", IF('Additional Chemicals-WUO_ERR'!A132 = "", "Validated", HYPERLINK("#" &amp; ADDRESS(132, 'Additional Chemicals-WUO_TRK'!A132),_xlfn.TEXTAFTER('Additional Chemicals-WUO_ERR'!A132, ":"))))</f>
        <v/>
      </c>
    </row>
    <row r="133">
      <c r="A133" s="38">
        <f>IF('Additional Chemicals'!B133 = "", "", IF('Additional Chemicals-WUO_ERR'!A133 = "", "Validated", HYPERLINK("#" &amp; ADDRESS(133, 'Additional Chemicals-WUO_TRK'!A133),_xlfn.TEXTAFTER('Additional Chemicals-WUO_ERR'!A133, ":"))))</f>
        <v/>
      </c>
    </row>
    <row r="134">
      <c r="A134" s="38">
        <f>IF('Additional Chemicals'!B134 = "", "", IF('Additional Chemicals-WUO_ERR'!A134 = "", "Validated", HYPERLINK("#" &amp; ADDRESS(134, 'Additional Chemicals-WUO_TRK'!A134),_xlfn.TEXTAFTER('Additional Chemicals-WUO_ERR'!A134, ":"))))</f>
        <v/>
      </c>
    </row>
    <row r="135">
      <c r="A135" s="38">
        <f>IF('Additional Chemicals'!B135 = "", "", IF('Additional Chemicals-WUO_ERR'!A135 = "", "Validated", HYPERLINK("#" &amp; ADDRESS(135, 'Additional Chemicals-WUO_TRK'!A135),_xlfn.TEXTAFTER('Additional Chemicals-WUO_ERR'!A135, ":"))))</f>
        <v/>
      </c>
    </row>
    <row r="136">
      <c r="A136" s="38">
        <f>IF('Additional Chemicals'!B136 = "", "", IF('Additional Chemicals-WUO_ERR'!A136 = "", "Validated", HYPERLINK("#" &amp; ADDRESS(136, 'Additional Chemicals-WUO_TRK'!A136),_xlfn.TEXTAFTER('Additional Chemicals-WUO_ERR'!A136, ":"))))</f>
        <v/>
      </c>
    </row>
    <row r="137">
      <c r="A137" s="38">
        <f>IF('Additional Chemicals'!B137 = "", "", IF('Additional Chemicals-WUO_ERR'!A137 = "", "Validated", HYPERLINK("#" &amp; ADDRESS(137, 'Additional Chemicals-WUO_TRK'!A137),_xlfn.TEXTAFTER('Additional Chemicals-WUO_ERR'!A137, ":"))))</f>
        <v/>
      </c>
    </row>
    <row r="138">
      <c r="A138" s="38">
        <f>IF('Additional Chemicals'!B138 = "", "", IF('Additional Chemicals-WUO_ERR'!A138 = "", "Validated", HYPERLINK("#" &amp; ADDRESS(138, 'Additional Chemicals-WUO_TRK'!A138),_xlfn.TEXTAFTER('Additional Chemicals-WUO_ERR'!A138, ":"))))</f>
        <v/>
      </c>
    </row>
    <row r="139">
      <c r="A139" s="38">
        <f>IF('Additional Chemicals'!B139 = "", "", IF('Additional Chemicals-WUO_ERR'!A139 = "", "Validated", HYPERLINK("#" &amp; ADDRESS(139, 'Additional Chemicals-WUO_TRK'!A139),_xlfn.TEXTAFTER('Additional Chemicals-WUO_ERR'!A139, ":"))))</f>
        <v/>
      </c>
    </row>
    <row r="140">
      <c r="A140" s="38">
        <f>IF('Additional Chemicals'!B140 = "", "", IF('Additional Chemicals-WUO_ERR'!A140 = "", "Validated", HYPERLINK("#" &amp; ADDRESS(140, 'Additional Chemicals-WUO_TRK'!A140),_xlfn.TEXTAFTER('Additional Chemicals-WUO_ERR'!A140, ":"))))</f>
        <v/>
      </c>
    </row>
    <row r="141">
      <c r="A141" s="38">
        <f>IF('Additional Chemicals'!B141 = "", "", IF('Additional Chemicals-WUO_ERR'!A141 = "", "Validated", HYPERLINK("#" &amp; ADDRESS(141, 'Additional Chemicals-WUO_TRK'!A141),_xlfn.TEXTAFTER('Additional Chemicals-WUO_ERR'!A141, ":"))))</f>
        <v/>
      </c>
    </row>
    <row r="142">
      <c r="A142" s="38">
        <f>IF('Additional Chemicals'!B142 = "", "", IF('Additional Chemicals-WUO_ERR'!A142 = "", "Validated", HYPERLINK("#" &amp; ADDRESS(142, 'Additional Chemicals-WUO_TRK'!A142),_xlfn.TEXTAFTER('Additional Chemicals-WUO_ERR'!A142, ":"))))</f>
        <v/>
      </c>
    </row>
    <row r="143">
      <c r="A143" s="38">
        <f>IF('Additional Chemicals'!B143 = "", "", IF('Additional Chemicals-WUO_ERR'!A143 = "", "Validated", HYPERLINK("#" &amp; ADDRESS(143, 'Additional Chemicals-WUO_TRK'!A143),_xlfn.TEXTAFTER('Additional Chemicals-WUO_ERR'!A143, ":"))))</f>
        <v/>
      </c>
    </row>
    <row r="144">
      <c r="A144" s="38">
        <f>IF('Additional Chemicals'!B144 = "", "", IF('Additional Chemicals-WUO_ERR'!A144 = "", "Validated", HYPERLINK("#" &amp; ADDRESS(144, 'Additional Chemicals-WUO_TRK'!A144),_xlfn.TEXTAFTER('Additional Chemicals-WUO_ERR'!A144, ":"))))</f>
        <v/>
      </c>
    </row>
    <row r="145">
      <c r="A145" s="38">
        <f>IF('Additional Chemicals'!B145 = "", "", IF('Additional Chemicals-WUO_ERR'!A145 = "", "Validated", HYPERLINK("#" &amp; ADDRESS(145, 'Additional Chemicals-WUO_TRK'!A145),_xlfn.TEXTAFTER('Additional Chemicals-WUO_ERR'!A145, ":"))))</f>
        <v/>
      </c>
    </row>
    <row r="146">
      <c r="A146" s="38">
        <f>IF('Additional Chemicals'!B146 = "", "", IF('Additional Chemicals-WUO_ERR'!A146 = "", "Validated", HYPERLINK("#" &amp; ADDRESS(146, 'Additional Chemicals-WUO_TRK'!A146),_xlfn.TEXTAFTER('Additional Chemicals-WUO_ERR'!A146, ":"))))</f>
        <v/>
      </c>
    </row>
    <row r="147">
      <c r="A147" s="38">
        <f>IF('Additional Chemicals'!B147 = "", "", IF('Additional Chemicals-WUO_ERR'!A147 = "", "Validated", HYPERLINK("#" &amp; ADDRESS(147, 'Additional Chemicals-WUO_TRK'!A147),_xlfn.TEXTAFTER('Additional Chemicals-WUO_ERR'!A147, ":"))))</f>
        <v/>
      </c>
    </row>
    <row r="148">
      <c r="A148" s="38">
        <f>IF('Additional Chemicals'!B148 = "", "", IF('Additional Chemicals-WUO_ERR'!A148 = "", "Validated", HYPERLINK("#" &amp; ADDRESS(148, 'Additional Chemicals-WUO_TRK'!A148),_xlfn.TEXTAFTER('Additional Chemicals-WUO_ERR'!A148, ":"))))</f>
        <v/>
      </c>
    </row>
    <row r="149">
      <c r="A149" s="38">
        <f>IF('Additional Chemicals'!B149 = "", "", IF('Additional Chemicals-WUO_ERR'!A149 = "", "Validated", HYPERLINK("#" &amp; ADDRESS(149, 'Additional Chemicals-WUO_TRK'!A149),_xlfn.TEXTAFTER('Additional Chemicals-WUO_ERR'!A149, ":"))))</f>
        <v/>
      </c>
    </row>
    <row r="150">
      <c r="A150" s="38">
        <f>IF('Additional Chemicals'!B150 = "", "", IF('Additional Chemicals-WUO_ERR'!A150 = "", "Validated", HYPERLINK("#" &amp; ADDRESS(150, 'Additional Chemicals-WUO_TRK'!A150),_xlfn.TEXTAFTER('Additional Chemicals-WUO_ERR'!A150, ":"))))</f>
        <v/>
      </c>
    </row>
    <row r="151">
      <c r="A151" s="38">
        <f>IF('Additional Chemicals'!B151 = "", "", IF('Additional Chemicals-WUO_ERR'!A151 = "", "Validated", HYPERLINK("#" &amp; ADDRESS(151, 'Additional Chemicals-WUO_TRK'!A151),_xlfn.TEXTAFTER('Additional Chemicals-WUO_ERR'!A151, ":"))))</f>
        <v/>
      </c>
    </row>
    <row r="152">
      <c r="A152" s="38">
        <f>IF('Additional Chemicals'!B152 = "", "", IF('Additional Chemicals-WUO_ERR'!A152 = "", "Validated", HYPERLINK("#" &amp; ADDRESS(152, 'Additional Chemicals-WUO_TRK'!A152),_xlfn.TEXTAFTER('Additional Chemicals-WUO_ERR'!A152, ":"))))</f>
        <v/>
      </c>
    </row>
    <row r="153">
      <c r="A153" s="38">
        <f>IF('Additional Chemicals'!B153 = "", "", IF('Additional Chemicals-WUO_ERR'!A153 = "", "Validated", HYPERLINK("#" &amp; ADDRESS(153, 'Additional Chemicals-WUO_TRK'!A153),_xlfn.TEXTAFTER('Additional Chemicals-WUO_ERR'!A153, ":"))))</f>
        <v/>
      </c>
    </row>
    <row r="154">
      <c r="A154" s="38">
        <f>IF('Additional Chemicals'!B154 = "", "", IF('Additional Chemicals-WUO_ERR'!A154 = "", "Validated", HYPERLINK("#" &amp; ADDRESS(154, 'Additional Chemicals-WUO_TRK'!A154),_xlfn.TEXTAFTER('Additional Chemicals-WUO_ERR'!A154, ":"))))</f>
        <v/>
      </c>
    </row>
    <row r="155">
      <c r="A155" s="38">
        <f>IF('Additional Chemicals'!B155 = "", "", IF('Additional Chemicals-WUO_ERR'!A155 = "", "Validated", HYPERLINK("#" &amp; ADDRESS(155, 'Additional Chemicals-WUO_TRK'!A155),_xlfn.TEXTAFTER('Additional Chemicals-WUO_ERR'!A155, ":"))))</f>
        <v/>
      </c>
    </row>
    <row r="156">
      <c r="A156" s="38">
        <f>IF('Additional Chemicals'!B156 = "", "", IF('Additional Chemicals-WUO_ERR'!A156 = "", "Validated", HYPERLINK("#" &amp; ADDRESS(156, 'Additional Chemicals-WUO_TRK'!A156),_xlfn.TEXTAFTER('Additional Chemicals-WUO_ERR'!A156, ":"))))</f>
        <v/>
      </c>
    </row>
    <row r="157">
      <c r="A157" s="38">
        <f>IF('Additional Chemicals'!B157 = "", "", IF('Additional Chemicals-WUO_ERR'!A157 = "", "Validated", HYPERLINK("#" &amp; ADDRESS(157, 'Additional Chemicals-WUO_TRK'!A157),_xlfn.TEXTAFTER('Additional Chemicals-WUO_ERR'!A157, ":"))))</f>
        <v/>
      </c>
    </row>
    <row r="158">
      <c r="A158" s="38">
        <f>IF('Additional Chemicals'!B158 = "", "", IF('Additional Chemicals-WUO_ERR'!A158 = "", "Validated", HYPERLINK("#" &amp; ADDRESS(158, 'Additional Chemicals-WUO_TRK'!A158),_xlfn.TEXTAFTER('Additional Chemicals-WUO_ERR'!A158, ":"))))</f>
        <v/>
      </c>
    </row>
    <row r="159">
      <c r="A159" s="38">
        <f>IF('Additional Chemicals'!B159 = "", "", IF('Additional Chemicals-WUO_ERR'!A159 = "", "Validated", HYPERLINK("#" &amp; ADDRESS(159, 'Additional Chemicals-WUO_TRK'!A159),_xlfn.TEXTAFTER('Additional Chemicals-WUO_ERR'!A159, ":"))))</f>
        <v/>
      </c>
    </row>
    <row r="160">
      <c r="A160" s="38">
        <f>IF('Additional Chemicals'!B160 = "", "", IF('Additional Chemicals-WUO_ERR'!A160 = "", "Validated", HYPERLINK("#" &amp; ADDRESS(160, 'Additional Chemicals-WUO_TRK'!A160),_xlfn.TEXTAFTER('Additional Chemicals-WUO_ERR'!A160, ":"))))</f>
        <v/>
      </c>
    </row>
    <row r="161">
      <c r="A161" s="38">
        <f>IF('Additional Chemicals'!B161 = "", "", IF('Additional Chemicals-WUO_ERR'!A161 = "", "Validated", HYPERLINK("#" &amp; ADDRESS(161, 'Additional Chemicals-WUO_TRK'!A161),_xlfn.TEXTAFTER('Additional Chemicals-WUO_ERR'!A161, ":"))))</f>
        <v/>
      </c>
    </row>
    <row r="162">
      <c r="A162" s="38">
        <f>IF('Additional Chemicals'!B162 = "", "", IF('Additional Chemicals-WUO_ERR'!A162 = "", "Validated", HYPERLINK("#" &amp; ADDRESS(162, 'Additional Chemicals-WUO_TRK'!A162),_xlfn.TEXTAFTER('Additional Chemicals-WUO_ERR'!A162, ":"))))</f>
        <v/>
      </c>
    </row>
    <row r="163">
      <c r="A163" s="38">
        <f>IF('Additional Chemicals'!B163 = "", "", IF('Additional Chemicals-WUO_ERR'!A163 = "", "Validated", HYPERLINK("#" &amp; ADDRESS(163, 'Additional Chemicals-WUO_TRK'!A163),_xlfn.TEXTAFTER('Additional Chemicals-WUO_ERR'!A163, ":"))))</f>
        <v/>
      </c>
    </row>
    <row r="164">
      <c r="A164" s="38">
        <f>IF('Additional Chemicals'!B164 = "", "", IF('Additional Chemicals-WUO_ERR'!A164 = "", "Validated", HYPERLINK("#" &amp; ADDRESS(164, 'Additional Chemicals-WUO_TRK'!A164),_xlfn.TEXTAFTER('Additional Chemicals-WUO_ERR'!A164, ":"))))</f>
        <v/>
      </c>
    </row>
    <row r="165">
      <c r="A165" s="38">
        <f>IF('Additional Chemicals'!B165 = "", "", IF('Additional Chemicals-WUO_ERR'!A165 = "", "Validated", HYPERLINK("#" &amp; ADDRESS(165, 'Additional Chemicals-WUO_TRK'!A165),_xlfn.TEXTAFTER('Additional Chemicals-WUO_ERR'!A165, ":"))))</f>
        <v/>
      </c>
    </row>
    <row r="166">
      <c r="A166" s="38">
        <f>IF('Additional Chemicals'!B166 = "", "", IF('Additional Chemicals-WUO_ERR'!A166 = "", "Validated", HYPERLINK("#" &amp; ADDRESS(166, 'Additional Chemicals-WUO_TRK'!A166),_xlfn.TEXTAFTER('Additional Chemicals-WUO_ERR'!A166, ":"))))</f>
        <v/>
      </c>
    </row>
    <row r="167">
      <c r="A167" s="38">
        <f>IF('Additional Chemicals'!B167 = "", "", IF('Additional Chemicals-WUO_ERR'!A167 = "", "Validated", HYPERLINK("#" &amp; ADDRESS(167, 'Additional Chemicals-WUO_TRK'!A167),_xlfn.TEXTAFTER('Additional Chemicals-WUO_ERR'!A167, ":"))))</f>
        <v/>
      </c>
    </row>
    <row r="168">
      <c r="A168" s="38">
        <f>IF('Additional Chemicals'!B168 = "", "", IF('Additional Chemicals-WUO_ERR'!A168 = "", "Validated", HYPERLINK("#" &amp; ADDRESS(168, 'Additional Chemicals-WUO_TRK'!A168),_xlfn.TEXTAFTER('Additional Chemicals-WUO_ERR'!A168, ":"))))</f>
        <v/>
      </c>
    </row>
    <row r="169">
      <c r="A169" s="38">
        <f>IF('Additional Chemicals'!B169 = "", "", IF('Additional Chemicals-WUO_ERR'!A169 = "", "Validated", HYPERLINK("#" &amp; ADDRESS(169, 'Additional Chemicals-WUO_TRK'!A169),_xlfn.TEXTAFTER('Additional Chemicals-WUO_ERR'!A169, ":"))))</f>
        <v/>
      </c>
    </row>
    <row r="170">
      <c r="A170" s="38">
        <f>IF('Additional Chemicals'!B170 = "", "", IF('Additional Chemicals-WUO_ERR'!A170 = "", "Validated", HYPERLINK("#" &amp; ADDRESS(170, 'Additional Chemicals-WUO_TRK'!A170),_xlfn.TEXTAFTER('Additional Chemicals-WUO_ERR'!A170, ":"))))</f>
        <v/>
      </c>
    </row>
    <row r="171">
      <c r="A171" s="38">
        <f>IF('Additional Chemicals'!B171 = "", "", IF('Additional Chemicals-WUO_ERR'!A171 = "", "Validated", HYPERLINK("#" &amp; ADDRESS(171, 'Additional Chemicals-WUO_TRK'!A171),_xlfn.TEXTAFTER('Additional Chemicals-WUO_ERR'!A171, ":"))))</f>
        <v/>
      </c>
    </row>
    <row r="172">
      <c r="A172" s="38">
        <f>IF('Additional Chemicals'!B172 = "", "", IF('Additional Chemicals-WUO_ERR'!A172 = "", "Validated", HYPERLINK("#" &amp; ADDRESS(172, 'Additional Chemicals-WUO_TRK'!A172),_xlfn.TEXTAFTER('Additional Chemicals-WUO_ERR'!A172, ":"))))</f>
        <v/>
      </c>
    </row>
    <row r="173">
      <c r="A173" s="38">
        <f>IF('Additional Chemicals'!B173 = "", "", IF('Additional Chemicals-WUO_ERR'!A173 = "", "Validated", HYPERLINK("#" &amp; ADDRESS(173, 'Additional Chemicals-WUO_TRK'!A173),_xlfn.TEXTAFTER('Additional Chemicals-WUO_ERR'!A173, ":"))))</f>
        <v/>
      </c>
    </row>
    <row r="174">
      <c r="A174" s="38">
        <f>IF('Additional Chemicals'!B174 = "", "", IF('Additional Chemicals-WUO_ERR'!A174 = "", "Validated", HYPERLINK("#" &amp; ADDRESS(174, 'Additional Chemicals-WUO_TRK'!A174),_xlfn.TEXTAFTER('Additional Chemicals-WUO_ERR'!A174, ":"))))</f>
        <v/>
      </c>
    </row>
    <row r="175">
      <c r="A175" s="38">
        <f>IF('Additional Chemicals'!B175 = "", "", IF('Additional Chemicals-WUO_ERR'!A175 = "", "Validated", HYPERLINK("#" &amp; ADDRESS(175, 'Additional Chemicals-WUO_TRK'!A175),_xlfn.TEXTAFTER('Additional Chemicals-WUO_ERR'!A175, ":"))))</f>
        <v/>
      </c>
    </row>
    <row r="176">
      <c r="A176" s="38">
        <f>IF('Additional Chemicals'!B176 = "", "", IF('Additional Chemicals-WUO_ERR'!A176 = "", "Validated", HYPERLINK("#" &amp; ADDRESS(176, 'Additional Chemicals-WUO_TRK'!A176),_xlfn.TEXTAFTER('Additional Chemicals-WUO_ERR'!A176, ":"))))</f>
        <v/>
      </c>
    </row>
    <row r="177">
      <c r="A177" s="38">
        <f>IF('Additional Chemicals'!B177 = "", "", IF('Additional Chemicals-WUO_ERR'!A177 = "", "Validated", HYPERLINK("#" &amp; ADDRESS(177, 'Additional Chemicals-WUO_TRK'!A177),_xlfn.TEXTAFTER('Additional Chemicals-WUO_ERR'!A177, ":"))))</f>
        <v/>
      </c>
    </row>
    <row r="178">
      <c r="A178" s="38">
        <f>IF('Additional Chemicals'!B178 = "", "", IF('Additional Chemicals-WUO_ERR'!A178 = "", "Validated", HYPERLINK("#" &amp; ADDRESS(178, 'Additional Chemicals-WUO_TRK'!A178),_xlfn.TEXTAFTER('Additional Chemicals-WUO_ERR'!A178, ":"))))</f>
        <v/>
      </c>
    </row>
    <row r="179">
      <c r="A179" s="38">
        <f>IF('Additional Chemicals'!B179 = "", "", IF('Additional Chemicals-WUO_ERR'!A179 = "", "Validated", HYPERLINK("#" &amp; ADDRESS(179, 'Additional Chemicals-WUO_TRK'!A179),_xlfn.TEXTAFTER('Additional Chemicals-WUO_ERR'!A179, ":"))))</f>
        <v/>
      </c>
    </row>
    <row r="180">
      <c r="A180" s="38">
        <f>IF('Additional Chemicals'!B180 = "", "", IF('Additional Chemicals-WUO_ERR'!A180 = "", "Validated", HYPERLINK("#" &amp; ADDRESS(180, 'Additional Chemicals-WUO_TRK'!A180),_xlfn.TEXTAFTER('Additional Chemicals-WUO_ERR'!A180, ":"))))</f>
        <v/>
      </c>
    </row>
    <row r="181">
      <c r="A181" s="38">
        <f>IF('Additional Chemicals'!B181 = "", "", IF('Additional Chemicals-WUO_ERR'!A181 = "", "Validated", HYPERLINK("#" &amp; ADDRESS(181, 'Additional Chemicals-WUO_TRK'!A181),_xlfn.TEXTAFTER('Additional Chemicals-WUO_ERR'!A181, ":"))))</f>
        <v/>
      </c>
    </row>
    <row r="182">
      <c r="A182" s="38">
        <f>IF('Additional Chemicals'!B182 = "", "", IF('Additional Chemicals-WUO_ERR'!A182 = "", "Validated", HYPERLINK("#" &amp; ADDRESS(182, 'Additional Chemicals-WUO_TRK'!A182),_xlfn.TEXTAFTER('Additional Chemicals-WUO_ERR'!A182, ":"))))</f>
        <v/>
      </c>
    </row>
    <row r="183">
      <c r="A183" s="38">
        <f>IF('Additional Chemicals'!B183 = "", "", IF('Additional Chemicals-WUO_ERR'!A183 = "", "Validated", HYPERLINK("#" &amp; ADDRESS(183, 'Additional Chemicals-WUO_TRK'!A183),_xlfn.TEXTAFTER('Additional Chemicals-WUO_ERR'!A183, ":"))))</f>
        <v/>
      </c>
    </row>
    <row r="184">
      <c r="A184" s="38">
        <f>IF('Additional Chemicals'!B184 = "", "", IF('Additional Chemicals-WUO_ERR'!A184 = "", "Validated", HYPERLINK("#" &amp; ADDRESS(184, 'Additional Chemicals-WUO_TRK'!A184),_xlfn.TEXTAFTER('Additional Chemicals-WUO_ERR'!A184, ":"))))</f>
        <v/>
      </c>
    </row>
    <row r="185">
      <c r="A185" s="38">
        <f>IF('Additional Chemicals'!B185 = "", "", IF('Additional Chemicals-WUO_ERR'!A185 = "", "Validated", HYPERLINK("#" &amp; ADDRESS(185, 'Additional Chemicals-WUO_TRK'!A185),_xlfn.TEXTAFTER('Additional Chemicals-WUO_ERR'!A185, ":"))))</f>
        <v/>
      </c>
    </row>
    <row r="186">
      <c r="A186" s="38">
        <f>IF('Additional Chemicals'!B186 = "", "", IF('Additional Chemicals-WUO_ERR'!A186 = "", "Validated", HYPERLINK("#" &amp; ADDRESS(186, 'Additional Chemicals-WUO_TRK'!A186),_xlfn.TEXTAFTER('Additional Chemicals-WUO_ERR'!A186, ":"))))</f>
        <v/>
      </c>
    </row>
    <row r="187">
      <c r="A187" s="38">
        <f>IF('Additional Chemicals'!B187 = "", "", IF('Additional Chemicals-WUO_ERR'!A187 = "", "Validated", HYPERLINK("#" &amp; ADDRESS(187, 'Additional Chemicals-WUO_TRK'!A187),_xlfn.TEXTAFTER('Additional Chemicals-WUO_ERR'!A187, ":"))))</f>
        <v/>
      </c>
    </row>
    <row r="188">
      <c r="A188" s="38">
        <f>IF('Additional Chemicals'!B188 = "", "", IF('Additional Chemicals-WUO_ERR'!A188 = "", "Validated", HYPERLINK("#" &amp; ADDRESS(188, 'Additional Chemicals-WUO_TRK'!A188),_xlfn.TEXTAFTER('Additional Chemicals-WUO_ERR'!A188, ":"))))</f>
        <v/>
      </c>
    </row>
    <row r="189">
      <c r="A189" s="38">
        <f>IF('Additional Chemicals'!B189 = "", "", IF('Additional Chemicals-WUO_ERR'!A189 = "", "Validated", HYPERLINK("#" &amp; ADDRESS(189, 'Additional Chemicals-WUO_TRK'!A189),_xlfn.TEXTAFTER('Additional Chemicals-WUO_ERR'!A189, ":"))))</f>
        <v/>
      </c>
    </row>
    <row r="190">
      <c r="A190" s="38">
        <f>IF('Additional Chemicals'!B190 = "", "", IF('Additional Chemicals-WUO_ERR'!A190 = "", "Validated", HYPERLINK("#" &amp; ADDRESS(190, 'Additional Chemicals-WUO_TRK'!A190),_xlfn.TEXTAFTER('Additional Chemicals-WUO_ERR'!A190, ":"))))</f>
        <v/>
      </c>
    </row>
    <row r="191">
      <c r="A191" s="38">
        <f>IF('Additional Chemicals'!B191 = "", "", IF('Additional Chemicals-WUO_ERR'!A191 = "", "Validated", HYPERLINK("#" &amp; ADDRESS(191, 'Additional Chemicals-WUO_TRK'!A191),_xlfn.TEXTAFTER('Additional Chemicals-WUO_ERR'!A191, ":"))))</f>
        <v/>
      </c>
    </row>
    <row r="192">
      <c r="A192" s="38">
        <f>IF('Additional Chemicals'!B192 = "", "", IF('Additional Chemicals-WUO_ERR'!A192 = "", "Validated", HYPERLINK("#" &amp; ADDRESS(192, 'Additional Chemicals-WUO_TRK'!A192),_xlfn.TEXTAFTER('Additional Chemicals-WUO_ERR'!A192, ":"))))</f>
        <v/>
      </c>
    </row>
    <row r="193">
      <c r="A193" s="38">
        <f>IF('Additional Chemicals'!B193 = "", "", IF('Additional Chemicals-WUO_ERR'!A193 = "", "Validated", HYPERLINK("#" &amp; ADDRESS(193, 'Additional Chemicals-WUO_TRK'!A193),_xlfn.TEXTAFTER('Additional Chemicals-WUO_ERR'!A193, ":"))))</f>
        <v/>
      </c>
    </row>
    <row r="194">
      <c r="A194" s="38">
        <f>IF('Additional Chemicals'!B194 = "", "", IF('Additional Chemicals-WUO_ERR'!A194 = "", "Validated", HYPERLINK("#" &amp; ADDRESS(194, 'Additional Chemicals-WUO_TRK'!A194),_xlfn.TEXTAFTER('Additional Chemicals-WUO_ERR'!A194, ":"))))</f>
        <v/>
      </c>
    </row>
    <row r="195">
      <c r="A195" s="38">
        <f>IF('Additional Chemicals'!B195 = "", "", IF('Additional Chemicals-WUO_ERR'!A195 = "", "Validated", HYPERLINK("#" &amp; ADDRESS(195, 'Additional Chemicals-WUO_TRK'!A195),_xlfn.TEXTAFTER('Additional Chemicals-WUO_ERR'!A195, ":"))))</f>
        <v/>
      </c>
    </row>
    <row r="196">
      <c r="A196" s="38">
        <f>IF('Additional Chemicals'!B196 = "", "", IF('Additional Chemicals-WUO_ERR'!A196 = "", "Validated", HYPERLINK("#" &amp; ADDRESS(196, 'Additional Chemicals-WUO_TRK'!A196),_xlfn.TEXTAFTER('Additional Chemicals-WUO_ERR'!A196, ":"))))</f>
        <v/>
      </c>
    </row>
    <row r="197">
      <c r="A197" s="38">
        <f>IF('Additional Chemicals'!B197 = "", "", IF('Additional Chemicals-WUO_ERR'!A197 = "", "Validated", HYPERLINK("#" &amp; ADDRESS(197, 'Additional Chemicals-WUO_TRK'!A197),_xlfn.TEXTAFTER('Additional Chemicals-WUO_ERR'!A197, ":"))))</f>
        <v/>
      </c>
    </row>
    <row r="198">
      <c r="A198" s="38">
        <f>IF('Additional Chemicals'!B198 = "", "", IF('Additional Chemicals-WUO_ERR'!A198 = "", "Validated", HYPERLINK("#" &amp; ADDRESS(198, 'Additional Chemicals-WUO_TRK'!A198),_xlfn.TEXTAFTER('Additional Chemicals-WUO_ERR'!A198, ":"))))</f>
        <v/>
      </c>
    </row>
    <row r="199">
      <c r="A199" s="38">
        <f>IF('Additional Chemicals'!B199 = "", "", IF('Additional Chemicals-WUO_ERR'!A199 = "", "Validated", HYPERLINK("#" &amp; ADDRESS(199, 'Additional Chemicals-WUO_TRK'!A199),_xlfn.TEXTAFTER('Additional Chemicals-WUO_ERR'!A199, ":"))))</f>
        <v/>
      </c>
    </row>
    <row r="200">
      <c r="A200" s="38">
        <f>IF('Additional Chemicals'!B200 = "", "", IF('Additional Chemicals-WUO_ERR'!A200 = "", "Validated", HYPERLINK("#" &amp; ADDRESS(200, 'Additional Chemicals-WUO_TRK'!A200),_xlfn.TEXTAFTER('Additional Chemicals-WUO_ERR'!A200, ":"))))</f>
        <v/>
      </c>
    </row>
    <row r="201">
      <c r="A201" s="38">
        <f>IF('Additional Chemicals'!B201 = "", "", IF('Additional Chemicals-WUO_ERR'!A201 = "", "Validated", HYPERLINK("#" &amp; ADDRESS(201, 'Additional Chemicals-WUO_TRK'!A201),_xlfn.TEXTAFTER('Additional Chemicals-WUO_ERR'!A201, ":"))))</f>
        <v/>
      </c>
    </row>
    <row r="202">
      <c r="A202" s="38">
        <f>IF('Additional Chemicals'!B202 = "", "", IF('Additional Chemicals-WUO_ERR'!A202 = "", "Validated", HYPERLINK("#" &amp; ADDRESS(202, 'Additional Chemicals-WUO_TRK'!A202),_xlfn.TEXTAFTER('Additional Chemicals-WUO_ERR'!A202, ":"))))</f>
        <v/>
      </c>
    </row>
    <row r="203">
      <c r="A203" s="38">
        <f>IF('Additional Chemicals'!B203 = "", "", IF('Additional Chemicals-WUO_ERR'!A203 = "", "Validated", HYPERLINK("#" &amp; ADDRESS(203, 'Additional Chemicals-WUO_TRK'!A203),_xlfn.TEXTAFTER('Additional Chemicals-WUO_ERR'!A203, ":"))))</f>
        <v/>
      </c>
    </row>
    <row r="204">
      <c r="A204" s="38">
        <f>IF('Additional Chemicals'!B204 = "", "", IF('Additional Chemicals-WUO_ERR'!A204 = "", "Validated", HYPERLINK("#" &amp; ADDRESS(204, 'Additional Chemicals-WUO_TRK'!A204),_xlfn.TEXTAFTER('Additional Chemicals-WUO_ERR'!A204, ":"))))</f>
        <v/>
      </c>
    </row>
    <row r="205">
      <c r="A205" s="38">
        <f>IF('Additional Chemicals'!B205 = "", "", IF('Additional Chemicals-WUO_ERR'!A205 = "", "Validated", HYPERLINK("#" &amp; ADDRESS(205, 'Additional Chemicals-WUO_TRK'!A205),_xlfn.TEXTAFTER('Additional Chemicals-WUO_ERR'!A205, ":"))))</f>
        <v/>
      </c>
    </row>
    <row r="206">
      <c r="A206" s="38">
        <f>IF('Additional Chemicals'!B206 = "", "", IF('Additional Chemicals-WUO_ERR'!A206 = "", "Validated", HYPERLINK("#" &amp; ADDRESS(206, 'Additional Chemicals-WUO_TRK'!A206),_xlfn.TEXTAFTER('Additional Chemicals-WUO_ERR'!A206, ":"))))</f>
        <v/>
      </c>
    </row>
    <row r="207">
      <c r="A207" s="38">
        <f>IF('Additional Chemicals'!B207 = "", "", IF('Additional Chemicals-WUO_ERR'!A207 = "", "Validated", HYPERLINK("#" &amp; ADDRESS(207, 'Additional Chemicals-WUO_TRK'!A207),_xlfn.TEXTAFTER('Additional Chemicals-WUO_ERR'!A207, ":"))))</f>
        <v/>
      </c>
    </row>
    <row r="208">
      <c r="A208" s="38">
        <f>IF('Additional Chemicals'!B208 = "", "", IF('Additional Chemicals-WUO_ERR'!A208 = "", "Validated", HYPERLINK("#" &amp; ADDRESS(208, 'Additional Chemicals-WUO_TRK'!A208),_xlfn.TEXTAFTER('Additional Chemicals-WUO_ERR'!A208, ":"))))</f>
        <v/>
      </c>
    </row>
    <row r="209">
      <c r="A209" s="38">
        <f>IF('Additional Chemicals'!B209 = "", "", IF('Additional Chemicals-WUO_ERR'!A209 = "", "Validated", HYPERLINK("#" &amp; ADDRESS(209, 'Additional Chemicals-WUO_TRK'!A209),_xlfn.TEXTAFTER('Additional Chemicals-WUO_ERR'!A209, ":"))))</f>
        <v/>
      </c>
    </row>
    <row r="210">
      <c r="A210" s="38">
        <f>IF('Additional Chemicals'!B210 = "", "", IF('Additional Chemicals-WUO_ERR'!A210 = "", "Validated", HYPERLINK("#" &amp; ADDRESS(210, 'Additional Chemicals-WUO_TRK'!A210),_xlfn.TEXTAFTER('Additional Chemicals-WUO_ERR'!A210, ":"))))</f>
        <v/>
      </c>
    </row>
    <row r="211">
      <c r="A211" s="38">
        <f>IF('Additional Chemicals'!B211 = "", "", IF('Additional Chemicals-WUO_ERR'!A211 = "", "Validated", HYPERLINK("#" &amp; ADDRESS(211, 'Additional Chemicals-WUO_TRK'!A211),_xlfn.TEXTAFTER('Additional Chemicals-WUO_ERR'!A211, ":"))))</f>
        <v/>
      </c>
    </row>
    <row r="212">
      <c r="A212" s="38">
        <f>IF('Additional Chemicals'!B212 = "", "", IF('Additional Chemicals-WUO_ERR'!A212 = "", "Validated", HYPERLINK("#" &amp; ADDRESS(212, 'Additional Chemicals-WUO_TRK'!A212),_xlfn.TEXTAFTER('Additional Chemicals-WUO_ERR'!A212, ":"))))</f>
        <v/>
      </c>
    </row>
    <row r="213">
      <c r="A213" s="38">
        <f>IF('Additional Chemicals'!B213 = "", "", IF('Additional Chemicals-WUO_ERR'!A213 = "", "Validated", HYPERLINK("#" &amp; ADDRESS(213, 'Additional Chemicals-WUO_TRK'!A213),_xlfn.TEXTAFTER('Additional Chemicals-WUO_ERR'!A213, ":"))))</f>
        <v/>
      </c>
    </row>
    <row r="214">
      <c r="A214" s="38">
        <f>IF('Additional Chemicals'!B214 = "", "", IF('Additional Chemicals-WUO_ERR'!A214 = "", "Validated", HYPERLINK("#" &amp; ADDRESS(214, 'Additional Chemicals-WUO_TRK'!A214),_xlfn.TEXTAFTER('Additional Chemicals-WUO_ERR'!A214, ":"))))</f>
        <v/>
      </c>
    </row>
    <row r="215">
      <c r="A215" s="38">
        <f>IF('Additional Chemicals'!B215 = "", "", IF('Additional Chemicals-WUO_ERR'!A215 = "", "Validated", HYPERLINK("#" &amp; ADDRESS(215, 'Additional Chemicals-WUO_TRK'!A215),_xlfn.TEXTAFTER('Additional Chemicals-WUO_ERR'!A215, ":"))))</f>
        <v/>
      </c>
    </row>
    <row r="216">
      <c r="A216" s="38">
        <f>IF('Additional Chemicals'!B216 = "", "", IF('Additional Chemicals-WUO_ERR'!A216 = "", "Validated", HYPERLINK("#" &amp; ADDRESS(216, 'Additional Chemicals-WUO_TRK'!A216),_xlfn.TEXTAFTER('Additional Chemicals-WUO_ERR'!A216, ":"))))</f>
        <v/>
      </c>
    </row>
    <row r="217">
      <c r="A217" s="38">
        <f>IF('Additional Chemicals'!B217 = "", "", IF('Additional Chemicals-WUO_ERR'!A217 = "", "Validated", HYPERLINK("#" &amp; ADDRESS(217, 'Additional Chemicals-WUO_TRK'!A217),_xlfn.TEXTAFTER('Additional Chemicals-WUO_ERR'!A217, ":"))))</f>
        <v/>
      </c>
    </row>
    <row r="218">
      <c r="A218" s="38">
        <f>IF('Additional Chemicals'!B218 = "", "", IF('Additional Chemicals-WUO_ERR'!A218 = "", "Validated", HYPERLINK("#" &amp; ADDRESS(218, 'Additional Chemicals-WUO_TRK'!A218),_xlfn.TEXTAFTER('Additional Chemicals-WUO_ERR'!A218, ":"))))</f>
        <v/>
      </c>
    </row>
    <row r="219">
      <c r="A219" s="38">
        <f>IF('Additional Chemicals'!B219 = "", "", IF('Additional Chemicals-WUO_ERR'!A219 = "", "Validated", HYPERLINK("#" &amp; ADDRESS(219, 'Additional Chemicals-WUO_TRK'!A219),_xlfn.TEXTAFTER('Additional Chemicals-WUO_ERR'!A219, ":"))))</f>
        <v/>
      </c>
    </row>
    <row r="220">
      <c r="A220" s="38">
        <f>IF('Additional Chemicals'!B220 = "", "", IF('Additional Chemicals-WUO_ERR'!A220 = "", "Validated", HYPERLINK("#" &amp; ADDRESS(220, 'Additional Chemicals-WUO_TRK'!A220),_xlfn.TEXTAFTER('Additional Chemicals-WUO_ERR'!A220, ":"))))</f>
        <v/>
      </c>
    </row>
    <row r="221">
      <c r="A221" s="38">
        <f>IF('Additional Chemicals'!B221 = "", "", IF('Additional Chemicals-WUO_ERR'!A221 = "", "Validated", HYPERLINK("#" &amp; ADDRESS(221, 'Additional Chemicals-WUO_TRK'!A221),_xlfn.TEXTAFTER('Additional Chemicals-WUO_ERR'!A221, ":"))))</f>
        <v/>
      </c>
    </row>
    <row r="222">
      <c r="A222" s="38">
        <f>IF('Additional Chemicals'!B222 = "", "", IF('Additional Chemicals-WUO_ERR'!A222 = "", "Validated", HYPERLINK("#" &amp; ADDRESS(222, 'Additional Chemicals-WUO_TRK'!A222),_xlfn.TEXTAFTER('Additional Chemicals-WUO_ERR'!A222, ":"))))</f>
        <v/>
      </c>
    </row>
    <row r="223">
      <c r="A223" s="38">
        <f>IF('Additional Chemicals'!B223 = "", "", IF('Additional Chemicals-WUO_ERR'!A223 = "", "Validated", HYPERLINK("#" &amp; ADDRESS(223, 'Additional Chemicals-WUO_TRK'!A223),_xlfn.TEXTAFTER('Additional Chemicals-WUO_ERR'!A223, ":"))))</f>
        <v/>
      </c>
    </row>
    <row r="224">
      <c r="A224" s="38">
        <f>IF('Additional Chemicals'!B224 = "", "", IF('Additional Chemicals-WUO_ERR'!A224 = "", "Validated", HYPERLINK("#" &amp; ADDRESS(224, 'Additional Chemicals-WUO_TRK'!A224),_xlfn.TEXTAFTER('Additional Chemicals-WUO_ERR'!A224, ":"))))</f>
        <v/>
      </c>
    </row>
    <row r="225">
      <c r="A225" s="38">
        <f>IF('Additional Chemicals'!B225 = "", "", IF('Additional Chemicals-WUO_ERR'!A225 = "", "Validated", HYPERLINK("#" &amp; ADDRESS(225, 'Additional Chemicals-WUO_TRK'!A225),_xlfn.TEXTAFTER('Additional Chemicals-WUO_ERR'!A225, ":"))))</f>
        <v/>
      </c>
    </row>
    <row r="226">
      <c r="A226" s="38">
        <f>IF('Additional Chemicals'!B226 = "", "", IF('Additional Chemicals-WUO_ERR'!A226 = "", "Validated", HYPERLINK("#" &amp; ADDRESS(226, 'Additional Chemicals-WUO_TRK'!A226),_xlfn.TEXTAFTER('Additional Chemicals-WUO_ERR'!A226, ":"))))</f>
        <v/>
      </c>
    </row>
    <row r="227">
      <c r="A227" s="38">
        <f>IF('Additional Chemicals'!B227 = "", "", IF('Additional Chemicals-WUO_ERR'!A227 = "", "Validated", HYPERLINK("#" &amp; ADDRESS(227, 'Additional Chemicals-WUO_TRK'!A227),_xlfn.TEXTAFTER('Additional Chemicals-WUO_ERR'!A227, ":"))))</f>
        <v/>
      </c>
    </row>
    <row r="228">
      <c r="A228" s="38">
        <f>IF('Additional Chemicals'!B228 = "", "", IF('Additional Chemicals-WUO_ERR'!A228 = "", "Validated", HYPERLINK("#" &amp; ADDRESS(228, 'Additional Chemicals-WUO_TRK'!A228),_xlfn.TEXTAFTER('Additional Chemicals-WUO_ERR'!A228, ":"))))</f>
        <v/>
      </c>
    </row>
    <row r="229">
      <c r="A229" s="38">
        <f>IF('Additional Chemicals'!B229 = "", "", IF('Additional Chemicals-WUO_ERR'!A229 = "", "Validated", HYPERLINK("#" &amp; ADDRESS(229, 'Additional Chemicals-WUO_TRK'!A229),_xlfn.TEXTAFTER('Additional Chemicals-WUO_ERR'!A229, ":"))))</f>
        <v/>
      </c>
    </row>
    <row r="230">
      <c r="A230" s="38">
        <f>IF('Additional Chemicals'!B230 = "", "", IF('Additional Chemicals-WUO_ERR'!A230 = "", "Validated", HYPERLINK("#" &amp; ADDRESS(230, 'Additional Chemicals-WUO_TRK'!A230),_xlfn.TEXTAFTER('Additional Chemicals-WUO_ERR'!A230, ":"))))</f>
        <v/>
      </c>
    </row>
    <row r="231">
      <c r="A231" s="38">
        <f>IF('Additional Chemicals'!B231 = "", "", IF('Additional Chemicals-WUO_ERR'!A231 = "", "Validated", HYPERLINK("#" &amp; ADDRESS(231, 'Additional Chemicals-WUO_TRK'!A231),_xlfn.TEXTAFTER('Additional Chemicals-WUO_ERR'!A231, ":"))))</f>
        <v/>
      </c>
    </row>
    <row r="232">
      <c r="A232" s="38">
        <f>IF('Additional Chemicals'!B232 = "", "", IF('Additional Chemicals-WUO_ERR'!A232 = "", "Validated", HYPERLINK("#" &amp; ADDRESS(232, 'Additional Chemicals-WUO_TRK'!A232),_xlfn.TEXTAFTER('Additional Chemicals-WUO_ERR'!A232, ":"))))</f>
        <v/>
      </c>
    </row>
    <row r="233">
      <c r="A233" s="38">
        <f>IF('Additional Chemicals'!B233 = "", "", IF('Additional Chemicals-WUO_ERR'!A233 = "", "Validated", HYPERLINK("#" &amp; ADDRESS(233, 'Additional Chemicals-WUO_TRK'!A233),_xlfn.TEXTAFTER('Additional Chemicals-WUO_ERR'!A233, ":"))))</f>
        <v/>
      </c>
    </row>
    <row r="234">
      <c r="A234" s="38">
        <f>IF('Additional Chemicals'!B234 = "", "", IF('Additional Chemicals-WUO_ERR'!A234 = "", "Validated", HYPERLINK("#" &amp; ADDRESS(234, 'Additional Chemicals-WUO_TRK'!A234),_xlfn.TEXTAFTER('Additional Chemicals-WUO_ERR'!A234, ":"))))</f>
        <v/>
      </c>
    </row>
    <row r="235">
      <c r="A235" s="38">
        <f>IF('Additional Chemicals'!B235 = "", "", IF('Additional Chemicals-WUO_ERR'!A235 = "", "Validated", HYPERLINK("#" &amp; ADDRESS(235, 'Additional Chemicals-WUO_TRK'!A235),_xlfn.TEXTAFTER('Additional Chemicals-WUO_ERR'!A235, ":"))))</f>
        <v/>
      </c>
    </row>
    <row r="236">
      <c r="A236" s="38">
        <f>IF('Additional Chemicals'!B236 = "", "", IF('Additional Chemicals-WUO_ERR'!A236 = "", "Validated", HYPERLINK("#" &amp; ADDRESS(236, 'Additional Chemicals-WUO_TRK'!A236),_xlfn.TEXTAFTER('Additional Chemicals-WUO_ERR'!A236, ":"))))</f>
        <v/>
      </c>
    </row>
    <row r="237">
      <c r="A237" s="38">
        <f>IF('Additional Chemicals'!B237 = "", "", IF('Additional Chemicals-WUO_ERR'!A237 = "", "Validated", HYPERLINK("#" &amp; ADDRESS(237, 'Additional Chemicals-WUO_TRK'!A237),_xlfn.TEXTAFTER('Additional Chemicals-WUO_ERR'!A237, ":"))))</f>
        <v/>
      </c>
    </row>
    <row r="238">
      <c r="A238" s="38">
        <f>IF('Additional Chemicals'!B238 = "", "", IF('Additional Chemicals-WUO_ERR'!A238 = "", "Validated", HYPERLINK("#" &amp; ADDRESS(238, 'Additional Chemicals-WUO_TRK'!A238),_xlfn.TEXTAFTER('Additional Chemicals-WUO_ERR'!A238, ":"))))</f>
        <v/>
      </c>
    </row>
    <row r="239">
      <c r="A239" s="38">
        <f>IF('Additional Chemicals'!B239 = "", "", IF('Additional Chemicals-WUO_ERR'!A239 = "", "Validated", HYPERLINK("#" &amp; ADDRESS(239, 'Additional Chemicals-WUO_TRK'!A239),_xlfn.TEXTAFTER('Additional Chemicals-WUO_ERR'!A239, ":"))))</f>
        <v/>
      </c>
    </row>
    <row r="240">
      <c r="A240" s="38">
        <f>IF('Additional Chemicals'!B240 = "", "", IF('Additional Chemicals-WUO_ERR'!A240 = "", "Validated", HYPERLINK("#" &amp; ADDRESS(240, 'Additional Chemicals-WUO_TRK'!A240),_xlfn.TEXTAFTER('Additional Chemicals-WUO_ERR'!A240, ":"))))</f>
        <v/>
      </c>
    </row>
    <row r="241">
      <c r="A241" s="38">
        <f>IF('Additional Chemicals'!B241 = "", "", IF('Additional Chemicals-WUO_ERR'!A241 = "", "Validated", HYPERLINK("#" &amp; ADDRESS(241, 'Additional Chemicals-WUO_TRK'!A241),_xlfn.TEXTAFTER('Additional Chemicals-WUO_ERR'!A241, ":"))))</f>
        <v/>
      </c>
    </row>
    <row r="242">
      <c r="A242" s="38">
        <f>IF('Additional Chemicals'!B242 = "", "", IF('Additional Chemicals-WUO_ERR'!A242 = "", "Validated", HYPERLINK("#" &amp; ADDRESS(242, 'Additional Chemicals-WUO_TRK'!A242),_xlfn.TEXTAFTER('Additional Chemicals-WUO_ERR'!A242, ":"))))</f>
        <v/>
      </c>
    </row>
    <row r="243">
      <c r="A243" s="38">
        <f>IF('Additional Chemicals'!B243 = "", "", IF('Additional Chemicals-WUO_ERR'!A243 = "", "Validated", HYPERLINK("#" &amp; ADDRESS(243, 'Additional Chemicals-WUO_TRK'!A243),_xlfn.TEXTAFTER('Additional Chemicals-WUO_ERR'!A243, ":"))))</f>
        <v/>
      </c>
    </row>
    <row r="244">
      <c r="A244" s="38">
        <f>IF('Additional Chemicals'!B244 = "", "", IF('Additional Chemicals-WUO_ERR'!A244 = "", "Validated", HYPERLINK("#" &amp; ADDRESS(244, 'Additional Chemicals-WUO_TRK'!A244),_xlfn.TEXTAFTER('Additional Chemicals-WUO_ERR'!A244, ":"))))</f>
        <v/>
      </c>
    </row>
    <row r="245">
      <c r="A245" s="38">
        <f>IF('Additional Chemicals'!B245 = "", "", IF('Additional Chemicals-WUO_ERR'!A245 = "", "Validated", HYPERLINK("#" &amp; ADDRESS(245, 'Additional Chemicals-WUO_TRK'!A245),_xlfn.TEXTAFTER('Additional Chemicals-WUO_ERR'!A245, ":"))))</f>
        <v/>
      </c>
    </row>
    <row r="246">
      <c r="A246" s="38">
        <f>IF('Additional Chemicals'!B246 = "", "", IF('Additional Chemicals-WUO_ERR'!A246 = "", "Validated", HYPERLINK("#" &amp; ADDRESS(246, 'Additional Chemicals-WUO_TRK'!A246),_xlfn.TEXTAFTER('Additional Chemicals-WUO_ERR'!A246, ":"))))</f>
        <v/>
      </c>
    </row>
    <row r="247">
      <c r="A247" s="38">
        <f>IF('Additional Chemicals'!B247 = "", "", IF('Additional Chemicals-WUO_ERR'!A247 = "", "Validated", HYPERLINK("#" &amp; ADDRESS(247, 'Additional Chemicals-WUO_TRK'!A247),_xlfn.TEXTAFTER('Additional Chemicals-WUO_ERR'!A247, ":"))))</f>
        <v/>
      </c>
    </row>
    <row r="248">
      <c r="A248" s="38">
        <f>IF('Additional Chemicals'!B248 = "", "", IF('Additional Chemicals-WUO_ERR'!A248 = "", "Validated", HYPERLINK("#" &amp; ADDRESS(248, 'Additional Chemicals-WUO_TRK'!A248),_xlfn.TEXTAFTER('Additional Chemicals-WUO_ERR'!A248, ":"))))</f>
        <v/>
      </c>
    </row>
    <row r="249">
      <c r="A249" s="38">
        <f>IF('Additional Chemicals'!B249 = "", "", IF('Additional Chemicals-WUO_ERR'!A249 = "", "Validated", HYPERLINK("#" &amp; ADDRESS(249, 'Additional Chemicals-WUO_TRK'!A249),_xlfn.TEXTAFTER('Additional Chemicals-WUO_ERR'!A249, ":"))))</f>
        <v/>
      </c>
    </row>
    <row r="250">
      <c r="A250" s="38">
        <f>IF('Additional Chemicals'!B250 = "", "", IF('Additional Chemicals-WUO_ERR'!A250 = "", "Validated", HYPERLINK("#" &amp; ADDRESS(250, 'Additional Chemicals-WUO_TRK'!A250),_xlfn.TEXTAFTER('Additional Chemicals-WUO_ERR'!A250, ":"))))</f>
        <v/>
      </c>
    </row>
    <row r="251">
      <c r="A251" s="38">
        <f>IF('Additional Chemicals'!B251 = "", "", IF('Additional Chemicals-WUO_ERR'!A251 = "", "Validated", HYPERLINK("#" &amp; ADDRESS(251, 'Additional Chemicals-WUO_TRK'!A251),_xlfn.TEXTAFTER('Additional Chemicals-WUO_ERR'!A251, ":"))))</f>
        <v/>
      </c>
    </row>
    <row r="252">
      <c r="A252" s="38">
        <f>IF('Additional Chemicals'!B252 = "", "", IF('Additional Chemicals-WUO_ERR'!A252 = "", "Validated", HYPERLINK("#" &amp; ADDRESS(252, 'Additional Chemicals-WUO_TRK'!A252),_xlfn.TEXTAFTER('Additional Chemicals-WUO_ERR'!A252, ":"))))</f>
        <v/>
      </c>
    </row>
    <row r="253">
      <c r="A253" s="38">
        <f>IF('Additional Chemicals'!B253 = "", "", IF('Additional Chemicals-WUO_ERR'!A253 = "", "Validated", HYPERLINK("#" &amp; ADDRESS(253, 'Additional Chemicals-WUO_TRK'!A253),_xlfn.TEXTAFTER('Additional Chemicals-WUO_ERR'!A253, ":"))))</f>
        <v/>
      </c>
    </row>
    <row r="254">
      <c r="A254" s="38">
        <f>IF('Additional Chemicals'!B254 = "", "", IF('Additional Chemicals-WUO_ERR'!A254 = "", "Validated", HYPERLINK("#" &amp; ADDRESS(254, 'Additional Chemicals-WUO_TRK'!A254),_xlfn.TEXTAFTER('Additional Chemicals-WUO_ERR'!A254, ":"))))</f>
        <v/>
      </c>
    </row>
    <row r="255">
      <c r="A255" s="38">
        <f>IF('Additional Chemicals'!B255 = "", "", IF('Additional Chemicals-WUO_ERR'!A255 = "", "Validated", HYPERLINK("#" &amp; ADDRESS(255, 'Additional Chemicals-WUO_TRK'!A255),_xlfn.TEXTAFTER('Additional Chemicals-WUO_ERR'!A255, ":"))))</f>
        <v/>
      </c>
    </row>
    <row r="256">
      <c r="A256" s="38">
        <f>IF('Additional Chemicals'!B256 = "", "", IF('Additional Chemicals-WUO_ERR'!A256 = "", "Validated", HYPERLINK("#" &amp; ADDRESS(256, 'Additional Chemicals-WUO_TRK'!A256),_xlfn.TEXTAFTER('Additional Chemicals-WUO_ERR'!A256, ":"))))</f>
        <v/>
      </c>
    </row>
    <row r="257">
      <c r="A257" s="38">
        <f>IF('Additional Chemicals'!B257 = "", "", IF('Additional Chemicals-WUO_ERR'!A257 = "", "Validated", HYPERLINK("#" &amp; ADDRESS(257, 'Additional Chemicals-WUO_TRK'!A257),_xlfn.TEXTAFTER('Additional Chemicals-WUO_ERR'!A257, ":"))))</f>
        <v/>
      </c>
    </row>
    <row r="258">
      <c r="A258" s="38">
        <f>IF('Additional Chemicals'!B258 = "", "", IF('Additional Chemicals-WUO_ERR'!A258 = "", "Validated", HYPERLINK("#" &amp; ADDRESS(258, 'Additional Chemicals-WUO_TRK'!A258),_xlfn.TEXTAFTER('Additional Chemicals-WUO_ERR'!A258, ":"))))</f>
        <v/>
      </c>
    </row>
    <row r="259">
      <c r="A259" s="38">
        <f>IF('Additional Chemicals'!B259 = "", "", IF('Additional Chemicals-WUO_ERR'!A259 = "", "Validated", HYPERLINK("#" &amp; ADDRESS(259, 'Additional Chemicals-WUO_TRK'!A259),_xlfn.TEXTAFTER('Additional Chemicals-WUO_ERR'!A259, ":"))))</f>
        <v/>
      </c>
    </row>
    <row r="260">
      <c r="A260" s="38">
        <f>IF('Additional Chemicals'!B260 = "", "", IF('Additional Chemicals-WUO_ERR'!A260 = "", "Validated", HYPERLINK("#" &amp; ADDRESS(260, 'Additional Chemicals-WUO_TRK'!A260),_xlfn.TEXTAFTER('Additional Chemicals-WUO_ERR'!A260, ":"))))</f>
        <v/>
      </c>
    </row>
    <row r="261">
      <c r="A261" s="38">
        <f>IF('Additional Chemicals'!B261 = "", "", IF('Additional Chemicals-WUO_ERR'!A261 = "", "Validated", HYPERLINK("#" &amp; ADDRESS(261, 'Additional Chemicals-WUO_TRK'!A261),_xlfn.TEXTAFTER('Additional Chemicals-WUO_ERR'!A261, ":"))))</f>
        <v/>
      </c>
    </row>
    <row r="262">
      <c r="A262" s="38">
        <f>IF('Additional Chemicals'!B262 = "", "", IF('Additional Chemicals-WUO_ERR'!A262 = "", "Validated", HYPERLINK("#" &amp; ADDRESS(262, 'Additional Chemicals-WUO_TRK'!A262),_xlfn.TEXTAFTER('Additional Chemicals-WUO_ERR'!A262, ":"))))</f>
        <v/>
      </c>
    </row>
    <row r="263">
      <c r="A263" s="38">
        <f>IF('Additional Chemicals'!B263 = "", "", IF('Additional Chemicals-WUO_ERR'!A263 = "", "Validated", HYPERLINK("#" &amp; ADDRESS(263, 'Additional Chemicals-WUO_TRK'!A263),_xlfn.TEXTAFTER('Additional Chemicals-WUO_ERR'!A263, ":"))))</f>
        <v/>
      </c>
    </row>
    <row r="264">
      <c r="A264" s="38">
        <f>IF('Additional Chemicals'!B264 = "", "", IF('Additional Chemicals-WUO_ERR'!A264 = "", "Validated", HYPERLINK("#" &amp; ADDRESS(264, 'Additional Chemicals-WUO_TRK'!A264),_xlfn.TEXTAFTER('Additional Chemicals-WUO_ERR'!A264, ":"))))</f>
        <v/>
      </c>
    </row>
    <row r="265">
      <c r="A265" s="38">
        <f>IF('Additional Chemicals'!B265 = "", "", IF('Additional Chemicals-WUO_ERR'!A265 = "", "Validated", HYPERLINK("#" &amp; ADDRESS(265, 'Additional Chemicals-WUO_TRK'!A265),_xlfn.TEXTAFTER('Additional Chemicals-WUO_ERR'!A265, ":"))))</f>
        <v/>
      </c>
    </row>
    <row r="266">
      <c r="A266" s="38">
        <f>IF('Additional Chemicals'!B266 = "", "", IF('Additional Chemicals-WUO_ERR'!A266 = "", "Validated", HYPERLINK("#" &amp; ADDRESS(266, 'Additional Chemicals-WUO_TRK'!A266),_xlfn.TEXTAFTER('Additional Chemicals-WUO_ERR'!A266, ":"))))</f>
        <v/>
      </c>
    </row>
    <row r="267">
      <c r="A267" s="38">
        <f>IF('Additional Chemicals'!B267 = "", "", IF('Additional Chemicals-WUO_ERR'!A267 = "", "Validated", HYPERLINK("#" &amp; ADDRESS(267, 'Additional Chemicals-WUO_TRK'!A267),_xlfn.TEXTAFTER('Additional Chemicals-WUO_ERR'!A267, ":"))))</f>
        <v/>
      </c>
    </row>
    <row r="268">
      <c r="A268" s="38">
        <f>IF('Additional Chemicals'!B268 = "", "", IF('Additional Chemicals-WUO_ERR'!A268 = "", "Validated", HYPERLINK("#" &amp; ADDRESS(268, 'Additional Chemicals-WUO_TRK'!A268),_xlfn.TEXTAFTER('Additional Chemicals-WUO_ERR'!A268, ":"))))</f>
        <v/>
      </c>
    </row>
    <row r="269">
      <c r="A269" s="38">
        <f>IF('Additional Chemicals'!B269 = "", "", IF('Additional Chemicals-WUO_ERR'!A269 = "", "Validated", HYPERLINK("#" &amp; ADDRESS(269, 'Additional Chemicals-WUO_TRK'!A269),_xlfn.TEXTAFTER('Additional Chemicals-WUO_ERR'!A269, ":"))))</f>
        <v/>
      </c>
    </row>
    <row r="270">
      <c r="A270" s="38">
        <f>IF('Additional Chemicals'!B270 = "", "", IF('Additional Chemicals-WUO_ERR'!A270 = "", "Validated", HYPERLINK("#" &amp; ADDRESS(270, 'Additional Chemicals-WUO_TRK'!A270),_xlfn.TEXTAFTER('Additional Chemicals-WUO_ERR'!A270, ":"))))</f>
        <v/>
      </c>
    </row>
    <row r="271">
      <c r="A271" s="38">
        <f>IF('Additional Chemicals'!B271 = "", "", IF('Additional Chemicals-WUO_ERR'!A271 = "", "Validated", HYPERLINK("#" &amp; ADDRESS(271, 'Additional Chemicals-WUO_TRK'!A271),_xlfn.TEXTAFTER('Additional Chemicals-WUO_ERR'!A271, ":"))))</f>
        <v/>
      </c>
    </row>
    <row r="272">
      <c r="A272" s="38">
        <f>IF('Additional Chemicals'!B272 = "", "", IF('Additional Chemicals-WUO_ERR'!A272 = "", "Validated", HYPERLINK("#" &amp; ADDRESS(272, 'Additional Chemicals-WUO_TRK'!A272),_xlfn.TEXTAFTER('Additional Chemicals-WUO_ERR'!A272, ":"))))</f>
        <v/>
      </c>
    </row>
    <row r="273">
      <c r="A273" s="38">
        <f>IF('Additional Chemicals'!B273 = "", "", IF('Additional Chemicals-WUO_ERR'!A273 = "", "Validated", HYPERLINK("#" &amp; ADDRESS(273, 'Additional Chemicals-WUO_TRK'!A273),_xlfn.TEXTAFTER('Additional Chemicals-WUO_ERR'!A273, ":"))))</f>
        <v/>
      </c>
    </row>
    <row r="274">
      <c r="A274" s="38">
        <f>IF('Additional Chemicals'!B274 = "", "", IF('Additional Chemicals-WUO_ERR'!A274 = "", "Validated", HYPERLINK("#" &amp; ADDRESS(274, 'Additional Chemicals-WUO_TRK'!A274),_xlfn.TEXTAFTER('Additional Chemicals-WUO_ERR'!A274, ":"))))</f>
        <v/>
      </c>
    </row>
    <row r="275">
      <c r="A275" s="38">
        <f>IF('Additional Chemicals'!B275 = "", "", IF('Additional Chemicals-WUO_ERR'!A275 = "", "Validated", HYPERLINK("#" &amp; ADDRESS(275, 'Additional Chemicals-WUO_TRK'!A275),_xlfn.TEXTAFTER('Additional Chemicals-WUO_ERR'!A275, ":"))))</f>
        <v/>
      </c>
    </row>
    <row r="276">
      <c r="A276" s="38">
        <f>IF('Additional Chemicals'!B276 = "", "", IF('Additional Chemicals-WUO_ERR'!A276 = "", "Validated", HYPERLINK("#" &amp; ADDRESS(276, 'Additional Chemicals-WUO_TRK'!A276),_xlfn.TEXTAFTER('Additional Chemicals-WUO_ERR'!A276, ":"))))</f>
        <v/>
      </c>
    </row>
    <row r="277">
      <c r="A277" s="38">
        <f>IF('Additional Chemicals'!B277 = "", "", IF('Additional Chemicals-WUO_ERR'!A277 = "", "Validated", HYPERLINK("#" &amp; ADDRESS(277, 'Additional Chemicals-WUO_TRK'!A277),_xlfn.TEXTAFTER('Additional Chemicals-WUO_ERR'!A277, ":"))))</f>
        <v/>
      </c>
    </row>
    <row r="278">
      <c r="A278" s="38">
        <f>IF('Additional Chemicals'!B278 = "", "", IF('Additional Chemicals-WUO_ERR'!A278 = "", "Validated", HYPERLINK("#" &amp; ADDRESS(278, 'Additional Chemicals-WUO_TRK'!A278),_xlfn.TEXTAFTER('Additional Chemicals-WUO_ERR'!A278, ":"))))</f>
        <v/>
      </c>
    </row>
    <row r="279">
      <c r="A279" s="38">
        <f>IF('Additional Chemicals'!B279 = "", "", IF('Additional Chemicals-WUO_ERR'!A279 = "", "Validated", HYPERLINK("#" &amp; ADDRESS(279, 'Additional Chemicals-WUO_TRK'!A279),_xlfn.TEXTAFTER('Additional Chemicals-WUO_ERR'!A279, ":"))))</f>
        <v/>
      </c>
    </row>
    <row r="280">
      <c r="A280" s="38">
        <f>IF('Additional Chemicals'!B280 = "", "", IF('Additional Chemicals-WUO_ERR'!A280 = "", "Validated", HYPERLINK("#" &amp; ADDRESS(280, 'Additional Chemicals-WUO_TRK'!A280),_xlfn.TEXTAFTER('Additional Chemicals-WUO_ERR'!A280, ":"))))</f>
        <v/>
      </c>
    </row>
    <row r="281">
      <c r="A281" s="38">
        <f>IF('Additional Chemicals'!B281 = "", "", IF('Additional Chemicals-WUO_ERR'!A281 = "", "Validated", HYPERLINK("#" &amp; ADDRESS(281, 'Additional Chemicals-WUO_TRK'!A281),_xlfn.TEXTAFTER('Additional Chemicals-WUO_ERR'!A281, ":"))))</f>
        <v/>
      </c>
    </row>
    <row r="282">
      <c r="A282" s="38">
        <f>IF('Additional Chemicals'!B282 = "", "", IF('Additional Chemicals-WUO_ERR'!A282 = "", "Validated", HYPERLINK("#" &amp; ADDRESS(282, 'Additional Chemicals-WUO_TRK'!A282),_xlfn.TEXTAFTER('Additional Chemicals-WUO_ERR'!A282, ":"))))</f>
        <v/>
      </c>
    </row>
    <row r="283">
      <c r="A283" s="38">
        <f>IF('Additional Chemicals'!B283 = "", "", IF('Additional Chemicals-WUO_ERR'!A283 = "", "Validated", HYPERLINK("#" &amp; ADDRESS(283, 'Additional Chemicals-WUO_TRK'!A283),_xlfn.TEXTAFTER('Additional Chemicals-WUO_ERR'!A283, ":"))))</f>
        <v/>
      </c>
    </row>
    <row r="284">
      <c r="A284" s="38">
        <f>IF('Additional Chemicals'!B284 = "", "", IF('Additional Chemicals-WUO_ERR'!A284 = "", "Validated", HYPERLINK("#" &amp; ADDRESS(284, 'Additional Chemicals-WUO_TRK'!A284),_xlfn.TEXTAFTER('Additional Chemicals-WUO_ERR'!A284, ":"))))</f>
        <v/>
      </c>
    </row>
    <row r="285">
      <c r="A285" s="38">
        <f>IF('Additional Chemicals'!B285 = "", "", IF('Additional Chemicals-WUO_ERR'!A285 = "", "Validated", HYPERLINK("#" &amp; ADDRESS(285, 'Additional Chemicals-WUO_TRK'!A285),_xlfn.TEXTAFTER('Additional Chemicals-WUO_ERR'!A285, ":"))))</f>
        <v/>
      </c>
    </row>
    <row r="286">
      <c r="A286" s="38">
        <f>IF('Additional Chemicals'!B286 = "", "", IF('Additional Chemicals-WUO_ERR'!A286 = "", "Validated", HYPERLINK("#" &amp; ADDRESS(286, 'Additional Chemicals-WUO_TRK'!A286),_xlfn.TEXTAFTER('Additional Chemicals-WUO_ERR'!A286, ":"))))</f>
        <v/>
      </c>
    </row>
    <row r="287">
      <c r="A287" s="38">
        <f>IF('Additional Chemicals'!B287 = "", "", IF('Additional Chemicals-WUO_ERR'!A287 = "", "Validated", HYPERLINK("#" &amp; ADDRESS(287, 'Additional Chemicals-WUO_TRK'!A287),_xlfn.TEXTAFTER('Additional Chemicals-WUO_ERR'!A287, ":"))))</f>
        <v/>
      </c>
    </row>
    <row r="288">
      <c r="A288" s="38">
        <f>IF('Additional Chemicals'!B288 = "", "", IF('Additional Chemicals-WUO_ERR'!A288 = "", "Validated", HYPERLINK("#" &amp; ADDRESS(288, 'Additional Chemicals-WUO_TRK'!A288),_xlfn.TEXTAFTER('Additional Chemicals-WUO_ERR'!A288, ":"))))</f>
        <v/>
      </c>
    </row>
    <row r="289">
      <c r="A289" s="38">
        <f>IF('Additional Chemicals'!B289 = "", "", IF('Additional Chemicals-WUO_ERR'!A289 = "", "Validated", HYPERLINK("#" &amp; ADDRESS(289, 'Additional Chemicals-WUO_TRK'!A289),_xlfn.TEXTAFTER('Additional Chemicals-WUO_ERR'!A289, ":"))))</f>
        <v/>
      </c>
    </row>
    <row r="290">
      <c r="A290" s="38">
        <f>IF('Additional Chemicals'!B290 = "", "", IF('Additional Chemicals-WUO_ERR'!A290 = "", "Validated", HYPERLINK("#" &amp; ADDRESS(290, 'Additional Chemicals-WUO_TRK'!A290),_xlfn.TEXTAFTER('Additional Chemicals-WUO_ERR'!A290, ":"))))</f>
        <v/>
      </c>
    </row>
    <row r="291">
      <c r="A291" s="38">
        <f>IF('Additional Chemicals'!B291 = "", "", IF('Additional Chemicals-WUO_ERR'!A291 = "", "Validated", HYPERLINK("#" &amp; ADDRESS(291, 'Additional Chemicals-WUO_TRK'!A291),_xlfn.TEXTAFTER('Additional Chemicals-WUO_ERR'!A291, ":"))))</f>
        <v/>
      </c>
    </row>
    <row r="292">
      <c r="A292" s="38">
        <f>IF('Additional Chemicals'!B292 = "", "", IF('Additional Chemicals-WUO_ERR'!A292 = "", "Validated", HYPERLINK("#" &amp; ADDRESS(292, 'Additional Chemicals-WUO_TRK'!A292),_xlfn.TEXTAFTER('Additional Chemicals-WUO_ERR'!A292, ":"))))</f>
        <v/>
      </c>
    </row>
    <row r="293">
      <c r="A293" s="38">
        <f>IF('Additional Chemicals'!B293 = "", "", IF('Additional Chemicals-WUO_ERR'!A293 = "", "Validated", HYPERLINK("#" &amp; ADDRESS(293, 'Additional Chemicals-WUO_TRK'!A293),_xlfn.TEXTAFTER('Additional Chemicals-WUO_ERR'!A293, ":"))))</f>
        <v/>
      </c>
    </row>
    <row r="294">
      <c r="A294" s="38">
        <f>IF('Additional Chemicals'!B294 = "", "", IF('Additional Chemicals-WUO_ERR'!A294 = "", "Validated", HYPERLINK("#" &amp; ADDRESS(294, 'Additional Chemicals-WUO_TRK'!A294),_xlfn.TEXTAFTER('Additional Chemicals-WUO_ERR'!A294, ":"))))</f>
        <v/>
      </c>
    </row>
    <row r="295">
      <c r="A295" s="38">
        <f>IF('Additional Chemicals'!B295 = "", "", IF('Additional Chemicals-WUO_ERR'!A295 = "", "Validated", HYPERLINK("#" &amp; ADDRESS(295, 'Additional Chemicals-WUO_TRK'!A295),_xlfn.TEXTAFTER('Additional Chemicals-WUO_ERR'!A295, ":"))))</f>
        <v/>
      </c>
    </row>
    <row r="296">
      <c r="A296" s="38">
        <f>IF('Additional Chemicals'!B296 = "", "", IF('Additional Chemicals-WUO_ERR'!A296 = "", "Validated", HYPERLINK("#" &amp; ADDRESS(296, 'Additional Chemicals-WUO_TRK'!A296),_xlfn.TEXTAFTER('Additional Chemicals-WUO_ERR'!A296, ":"))))</f>
        <v/>
      </c>
    </row>
    <row r="297">
      <c r="A297" s="38">
        <f>IF('Additional Chemicals'!B297 = "", "", IF('Additional Chemicals-WUO_ERR'!A297 = "", "Validated", HYPERLINK("#" &amp; ADDRESS(297, 'Additional Chemicals-WUO_TRK'!A297),_xlfn.TEXTAFTER('Additional Chemicals-WUO_ERR'!A297, ":"))))</f>
        <v/>
      </c>
    </row>
    <row r="298">
      <c r="A298" s="38">
        <f>IF('Additional Chemicals'!B298 = "", "", IF('Additional Chemicals-WUO_ERR'!A298 = "", "Validated", HYPERLINK("#" &amp; ADDRESS(298, 'Additional Chemicals-WUO_TRK'!A298),_xlfn.TEXTAFTER('Additional Chemicals-WUO_ERR'!A298, ":"))))</f>
        <v/>
      </c>
    </row>
    <row r="299">
      <c r="A299" s="38">
        <f>IF('Additional Chemicals'!B299 = "", "", IF('Additional Chemicals-WUO_ERR'!A299 = "", "Validated", HYPERLINK("#" &amp; ADDRESS(299, 'Additional Chemicals-WUO_TRK'!A299),_xlfn.TEXTAFTER('Additional Chemicals-WUO_ERR'!A299, ":"))))</f>
        <v/>
      </c>
    </row>
    <row r="300">
      <c r="A300" s="38">
        <f>IF('Additional Chemicals'!B300 = "", "", IF('Additional Chemicals-WUO_ERR'!A300 = "", "Validated", HYPERLINK("#" &amp; ADDRESS(300, 'Additional Chemicals-WUO_TRK'!A300),_xlfn.TEXTAFTER('Additional Chemicals-WUO_ERR'!A300, ":"))))</f>
        <v/>
      </c>
    </row>
    <row r="301">
      <c r="A301" s="38">
        <f>IF('Additional Chemicals'!B301 = "", "", IF('Additional Chemicals-WUO_ERR'!A301 = "", "Validated", HYPERLINK("#" &amp; ADDRESS(301, 'Additional Chemicals-WUO_TRK'!A301),_xlfn.TEXTAFTER('Additional Chemicals-WUO_ERR'!A301, ":"))))</f>
        <v/>
      </c>
    </row>
    <row r="302">
      <c r="A302" s="38">
        <f>IF('Additional Chemicals'!B302 = "", "", IF('Additional Chemicals-WUO_ERR'!A302 = "", "Validated", HYPERLINK("#" &amp; ADDRESS(302, 'Additional Chemicals-WUO_TRK'!A302),_xlfn.TEXTAFTER('Additional Chemicals-WUO_ERR'!A302, ":"))))</f>
        <v/>
      </c>
    </row>
    <row r="303">
      <c r="A303" s="38">
        <f>IF('Additional Chemicals'!B303 = "", "", IF('Additional Chemicals-WUO_ERR'!A303 = "", "Validated", HYPERLINK("#" &amp; ADDRESS(303, 'Additional Chemicals-WUO_TRK'!A303),_xlfn.TEXTAFTER('Additional Chemicals-WUO_ERR'!A303, ":"))))</f>
        <v/>
      </c>
    </row>
    <row r="304">
      <c r="A304" s="38">
        <f>IF('Additional Chemicals'!B304 = "", "", IF('Additional Chemicals-WUO_ERR'!A304 = "", "Validated", HYPERLINK("#" &amp; ADDRESS(304, 'Additional Chemicals-WUO_TRK'!A304),_xlfn.TEXTAFTER('Additional Chemicals-WUO_ERR'!A304, ":"))))</f>
        <v/>
      </c>
    </row>
    <row r="305">
      <c r="A305" s="38">
        <f>IF('Additional Chemicals'!B305 = "", "", IF('Additional Chemicals-WUO_ERR'!A305 = "", "Validated", HYPERLINK("#" &amp; ADDRESS(305, 'Additional Chemicals-WUO_TRK'!A305),_xlfn.TEXTAFTER('Additional Chemicals-WUO_ERR'!A305, ":"))))</f>
        <v/>
      </c>
    </row>
    <row r="306">
      <c r="A306" s="38">
        <f>IF('Additional Chemicals'!B306 = "", "", IF('Additional Chemicals-WUO_ERR'!A306 = "", "Validated", HYPERLINK("#" &amp; ADDRESS(306, 'Additional Chemicals-WUO_TRK'!A306),_xlfn.TEXTAFTER('Additional Chemicals-WUO_ERR'!A306, ":"))))</f>
        <v/>
      </c>
    </row>
    <row r="307">
      <c r="A307" s="38">
        <f>IF('Additional Chemicals'!B307 = "", "", IF('Additional Chemicals-WUO_ERR'!A307 = "", "Validated", HYPERLINK("#" &amp; ADDRESS(307, 'Additional Chemicals-WUO_TRK'!A307),_xlfn.TEXTAFTER('Additional Chemicals-WUO_ERR'!A307, ":"))))</f>
        <v/>
      </c>
    </row>
    <row r="308">
      <c r="A308" s="38">
        <f>IF('Additional Chemicals'!B308 = "", "", IF('Additional Chemicals-WUO_ERR'!A308 = "", "Validated", HYPERLINK("#" &amp; ADDRESS(308, 'Additional Chemicals-WUO_TRK'!A308),_xlfn.TEXTAFTER('Additional Chemicals-WUO_ERR'!A308, ":"))))</f>
        <v/>
      </c>
    </row>
    <row r="309">
      <c r="A309" s="38">
        <f>IF('Additional Chemicals'!B309 = "", "", IF('Additional Chemicals-WUO_ERR'!A309 = "", "Validated", HYPERLINK("#" &amp; ADDRESS(309, 'Additional Chemicals-WUO_TRK'!A309),_xlfn.TEXTAFTER('Additional Chemicals-WUO_ERR'!A309, ":"))))</f>
        <v/>
      </c>
    </row>
    <row r="310">
      <c r="A310" s="38">
        <f>IF('Additional Chemicals'!B310 = "", "", IF('Additional Chemicals-WUO_ERR'!A310 = "", "Validated", HYPERLINK("#" &amp; ADDRESS(310, 'Additional Chemicals-WUO_TRK'!A310),_xlfn.TEXTAFTER('Additional Chemicals-WUO_ERR'!A310, ":"))))</f>
        <v/>
      </c>
    </row>
    <row r="311">
      <c r="A311" s="38">
        <f>IF('Additional Chemicals'!B311 = "", "", IF('Additional Chemicals-WUO_ERR'!A311 = "", "Validated", HYPERLINK("#" &amp; ADDRESS(311, 'Additional Chemicals-WUO_TRK'!A311),_xlfn.TEXTAFTER('Additional Chemicals-WUO_ERR'!A311, ":"))))</f>
        <v/>
      </c>
    </row>
    <row r="312">
      <c r="A312" s="38">
        <f>IF('Additional Chemicals'!B312 = "", "", IF('Additional Chemicals-WUO_ERR'!A312 = "", "Validated", HYPERLINK("#" &amp; ADDRESS(312, 'Additional Chemicals-WUO_TRK'!A312),_xlfn.TEXTAFTER('Additional Chemicals-WUO_ERR'!A312, ":"))))</f>
        <v/>
      </c>
    </row>
    <row r="313">
      <c r="A313" s="38">
        <f>IF('Additional Chemicals'!B313 = "", "", IF('Additional Chemicals-WUO_ERR'!A313 = "", "Validated", HYPERLINK("#" &amp; ADDRESS(313, 'Additional Chemicals-WUO_TRK'!A313),_xlfn.TEXTAFTER('Additional Chemicals-WUO_ERR'!A313, ":"))))</f>
        <v/>
      </c>
    </row>
    <row r="314">
      <c r="A314" s="38">
        <f>IF('Additional Chemicals'!B314 = "", "", IF('Additional Chemicals-WUO_ERR'!A314 = "", "Validated", HYPERLINK("#" &amp; ADDRESS(314, 'Additional Chemicals-WUO_TRK'!A314),_xlfn.TEXTAFTER('Additional Chemicals-WUO_ERR'!A314, ":"))))</f>
        <v/>
      </c>
    </row>
    <row r="315">
      <c r="A315" s="38">
        <f>IF('Additional Chemicals'!B315 = "", "", IF('Additional Chemicals-WUO_ERR'!A315 = "", "Validated", HYPERLINK("#" &amp; ADDRESS(315, 'Additional Chemicals-WUO_TRK'!A315),_xlfn.TEXTAFTER('Additional Chemicals-WUO_ERR'!A315, ":"))))</f>
        <v/>
      </c>
    </row>
    <row r="316">
      <c r="A316" s="38">
        <f>IF('Additional Chemicals'!B316 = "", "", IF('Additional Chemicals-WUO_ERR'!A316 = "", "Validated", HYPERLINK("#" &amp; ADDRESS(316, 'Additional Chemicals-WUO_TRK'!A316),_xlfn.TEXTAFTER('Additional Chemicals-WUO_ERR'!A316, ":"))))</f>
        <v/>
      </c>
    </row>
    <row r="317">
      <c r="A317" s="38">
        <f>IF('Additional Chemicals'!B317 = "", "", IF('Additional Chemicals-WUO_ERR'!A317 = "", "Validated", HYPERLINK("#" &amp; ADDRESS(317, 'Additional Chemicals-WUO_TRK'!A317),_xlfn.TEXTAFTER('Additional Chemicals-WUO_ERR'!A317, ":"))))</f>
        <v/>
      </c>
    </row>
    <row r="318">
      <c r="A318" s="38">
        <f>IF('Additional Chemicals'!B318 = "", "", IF('Additional Chemicals-WUO_ERR'!A318 = "", "Validated", HYPERLINK("#" &amp; ADDRESS(318, 'Additional Chemicals-WUO_TRK'!A318),_xlfn.TEXTAFTER('Additional Chemicals-WUO_ERR'!A318, ":"))))</f>
        <v/>
      </c>
    </row>
    <row r="319">
      <c r="A319" s="38">
        <f>IF('Additional Chemicals'!B319 = "", "", IF('Additional Chemicals-WUO_ERR'!A319 = "", "Validated", HYPERLINK("#" &amp; ADDRESS(319, 'Additional Chemicals-WUO_TRK'!A319),_xlfn.TEXTAFTER('Additional Chemicals-WUO_ERR'!A319, ":"))))</f>
        <v/>
      </c>
    </row>
    <row r="320">
      <c r="A320" s="38">
        <f>IF('Additional Chemicals'!B320 = "", "", IF('Additional Chemicals-WUO_ERR'!A320 = "", "Validated", HYPERLINK("#" &amp; ADDRESS(320, 'Additional Chemicals-WUO_TRK'!A320),_xlfn.TEXTAFTER('Additional Chemicals-WUO_ERR'!A320, ":"))))</f>
        <v/>
      </c>
    </row>
    <row r="321">
      <c r="A321" s="38">
        <f>IF('Additional Chemicals'!B321 = "", "", IF('Additional Chemicals-WUO_ERR'!A321 = "", "Validated", HYPERLINK("#" &amp; ADDRESS(321, 'Additional Chemicals-WUO_TRK'!A321),_xlfn.TEXTAFTER('Additional Chemicals-WUO_ERR'!A321, ":"))))</f>
        <v/>
      </c>
    </row>
    <row r="322">
      <c r="A322" s="38">
        <f>IF('Additional Chemicals'!B322 = "", "", IF('Additional Chemicals-WUO_ERR'!A322 = "", "Validated", HYPERLINK("#" &amp; ADDRESS(322, 'Additional Chemicals-WUO_TRK'!A322),_xlfn.TEXTAFTER('Additional Chemicals-WUO_ERR'!A322, ":"))))</f>
        <v/>
      </c>
    </row>
    <row r="323">
      <c r="A323" s="38">
        <f>IF('Additional Chemicals'!B323 = "", "", IF('Additional Chemicals-WUO_ERR'!A323 = "", "Validated", HYPERLINK("#" &amp; ADDRESS(323, 'Additional Chemicals-WUO_TRK'!A323),_xlfn.TEXTAFTER('Additional Chemicals-WUO_ERR'!A323, ":"))))</f>
        <v/>
      </c>
    </row>
    <row r="324">
      <c r="A324" s="38">
        <f>IF('Additional Chemicals'!B324 = "", "", IF('Additional Chemicals-WUO_ERR'!A324 = "", "Validated", HYPERLINK("#" &amp; ADDRESS(324, 'Additional Chemicals-WUO_TRK'!A324),_xlfn.TEXTAFTER('Additional Chemicals-WUO_ERR'!A324, ":"))))</f>
        <v/>
      </c>
    </row>
    <row r="325">
      <c r="A325" s="38">
        <f>IF('Additional Chemicals'!B325 = "", "", IF('Additional Chemicals-WUO_ERR'!A325 = "", "Validated", HYPERLINK("#" &amp; ADDRESS(325, 'Additional Chemicals-WUO_TRK'!A325),_xlfn.TEXTAFTER('Additional Chemicals-WUO_ERR'!A325, ":"))))</f>
        <v/>
      </c>
    </row>
    <row r="326">
      <c r="A326" s="38">
        <f>IF('Additional Chemicals'!B326 = "", "", IF('Additional Chemicals-WUO_ERR'!A326 = "", "Validated", HYPERLINK("#" &amp; ADDRESS(326, 'Additional Chemicals-WUO_TRK'!A326),_xlfn.TEXTAFTER('Additional Chemicals-WUO_ERR'!A326, ":"))))</f>
        <v/>
      </c>
    </row>
    <row r="327">
      <c r="A327" s="38">
        <f>IF('Additional Chemicals'!B327 = "", "", IF('Additional Chemicals-WUO_ERR'!A327 = "", "Validated", HYPERLINK("#" &amp; ADDRESS(327, 'Additional Chemicals-WUO_TRK'!A327),_xlfn.TEXTAFTER('Additional Chemicals-WUO_ERR'!A327, ":"))))</f>
        <v/>
      </c>
    </row>
    <row r="328">
      <c r="A328" s="38">
        <f>IF('Additional Chemicals'!B328 = "", "", IF('Additional Chemicals-WUO_ERR'!A328 = "", "Validated", HYPERLINK("#" &amp; ADDRESS(328, 'Additional Chemicals-WUO_TRK'!A328),_xlfn.TEXTAFTER('Additional Chemicals-WUO_ERR'!A328, ":"))))</f>
        <v/>
      </c>
    </row>
    <row r="329">
      <c r="A329" s="38">
        <f>IF('Additional Chemicals'!B329 = "", "", IF('Additional Chemicals-WUO_ERR'!A329 = "", "Validated", HYPERLINK("#" &amp; ADDRESS(329, 'Additional Chemicals-WUO_TRK'!A329),_xlfn.TEXTAFTER('Additional Chemicals-WUO_ERR'!A329, ":"))))</f>
        <v/>
      </c>
    </row>
    <row r="330">
      <c r="A330" s="38">
        <f>IF('Additional Chemicals'!B330 = "", "", IF('Additional Chemicals-WUO_ERR'!A330 = "", "Validated", HYPERLINK("#" &amp; ADDRESS(330, 'Additional Chemicals-WUO_TRK'!A330),_xlfn.TEXTAFTER('Additional Chemicals-WUO_ERR'!A330, ":"))))</f>
        <v/>
      </c>
    </row>
    <row r="331">
      <c r="A331" s="38">
        <f>IF('Additional Chemicals'!B331 = "", "", IF('Additional Chemicals-WUO_ERR'!A331 = "", "Validated", HYPERLINK("#" &amp; ADDRESS(331, 'Additional Chemicals-WUO_TRK'!A331),_xlfn.TEXTAFTER('Additional Chemicals-WUO_ERR'!A331, ":"))))</f>
        <v/>
      </c>
    </row>
    <row r="332">
      <c r="A332" s="38">
        <f>IF('Additional Chemicals'!B332 = "", "", IF('Additional Chemicals-WUO_ERR'!A332 = "", "Validated", HYPERLINK("#" &amp; ADDRESS(332, 'Additional Chemicals-WUO_TRK'!A332),_xlfn.TEXTAFTER('Additional Chemicals-WUO_ERR'!A332, ":"))))</f>
        <v/>
      </c>
    </row>
    <row r="333">
      <c r="A333" s="38">
        <f>IF('Additional Chemicals'!B333 = "", "", IF('Additional Chemicals-WUO_ERR'!A333 = "", "Validated", HYPERLINK("#" &amp; ADDRESS(333, 'Additional Chemicals-WUO_TRK'!A333),_xlfn.TEXTAFTER('Additional Chemicals-WUO_ERR'!A333, ":"))))</f>
        <v/>
      </c>
    </row>
    <row r="334">
      <c r="A334" s="38">
        <f>IF('Additional Chemicals'!B334 = "", "", IF('Additional Chemicals-WUO_ERR'!A334 = "", "Validated", HYPERLINK("#" &amp; ADDRESS(334, 'Additional Chemicals-WUO_TRK'!A334),_xlfn.TEXTAFTER('Additional Chemicals-WUO_ERR'!A334, ":"))))</f>
        <v/>
      </c>
    </row>
    <row r="335">
      <c r="A335" s="38">
        <f>IF('Additional Chemicals'!B335 = "", "", IF('Additional Chemicals-WUO_ERR'!A335 = "", "Validated", HYPERLINK("#" &amp; ADDRESS(335, 'Additional Chemicals-WUO_TRK'!A335),_xlfn.TEXTAFTER('Additional Chemicals-WUO_ERR'!A335, ":"))))</f>
        <v/>
      </c>
    </row>
    <row r="336">
      <c r="A336" s="38">
        <f>IF('Additional Chemicals'!B336 = "", "", IF('Additional Chemicals-WUO_ERR'!A336 = "", "Validated", HYPERLINK("#" &amp; ADDRESS(336, 'Additional Chemicals-WUO_TRK'!A336),_xlfn.TEXTAFTER('Additional Chemicals-WUO_ERR'!A336, ":"))))</f>
        <v/>
      </c>
    </row>
    <row r="337">
      <c r="A337" s="38">
        <f>IF('Additional Chemicals'!B337 = "", "", IF('Additional Chemicals-WUO_ERR'!A337 = "", "Validated", HYPERLINK("#" &amp; ADDRESS(337, 'Additional Chemicals-WUO_TRK'!A337),_xlfn.TEXTAFTER('Additional Chemicals-WUO_ERR'!A337, ":"))))</f>
        <v/>
      </c>
    </row>
    <row r="338">
      <c r="A338" s="38">
        <f>IF('Additional Chemicals'!B338 = "", "", IF('Additional Chemicals-WUO_ERR'!A338 = "", "Validated", HYPERLINK("#" &amp; ADDRESS(338, 'Additional Chemicals-WUO_TRK'!A338),_xlfn.TEXTAFTER('Additional Chemicals-WUO_ERR'!A338, ":"))))</f>
        <v/>
      </c>
    </row>
    <row r="339">
      <c r="A339" s="38">
        <f>IF('Additional Chemicals'!B339 = "", "", IF('Additional Chemicals-WUO_ERR'!A339 = "", "Validated", HYPERLINK("#" &amp; ADDRESS(339, 'Additional Chemicals-WUO_TRK'!A339),_xlfn.TEXTAFTER('Additional Chemicals-WUO_ERR'!A339, ":"))))</f>
        <v/>
      </c>
    </row>
    <row r="340">
      <c r="A340" s="38">
        <f>IF('Additional Chemicals'!B340 = "", "", IF('Additional Chemicals-WUO_ERR'!A340 = "", "Validated", HYPERLINK("#" &amp; ADDRESS(340, 'Additional Chemicals-WUO_TRK'!A340),_xlfn.TEXTAFTER('Additional Chemicals-WUO_ERR'!A340, ":"))))</f>
        <v/>
      </c>
    </row>
    <row r="341">
      <c r="A341" s="38">
        <f>IF('Additional Chemicals'!B341 = "", "", IF('Additional Chemicals-WUO_ERR'!A341 = "", "Validated", HYPERLINK("#" &amp; ADDRESS(341, 'Additional Chemicals-WUO_TRK'!A341),_xlfn.TEXTAFTER('Additional Chemicals-WUO_ERR'!A341, ":"))))</f>
        <v/>
      </c>
    </row>
    <row r="342">
      <c r="A342" s="38">
        <f>IF('Additional Chemicals'!B342 = "", "", IF('Additional Chemicals-WUO_ERR'!A342 = "", "Validated", HYPERLINK("#" &amp; ADDRESS(342, 'Additional Chemicals-WUO_TRK'!A342),_xlfn.TEXTAFTER('Additional Chemicals-WUO_ERR'!A342, ":"))))</f>
        <v/>
      </c>
    </row>
    <row r="343">
      <c r="A343" s="38">
        <f>IF('Additional Chemicals'!B343 = "", "", IF('Additional Chemicals-WUO_ERR'!A343 = "", "Validated", HYPERLINK("#" &amp; ADDRESS(343, 'Additional Chemicals-WUO_TRK'!A343),_xlfn.TEXTAFTER('Additional Chemicals-WUO_ERR'!A343, ":"))))</f>
        <v/>
      </c>
    </row>
    <row r="344">
      <c r="A344" s="38">
        <f>IF('Additional Chemicals'!B344 = "", "", IF('Additional Chemicals-WUO_ERR'!A344 = "", "Validated", HYPERLINK("#" &amp; ADDRESS(344, 'Additional Chemicals-WUO_TRK'!A344),_xlfn.TEXTAFTER('Additional Chemicals-WUO_ERR'!A344, ":"))))</f>
        <v/>
      </c>
    </row>
    <row r="345">
      <c r="A345" s="38">
        <f>IF('Additional Chemicals'!B345 = "", "", IF('Additional Chemicals-WUO_ERR'!A345 = "", "Validated", HYPERLINK("#" &amp; ADDRESS(345, 'Additional Chemicals-WUO_TRK'!A345),_xlfn.TEXTAFTER('Additional Chemicals-WUO_ERR'!A345, ":"))))</f>
        <v/>
      </c>
    </row>
    <row r="346">
      <c r="A346" s="38">
        <f>IF('Additional Chemicals'!B346 = "", "", IF('Additional Chemicals-WUO_ERR'!A346 = "", "Validated", HYPERLINK("#" &amp; ADDRESS(346, 'Additional Chemicals-WUO_TRK'!A346),_xlfn.TEXTAFTER('Additional Chemicals-WUO_ERR'!A346, ":"))))</f>
        <v/>
      </c>
    </row>
    <row r="347">
      <c r="A347" s="38">
        <f>IF('Additional Chemicals'!B347 = "", "", IF('Additional Chemicals-WUO_ERR'!A347 = "", "Validated", HYPERLINK("#" &amp; ADDRESS(347, 'Additional Chemicals-WUO_TRK'!A347),_xlfn.TEXTAFTER('Additional Chemicals-WUO_ERR'!A347, ":"))))</f>
        <v/>
      </c>
    </row>
    <row r="348">
      <c r="A348" s="38">
        <f>IF('Additional Chemicals'!B348 = "", "", IF('Additional Chemicals-WUO_ERR'!A348 = "", "Validated", HYPERLINK("#" &amp; ADDRESS(348, 'Additional Chemicals-WUO_TRK'!A348),_xlfn.TEXTAFTER('Additional Chemicals-WUO_ERR'!A348, ":"))))</f>
        <v/>
      </c>
    </row>
    <row r="349">
      <c r="A349" s="38">
        <f>IF('Additional Chemicals'!B349 = "", "", IF('Additional Chemicals-WUO_ERR'!A349 = "", "Validated", HYPERLINK("#" &amp; ADDRESS(349, 'Additional Chemicals-WUO_TRK'!A349),_xlfn.TEXTAFTER('Additional Chemicals-WUO_ERR'!A349, ":"))))</f>
        <v/>
      </c>
    </row>
    <row r="350">
      <c r="A350" s="38">
        <f>IF('Additional Chemicals'!B350 = "", "", IF('Additional Chemicals-WUO_ERR'!A350 = "", "Validated", HYPERLINK("#" &amp; ADDRESS(350, 'Additional Chemicals-WUO_TRK'!A350),_xlfn.TEXTAFTER('Additional Chemicals-WUO_ERR'!A350, ":"))))</f>
        <v/>
      </c>
    </row>
    <row r="351">
      <c r="A351" s="38">
        <f>IF('Additional Chemicals'!B351 = "", "", IF('Additional Chemicals-WUO_ERR'!A351 = "", "Validated", HYPERLINK("#" &amp; ADDRESS(351, 'Additional Chemicals-WUO_TRK'!A351),_xlfn.TEXTAFTER('Additional Chemicals-WUO_ERR'!A351, ":"))))</f>
        <v/>
      </c>
    </row>
    <row r="352">
      <c r="A352" s="38">
        <f>IF('Additional Chemicals'!B352 = "", "", IF('Additional Chemicals-WUO_ERR'!A352 = "", "Validated", HYPERLINK("#" &amp; ADDRESS(352, 'Additional Chemicals-WUO_TRK'!A352),_xlfn.TEXTAFTER('Additional Chemicals-WUO_ERR'!A352, ":"))))</f>
        <v/>
      </c>
    </row>
    <row r="353">
      <c r="A353" s="38">
        <f>IF('Additional Chemicals'!B353 = "", "", IF('Additional Chemicals-WUO_ERR'!A353 = "", "Validated", HYPERLINK("#" &amp; ADDRESS(353, 'Additional Chemicals-WUO_TRK'!A353),_xlfn.TEXTAFTER('Additional Chemicals-WUO_ERR'!A353, ":"))))</f>
        <v/>
      </c>
    </row>
    <row r="354">
      <c r="A354" s="38">
        <f>IF('Additional Chemicals'!B354 = "", "", IF('Additional Chemicals-WUO_ERR'!A354 = "", "Validated", HYPERLINK("#" &amp; ADDRESS(354, 'Additional Chemicals-WUO_TRK'!A354),_xlfn.TEXTAFTER('Additional Chemicals-WUO_ERR'!A354, ":"))))</f>
        <v/>
      </c>
    </row>
    <row r="355">
      <c r="A355" s="38">
        <f>IF('Additional Chemicals'!B355 = "", "", IF('Additional Chemicals-WUO_ERR'!A355 = "", "Validated", HYPERLINK("#" &amp; ADDRESS(355, 'Additional Chemicals-WUO_TRK'!A355),_xlfn.TEXTAFTER('Additional Chemicals-WUO_ERR'!A355, ":"))))</f>
        <v/>
      </c>
    </row>
    <row r="356">
      <c r="A356" s="38">
        <f>IF('Additional Chemicals'!B356 = "", "", IF('Additional Chemicals-WUO_ERR'!A356 = "", "Validated", HYPERLINK("#" &amp; ADDRESS(356, 'Additional Chemicals-WUO_TRK'!A356),_xlfn.TEXTAFTER('Additional Chemicals-WUO_ERR'!A356, ":"))))</f>
        <v/>
      </c>
    </row>
    <row r="357">
      <c r="A357" s="38">
        <f>IF('Additional Chemicals'!B357 = "", "", IF('Additional Chemicals-WUO_ERR'!A357 = "", "Validated", HYPERLINK("#" &amp; ADDRESS(357, 'Additional Chemicals-WUO_TRK'!A357),_xlfn.TEXTAFTER('Additional Chemicals-WUO_ERR'!A357, ":"))))</f>
        <v/>
      </c>
    </row>
    <row r="358">
      <c r="A358" s="38">
        <f>IF('Additional Chemicals'!B358 = "", "", IF('Additional Chemicals-WUO_ERR'!A358 = "", "Validated", HYPERLINK("#" &amp; ADDRESS(358, 'Additional Chemicals-WUO_TRK'!A358),_xlfn.TEXTAFTER('Additional Chemicals-WUO_ERR'!A358, ":"))))</f>
        <v/>
      </c>
    </row>
    <row r="359">
      <c r="A359" s="38">
        <f>IF('Additional Chemicals'!B359 = "", "", IF('Additional Chemicals-WUO_ERR'!A359 = "", "Validated", HYPERLINK("#" &amp; ADDRESS(359, 'Additional Chemicals-WUO_TRK'!A359),_xlfn.TEXTAFTER('Additional Chemicals-WUO_ERR'!A359, ":"))))</f>
        <v/>
      </c>
    </row>
    <row r="360">
      <c r="A360" s="38">
        <f>IF('Additional Chemicals'!B360 = "", "", IF('Additional Chemicals-WUO_ERR'!A360 = "", "Validated", HYPERLINK("#" &amp; ADDRESS(360, 'Additional Chemicals-WUO_TRK'!A360),_xlfn.TEXTAFTER('Additional Chemicals-WUO_ERR'!A360, ":"))))</f>
        <v/>
      </c>
    </row>
    <row r="361">
      <c r="A361" s="38">
        <f>IF('Additional Chemicals'!B361 = "", "", IF('Additional Chemicals-WUO_ERR'!A361 = "", "Validated", HYPERLINK("#" &amp; ADDRESS(361, 'Additional Chemicals-WUO_TRK'!A361),_xlfn.TEXTAFTER('Additional Chemicals-WUO_ERR'!A361, ":"))))</f>
        <v/>
      </c>
    </row>
    <row r="362">
      <c r="A362" s="38">
        <f>IF('Additional Chemicals'!B362 = "", "", IF('Additional Chemicals-WUO_ERR'!A362 = "", "Validated", HYPERLINK("#" &amp; ADDRESS(362, 'Additional Chemicals-WUO_TRK'!A362),_xlfn.TEXTAFTER('Additional Chemicals-WUO_ERR'!A362, ":"))))</f>
        <v/>
      </c>
    </row>
    <row r="363">
      <c r="A363" s="38">
        <f>IF('Additional Chemicals'!B363 = "", "", IF('Additional Chemicals-WUO_ERR'!A363 = "", "Validated", HYPERLINK("#" &amp; ADDRESS(363, 'Additional Chemicals-WUO_TRK'!A363),_xlfn.TEXTAFTER('Additional Chemicals-WUO_ERR'!A363, ":"))))</f>
        <v/>
      </c>
    </row>
    <row r="364">
      <c r="A364" s="38">
        <f>IF('Additional Chemicals'!B364 = "", "", IF('Additional Chemicals-WUO_ERR'!A364 = "", "Validated", HYPERLINK("#" &amp; ADDRESS(364, 'Additional Chemicals-WUO_TRK'!A364),_xlfn.TEXTAFTER('Additional Chemicals-WUO_ERR'!A364, ":"))))</f>
        <v/>
      </c>
    </row>
    <row r="365">
      <c r="A365" s="38">
        <f>IF('Additional Chemicals'!B365 = "", "", IF('Additional Chemicals-WUO_ERR'!A365 = "", "Validated", HYPERLINK("#" &amp; ADDRESS(365, 'Additional Chemicals-WUO_TRK'!A365),_xlfn.TEXTAFTER('Additional Chemicals-WUO_ERR'!A365, ":"))))</f>
        <v/>
      </c>
    </row>
    <row r="366">
      <c r="A366" s="38">
        <f>IF('Additional Chemicals'!B366 = "", "", IF('Additional Chemicals-WUO_ERR'!A366 = "", "Validated", HYPERLINK("#" &amp; ADDRESS(366, 'Additional Chemicals-WUO_TRK'!A366),_xlfn.TEXTAFTER('Additional Chemicals-WUO_ERR'!A366, ":"))))</f>
        <v/>
      </c>
    </row>
    <row r="367">
      <c r="A367" s="38">
        <f>IF('Additional Chemicals'!B367 = "", "", IF('Additional Chemicals-WUO_ERR'!A367 = "", "Validated", HYPERLINK("#" &amp; ADDRESS(367, 'Additional Chemicals-WUO_TRK'!A367),_xlfn.TEXTAFTER('Additional Chemicals-WUO_ERR'!A367, ":"))))</f>
        <v/>
      </c>
    </row>
    <row r="368">
      <c r="A368" s="38">
        <f>IF('Additional Chemicals'!B368 = "", "", IF('Additional Chemicals-WUO_ERR'!A368 = "", "Validated", HYPERLINK("#" &amp; ADDRESS(368, 'Additional Chemicals-WUO_TRK'!A368),_xlfn.TEXTAFTER('Additional Chemicals-WUO_ERR'!A368, ":"))))</f>
        <v/>
      </c>
    </row>
    <row r="369">
      <c r="A369" s="38">
        <f>IF('Additional Chemicals'!B369 = "", "", IF('Additional Chemicals-WUO_ERR'!A369 = "", "Validated", HYPERLINK("#" &amp; ADDRESS(369, 'Additional Chemicals-WUO_TRK'!A369),_xlfn.TEXTAFTER('Additional Chemicals-WUO_ERR'!A369, ":"))))</f>
        <v/>
      </c>
    </row>
    <row r="370">
      <c r="A370" s="38">
        <f>IF('Additional Chemicals'!B370 = "", "", IF('Additional Chemicals-WUO_ERR'!A370 = "", "Validated", HYPERLINK("#" &amp; ADDRESS(370, 'Additional Chemicals-WUO_TRK'!A370),_xlfn.TEXTAFTER('Additional Chemicals-WUO_ERR'!A370, ":"))))</f>
        <v/>
      </c>
    </row>
    <row r="371">
      <c r="A371" s="38">
        <f>IF('Additional Chemicals'!B371 = "", "", IF('Additional Chemicals-WUO_ERR'!A371 = "", "Validated", HYPERLINK("#" &amp; ADDRESS(371, 'Additional Chemicals-WUO_TRK'!A371),_xlfn.TEXTAFTER('Additional Chemicals-WUO_ERR'!A371, ":"))))</f>
        <v/>
      </c>
    </row>
    <row r="372">
      <c r="A372" s="38">
        <f>IF('Additional Chemicals'!B372 = "", "", IF('Additional Chemicals-WUO_ERR'!A372 = "", "Validated", HYPERLINK("#" &amp; ADDRESS(372, 'Additional Chemicals-WUO_TRK'!A372),_xlfn.TEXTAFTER('Additional Chemicals-WUO_ERR'!A372, ":"))))</f>
        <v/>
      </c>
    </row>
    <row r="373">
      <c r="A373" s="38">
        <f>IF('Additional Chemicals'!B373 = "", "", IF('Additional Chemicals-WUO_ERR'!A373 = "", "Validated", HYPERLINK("#" &amp; ADDRESS(373, 'Additional Chemicals-WUO_TRK'!A373),_xlfn.TEXTAFTER('Additional Chemicals-WUO_ERR'!A373, ":"))))</f>
        <v/>
      </c>
    </row>
    <row r="374">
      <c r="A374" s="38">
        <f>IF('Additional Chemicals'!B374 = "", "", IF('Additional Chemicals-WUO_ERR'!A374 = "", "Validated", HYPERLINK("#" &amp; ADDRESS(374, 'Additional Chemicals-WUO_TRK'!A374),_xlfn.TEXTAFTER('Additional Chemicals-WUO_ERR'!A374, ":"))))</f>
        <v/>
      </c>
    </row>
    <row r="375">
      <c r="A375" s="38">
        <f>IF('Additional Chemicals'!B375 = "", "", IF('Additional Chemicals-WUO_ERR'!A375 = "", "Validated", HYPERLINK("#" &amp; ADDRESS(375, 'Additional Chemicals-WUO_TRK'!A375),_xlfn.TEXTAFTER('Additional Chemicals-WUO_ERR'!A375, ":"))))</f>
        <v/>
      </c>
    </row>
    <row r="376">
      <c r="A376" s="38">
        <f>IF('Additional Chemicals'!B376 = "", "", IF('Additional Chemicals-WUO_ERR'!A376 = "", "Validated", HYPERLINK("#" &amp; ADDRESS(376, 'Additional Chemicals-WUO_TRK'!A376),_xlfn.TEXTAFTER('Additional Chemicals-WUO_ERR'!A376, ":"))))</f>
        <v/>
      </c>
    </row>
    <row r="377">
      <c r="A377" s="38">
        <f>IF('Additional Chemicals'!B377 = "", "", IF('Additional Chemicals-WUO_ERR'!A377 = "", "Validated", HYPERLINK("#" &amp; ADDRESS(377, 'Additional Chemicals-WUO_TRK'!A377),_xlfn.TEXTAFTER('Additional Chemicals-WUO_ERR'!A377, ":"))))</f>
        <v/>
      </c>
    </row>
    <row r="378">
      <c r="A378" s="38">
        <f>IF('Additional Chemicals'!B378 = "", "", IF('Additional Chemicals-WUO_ERR'!A378 = "", "Validated", HYPERLINK("#" &amp; ADDRESS(378, 'Additional Chemicals-WUO_TRK'!A378),_xlfn.TEXTAFTER('Additional Chemicals-WUO_ERR'!A378, ":"))))</f>
        <v/>
      </c>
    </row>
    <row r="379">
      <c r="A379" s="38">
        <f>IF('Additional Chemicals'!B379 = "", "", IF('Additional Chemicals-WUO_ERR'!A379 = "", "Validated", HYPERLINK("#" &amp; ADDRESS(379, 'Additional Chemicals-WUO_TRK'!A379),_xlfn.TEXTAFTER('Additional Chemicals-WUO_ERR'!A379, ":"))))</f>
        <v/>
      </c>
    </row>
    <row r="380">
      <c r="A380" s="38">
        <f>IF('Additional Chemicals'!B380 = "", "", IF('Additional Chemicals-WUO_ERR'!A380 = "", "Validated", HYPERLINK("#" &amp; ADDRESS(380, 'Additional Chemicals-WUO_TRK'!A380),_xlfn.TEXTAFTER('Additional Chemicals-WUO_ERR'!A380, ":"))))</f>
        <v/>
      </c>
    </row>
    <row r="381">
      <c r="A381" s="38">
        <f>IF('Additional Chemicals'!B381 = "", "", IF('Additional Chemicals-WUO_ERR'!A381 = "", "Validated", HYPERLINK("#" &amp; ADDRESS(381, 'Additional Chemicals-WUO_TRK'!A381),_xlfn.TEXTAFTER('Additional Chemicals-WUO_ERR'!A381, ":"))))</f>
        <v/>
      </c>
    </row>
    <row r="382">
      <c r="A382" s="38">
        <f>IF('Additional Chemicals'!B382 = "", "", IF('Additional Chemicals-WUO_ERR'!A382 = "", "Validated", HYPERLINK("#" &amp; ADDRESS(382, 'Additional Chemicals-WUO_TRK'!A382),_xlfn.TEXTAFTER('Additional Chemicals-WUO_ERR'!A382, ":"))))</f>
        <v/>
      </c>
    </row>
    <row r="383">
      <c r="A383" s="38">
        <f>IF('Additional Chemicals'!B383 = "", "", IF('Additional Chemicals-WUO_ERR'!A383 = "", "Validated", HYPERLINK("#" &amp; ADDRESS(383, 'Additional Chemicals-WUO_TRK'!A383),_xlfn.TEXTAFTER('Additional Chemicals-WUO_ERR'!A383, ":"))))</f>
        <v/>
      </c>
    </row>
    <row r="384">
      <c r="A384" s="38">
        <f>IF('Additional Chemicals'!B384 = "", "", IF('Additional Chemicals-WUO_ERR'!A384 = "", "Validated", HYPERLINK("#" &amp; ADDRESS(384, 'Additional Chemicals-WUO_TRK'!A384),_xlfn.TEXTAFTER('Additional Chemicals-WUO_ERR'!A384, ":"))))</f>
        <v/>
      </c>
    </row>
    <row r="385">
      <c r="A385" s="38">
        <f>IF('Additional Chemicals'!B385 = "", "", IF('Additional Chemicals-WUO_ERR'!A385 = "", "Validated", HYPERLINK("#" &amp; ADDRESS(385, 'Additional Chemicals-WUO_TRK'!A385),_xlfn.TEXTAFTER('Additional Chemicals-WUO_ERR'!A385, ":"))))</f>
        <v/>
      </c>
    </row>
    <row r="386">
      <c r="A386" s="38">
        <f>IF('Additional Chemicals'!B386 = "", "", IF('Additional Chemicals-WUO_ERR'!A386 = "", "Validated", HYPERLINK("#" &amp; ADDRESS(386, 'Additional Chemicals-WUO_TRK'!A386),_xlfn.TEXTAFTER('Additional Chemicals-WUO_ERR'!A386, ":"))))</f>
        <v/>
      </c>
    </row>
    <row r="387">
      <c r="A387" s="38">
        <f>IF('Additional Chemicals'!B387 = "", "", IF('Additional Chemicals-WUO_ERR'!A387 = "", "Validated", HYPERLINK("#" &amp; ADDRESS(387, 'Additional Chemicals-WUO_TRK'!A387),_xlfn.TEXTAFTER('Additional Chemicals-WUO_ERR'!A387, ":"))))</f>
        <v/>
      </c>
    </row>
    <row r="388">
      <c r="A388" s="38">
        <f>IF('Additional Chemicals'!B388 = "", "", IF('Additional Chemicals-WUO_ERR'!A388 = "", "Validated", HYPERLINK("#" &amp; ADDRESS(388, 'Additional Chemicals-WUO_TRK'!A388),_xlfn.TEXTAFTER('Additional Chemicals-WUO_ERR'!A388, ":"))))</f>
        <v/>
      </c>
    </row>
    <row r="389">
      <c r="A389" s="38">
        <f>IF('Additional Chemicals'!B389 = "", "", IF('Additional Chemicals-WUO_ERR'!A389 = "", "Validated", HYPERLINK("#" &amp; ADDRESS(389, 'Additional Chemicals-WUO_TRK'!A389),_xlfn.TEXTAFTER('Additional Chemicals-WUO_ERR'!A389, ":"))))</f>
        <v/>
      </c>
    </row>
    <row r="390">
      <c r="A390" s="38">
        <f>IF('Additional Chemicals'!B390 = "", "", IF('Additional Chemicals-WUO_ERR'!A390 = "", "Validated", HYPERLINK("#" &amp; ADDRESS(390, 'Additional Chemicals-WUO_TRK'!A390),_xlfn.TEXTAFTER('Additional Chemicals-WUO_ERR'!A390, ":"))))</f>
        <v/>
      </c>
    </row>
    <row r="391">
      <c r="A391" s="38">
        <f>IF('Additional Chemicals'!B391 = "", "", IF('Additional Chemicals-WUO_ERR'!A391 = "", "Validated", HYPERLINK("#" &amp; ADDRESS(391, 'Additional Chemicals-WUO_TRK'!A391),_xlfn.TEXTAFTER('Additional Chemicals-WUO_ERR'!A391, ":"))))</f>
        <v/>
      </c>
    </row>
    <row r="392">
      <c r="A392" s="38">
        <f>IF('Additional Chemicals'!B392 = "", "", IF('Additional Chemicals-WUO_ERR'!A392 = "", "Validated", HYPERLINK("#" &amp; ADDRESS(392, 'Additional Chemicals-WUO_TRK'!A392),_xlfn.TEXTAFTER('Additional Chemicals-WUO_ERR'!A392, ":"))))</f>
        <v/>
      </c>
    </row>
    <row r="393">
      <c r="A393" s="38">
        <f>IF('Additional Chemicals'!B393 = "", "", IF('Additional Chemicals-WUO_ERR'!A393 = "", "Validated", HYPERLINK("#" &amp; ADDRESS(393, 'Additional Chemicals-WUO_TRK'!A393),_xlfn.TEXTAFTER('Additional Chemicals-WUO_ERR'!A393, ":"))))</f>
        <v/>
      </c>
    </row>
    <row r="394">
      <c r="A394" s="38">
        <f>IF('Additional Chemicals'!B394 = "", "", IF('Additional Chemicals-WUO_ERR'!A394 = "", "Validated", HYPERLINK("#" &amp; ADDRESS(394, 'Additional Chemicals-WUO_TRK'!A394),_xlfn.TEXTAFTER('Additional Chemicals-WUO_ERR'!A394, ":"))))</f>
        <v/>
      </c>
    </row>
    <row r="395">
      <c r="A395" s="38">
        <f>IF('Additional Chemicals'!B395 = "", "", IF('Additional Chemicals-WUO_ERR'!A395 = "", "Validated", HYPERLINK("#" &amp; ADDRESS(395, 'Additional Chemicals-WUO_TRK'!A395),_xlfn.TEXTAFTER('Additional Chemicals-WUO_ERR'!A395, ":"))))</f>
        <v/>
      </c>
    </row>
    <row r="396">
      <c r="A396" s="38">
        <f>IF('Additional Chemicals'!B396 = "", "", IF('Additional Chemicals-WUO_ERR'!A396 = "", "Validated", HYPERLINK("#" &amp; ADDRESS(396, 'Additional Chemicals-WUO_TRK'!A396),_xlfn.TEXTAFTER('Additional Chemicals-WUO_ERR'!A396, ":"))))</f>
        <v/>
      </c>
    </row>
    <row r="397">
      <c r="A397" s="38">
        <f>IF('Additional Chemicals'!B397 = "", "", IF('Additional Chemicals-WUO_ERR'!A397 = "", "Validated", HYPERLINK("#" &amp; ADDRESS(397, 'Additional Chemicals-WUO_TRK'!A397),_xlfn.TEXTAFTER('Additional Chemicals-WUO_ERR'!A397, ":"))))</f>
        <v/>
      </c>
    </row>
    <row r="398">
      <c r="A398" s="38">
        <f>IF('Additional Chemicals'!B398 = "", "", IF('Additional Chemicals-WUO_ERR'!A398 = "", "Validated", HYPERLINK("#" &amp; ADDRESS(398, 'Additional Chemicals-WUO_TRK'!A398),_xlfn.TEXTAFTER('Additional Chemicals-WUO_ERR'!A398, ":"))))</f>
        <v/>
      </c>
    </row>
    <row r="399">
      <c r="A399" s="38">
        <f>IF('Additional Chemicals'!B399 = "", "", IF('Additional Chemicals-WUO_ERR'!A399 = "", "Validated", HYPERLINK("#" &amp; ADDRESS(399, 'Additional Chemicals-WUO_TRK'!A399),_xlfn.TEXTAFTER('Additional Chemicals-WUO_ERR'!A399, ":"))))</f>
        <v/>
      </c>
    </row>
    <row r="400">
      <c r="A400" s="38">
        <f>IF('Additional Chemicals'!B400 = "", "", IF('Additional Chemicals-WUO_ERR'!A400 = "", "Validated", HYPERLINK("#" &amp; ADDRESS(400, 'Additional Chemicals-WUO_TRK'!A400),_xlfn.TEXTAFTER('Additional Chemicals-WUO_ERR'!A400, ":"))))</f>
        <v/>
      </c>
    </row>
    <row r="401">
      <c r="A401" s="38">
        <f>IF('Additional Chemicals'!B401 = "", "", IF('Additional Chemicals-WUO_ERR'!A401 = "", "Validated", HYPERLINK("#" &amp; ADDRESS(401, 'Additional Chemicals-WUO_TRK'!A401),_xlfn.TEXTAFTER('Additional Chemicals-WUO_ERR'!A401, ":"))))</f>
        <v/>
      </c>
    </row>
    <row r="402">
      <c r="A402" s="38">
        <f>IF('Additional Chemicals'!B402 = "", "", IF('Additional Chemicals-WUO_ERR'!A402 = "", "Validated", HYPERLINK("#" &amp; ADDRESS(402, 'Additional Chemicals-WUO_TRK'!A402),_xlfn.TEXTAFTER('Additional Chemicals-WUO_ERR'!A402, ":"))))</f>
        <v/>
      </c>
    </row>
    <row r="403">
      <c r="A403" s="38">
        <f>IF('Additional Chemicals'!B403 = "", "", IF('Additional Chemicals-WUO_ERR'!A403 = "", "Validated", HYPERLINK("#" &amp; ADDRESS(403, 'Additional Chemicals-WUO_TRK'!A403),_xlfn.TEXTAFTER('Additional Chemicals-WUO_ERR'!A403, ":"))))</f>
        <v/>
      </c>
    </row>
    <row r="404">
      <c r="A404" s="38">
        <f>IF('Additional Chemicals'!B404 = "", "", IF('Additional Chemicals-WUO_ERR'!A404 = "", "Validated", HYPERLINK("#" &amp; ADDRESS(404, 'Additional Chemicals-WUO_TRK'!A404),_xlfn.TEXTAFTER('Additional Chemicals-WUO_ERR'!A404, ":"))))</f>
        <v/>
      </c>
    </row>
    <row r="405">
      <c r="A405" s="38">
        <f>IF('Additional Chemicals'!B405 = "", "", IF('Additional Chemicals-WUO_ERR'!A405 = "", "Validated", HYPERLINK("#" &amp; ADDRESS(405, 'Additional Chemicals-WUO_TRK'!A405),_xlfn.TEXTAFTER('Additional Chemicals-WUO_ERR'!A405, ":"))))</f>
        <v/>
      </c>
    </row>
    <row r="406">
      <c r="A406" s="38">
        <f>IF('Additional Chemicals'!B406 = "", "", IF('Additional Chemicals-WUO_ERR'!A406 = "", "Validated", HYPERLINK("#" &amp; ADDRESS(406, 'Additional Chemicals-WUO_TRK'!A406),_xlfn.TEXTAFTER('Additional Chemicals-WUO_ERR'!A406, ":"))))</f>
        <v/>
      </c>
    </row>
    <row r="407">
      <c r="A407" s="38">
        <f>IF('Additional Chemicals'!B407 = "", "", IF('Additional Chemicals-WUO_ERR'!A407 = "", "Validated", HYPERLINK("#" &amp; ADDRESS(407, 'Additional Chemicals-WUO_TRK'!A407),_xlfn.TEXTAFTER('Additional Chemicals-WUO_ERR'!A407, ":"))))</f>
        <v/>
      </c>
    </row>
    <row r="408">
      <c r="A408" s="38">
        <f>IF('Additional Chemicals'!B408 = "", "", IF('Additional Chemicals-WUO_ERR'!A408 = "", "Validated", HYPERLINK("#" &amp; ADDRESS(408, 'Additional Chemicals-WUO_TRK'!A408),_xlfn.TEXTAFTER('Additional Chemicals-WUO_ERR'!A408, ":"))))</f>
        <v/>
      </c>
    </row>
    <row r="409">
      <c r="A409" s="38">
        <f>IF('Additional Chemicals'!B409 = "", "", IF('Additional Chemicals-WUO_ERR'!A409 = "", "Validated", HYPERLINK("#" &amp; ADDRESS(409, 'Additional Chemicals-WUO_TRK'!A409),_xlfn.TEXTAFTER('Additional Chemicals-WUO_ERR'!A409, ":"))))</f>
        <v/>
      </c>
    </row>
    <row r="410">
      <c r="A410" s="38">
        <f>IF('Additional Chemicals'!B410 = "", "", IF('Additional Chemicals-WUO_ERR'!A410 = "", "Validated", HYPERLINK("#" &amp; ADDRESS(410, 'Additional Chemicals-WUO_TRK'!A410),_xlfn.TEXTAFTER('Additional Chemicals-WUO_ERR'!A410, ":"))))</f>
        <v/>
      </c>
    </row>
    <row r="411">
      <c r="A411" s="38">
        <f>IF('Additional Chemicals'!B411 = "", "", IF('Additional Chemicals-WUO_ERR'!A411 = "", "Validated", HYPERLINK("#" &amp; ADDRESS(411, 'Additional Chemicals-WUO_TRK'!A411),_xlfn.TEXTAFTER('Additional Chemicals-WUO_ERR'!A411, ":"))))</f>
        <v/>
      </c>
    </row>
    <row r="412">
      <c r="A412" s="38">
        <f>IF('Additional Chemicals'!B412 = "", "", IF('Additional Chemicals-WUO_ERR'!A412 = "", "Validated", HYPERLINK("#" &amp; ADDRESS(412, 'Additional Chemicals-WUO_TRK'!A412),_xlfn.TEXTAFTER('Additional Chemicals-WUO_ERR'!A412, ":"))))</f>
        <v/>
      </c>
    </row>
    <row r="413">
      <c r="A413" s="38">
        <f>IF('Additional Chemicals'!B413 = "", "", IF('Additional Chemicals-WUO_ERR'!A413 = "", "Validated", HYPERLINK("#" &amp; ADDRESS(413, 'Additional Chemicals-WUO_TRK'!A413),_xlfn.TEXTAFTER('Additional Chemicals-WUO_ERR'!A413, ":"))))</f>
        <v/>
      </c>
    </row>
    <row r="414">
      <c r="A414" s="38">
        <f>IF('Additional Chemicals'!B414 = "", "", IF('Additional Chemicals-WUO_ERR'!A414 = "", "Validated", HYPERLINK("#" &amp; ADDRESS(414, 'Additional Chemicals-WUO_TRK'!A414),_xlfn.TEXTAFTER('Additional Chemicals-WUO_ERR'!A414, ":"))))</f>
        <v/>
      </c>
    </row>
    <row r="415">
      <c r="A415" s="38">
        <f>IF('Additional Chemicals'!B415 = "", "", IF('Additional Chemicals-WUO_ERR'!A415 = "", "Validated", HYPERLINK("#" &amp; ADDRESS(415, 'Additional Chemicals-WUO_TRK'!A415),_xlfn.TEXTAFTER('Additional Chemicals-WUO_ERR'!A415, ":"))))</f>
        <v/>
      </c>
    </row>
    <row r="416">
      <c r="A416" s="38">
        <f>IF('Additional Chemicals'!B416 = "", "", IF('Additional Chemicals-WUO_ERR'!A416 = "", "Validated", HYPERLINK("#" &amp; ADDRESS(416, 'Additional Chemicals-WUO_TRK'!A416),_xlfn.TEXTAFTER('Additional Chemicals-WUO_ERR'!A416, ":"))))</f>
        <v/>
      </c>
    </row>
    <row r="417">
      <c r="A417" s="38">
        <f>IF('Additional Chemicals'!B417 = "", "", IF('Additional Chemicals-WUO_ERR'!A417 = "", "Validated", HYPERLINK("#" &amp; ADDRESS(417, 'Additional Chemicals-WUO_TRK'!A417),_xlfn.TEXTAFTER('Additional Chemicals-WUO_ERR'!A417, ":"))))</f>
        <v/>
      </c>
    </row>
    <row r="418">
      <c r="A418" s="38">
        <f>IF('Additional Chemicals'!B418 = "", "", IF('Additional Chemicals-WUO_ERR'!A418 = "", "Validated", HYPERLINK("#" &amp; ADDRESS(418, 'Additional Chemicals-WUO_TRK'!A418),_xlfn.TEXTAFTER('Additional Chemicals-WUO_ERR'!A418, ":"))))</f>
        <v/>
      </c>
    </row>
    <row r="419">
      <c r="A419" s="38">
        <f>IF('Additional Chemicals'!B419 = "", "", IF('Additional Chemicals-WUO_ERR'!A419 = "", "Validated", HYPERLINK("#" &amp; ADDRESS(419, 'Additional Chemicals-WUO_TRK'!A419),_xlfn.TEXTAFTER('Additional Chemicals-WUO_ERR'!A419, ":"))))</f>
        <v/>
      </c>
    </row>
    <row r="420">
      <c r="A420" s="38">
        <f>IF('Additional Chemicals'!B420 = "", "", IF('Additional Chemicals-WUO_ERR'!A420 = "", "Validated", HYPERLINK("#" &amp; ADDRESS(420, 'Additional Chemicals-WUO_TRK'!A420),_xlfn.TEXTAFTER('Additional Chemicals-WUO_ERR'!A420, ":"))))</f>
        <v/>
      </c>
    </row>
    <row r="421">
      <c r="A421" s="38">
        <f>IF('Additional Chemicals'!B421 = "", "", IF('Additional Chemicals-WUO_ERR'!A421 = "", "Validated", HYPERLINK("#" &amp; ADDRESS(421, 'Additional Chemicals-WUO_TRK'!A421),_xlfn.TEXTAFTER('Additional Chemicals-WUO_ERR'!A421, ":"))))</f>
        <v/>
      </c>
    </row>
    <row r="422">
      <c r="A422" s="38">
        <f>IF('Additional Chemicals'!B422 = "", "", IF('Additional Chemicals-WUO_ERR'!A422 = "", "Validated", HYPERLINK("#" &amp; ADDRESS(422, 'Additional Chemicals-WUO_TRK'!A422),_xlfn.TEXTAFTER('Additional Chemicals-WUO_ERR'!A422, ":"))))</f>
        <v/>
      </c>
    </row>
    <row r="423">
      <c r="A423" s="38">
        <f>IF('Additional Chemicals'!B423 = "", "", IF('Additional Chemicals-WUO_ERR'!A423 = "", "Validated", HYPERLINK("#" &amp; ADDRESS(423, 'Additional Chemicals-WUO_TRK'!A423),_xlfn.TEXTAFTER('Additional Chemicals-WUO_ERR'!A423, ":"))))</f>
        <v/>
      </c>
    </row>
    <row r="424">
      <c r="A424" s="38">
        <f>IF('Additional Chemicals'!B424 = "", "", IF('Additional Chemicals-WUO_ERR'!A424 = "", "Validated", HYPERLINK("#" &amp; ADDRESS(424, 'Additional Chemicals-WUO_TRK'!A424),_xlfn.TEXTAFTER('Additional Chemicals-WUO_ERR'!A424, ":"))))</f>
        <v/>
      </c>
    </row>
    <row r="425">
      <c r="A425" s="38">
        <f>IF('Additional Chemicals'!B425 = "", "", IF('Additional Chemicals-WUO_ERR'!A425 = "", "Validated", HYPERLINK("#" &amp; ADDRESS(425, 'Additional Chemicals-WUO_TRK'!A425),_xlfn.TEXTAFTER('Additional Chemicals-WUO_ERR'!A425, ":"))))</f>
        <v/>
      </c>
    </row>
    <row r="426">
      <c r="A426" s="38">
        <f>IF('Additional Chemicals'!B426 = "", "", IF('Additional Chemicals-WUO_ERR'!A426 = "", "Validated", HYPERLINK("#" &amp; ADDRESS(426, 'Additional Chemicals-WUO_TRK'!A426),_xlfn.TEXTAFTER('Additional Chemicals-WUO_ERR'!A426, ":"))))</f>
        <v/>
      </c>
    </row>
    <row r="427">
      <c r="A427" s="38">
        <f>IF('Additional Chemicals'!B427 = "", "", IF('Additional Chemicals-WUO_ERR'!A427 = "", "Validated", HYPERLINK("#" &amp; ADDRESS(427, 'Additional Chemicals-WUO_TRK'!A427),_xlfn.TEXTAFTER('Additional Chemicals-WUO_ERR'!A427, ":"))))</f>
        <v/>
      </c>
    </row>
    <row r="428">
      <c r="A428" s="38">
        <f>IF('Additional Chemicals'!B428 = "", "", IF('Additional Chemicals-WUO_ERR'!A428 = "", "Validated", HYPERLINK("#" &amp; ADDRESS(428, 'Additional Chemicals-WUO_TRK'!A428),_xlfn.TEXTAFTER('Additional Chemicals-WUO_ERR'!A428, ":"))))</f>
        <v/>
      </c>
    </row>
    <row r="429">
      <c r="A429" s="38">
        <f>IF('Additional Chemicals'!B429 = "", "", IF('Additional Chemicals-WUO_ERR'!A429 = "", "Validated", HYPERLINK("#" &amp; ADDRESS(429, 'Additional Chemicals-WUO_TRK'!A429),_xlfn.TEXTAFTER('Additional Chemicals-WUO_ERR'!A429, ":"))))</f>
        <v/>
      </c>
    </row>
    <row r="430">
      <c r="A430" s="38">
        <f>IF('Additional Chemicals'!B430 = "", "", IF('Additional Chemicals-WUO_ERR'!A430 = "", "Validated", HYPERLINK("#" &amp; ADDRESS(430, 'Additional Chemicals-WUO_TRK'!A430),_xlfn.TEXTAFTER('Additional Chemicals-WUO_ERR'!A430, ":"))))</f>
        <v/>
      </c>
    </row>
    <row r="431">
      <c r="A431" s="38">
        <f>IF('Additional Chemicals'!B431 = "", "", IF('Additional Chemicals-WUO_ERR'!A431 = "", "Validated", HYPERLINK("#" &amp; ADDRESS(431, 'Additional Chemicals-WUO_TRK'!A431),_xlfn.TEXTAFTER('Additional Chemicals-WUO_ERR'!A431, ":"))))</f>
        <v/>
      </c>
    </row>
    <row r="432">
      <c r="A432" s="38">
        <f>IF('Additional Chemicals'!B432 = "", "", IF('Additional Chemicals-WUO_ERR'!A432 = "", "Validated", HYPERLINK("#" &amp; ADDRESS(432, 'Additional Chemicals-WUO_TRK'!A432),_xlfn.TEXTAFTER('Additional Chemicals-WUO_ERR'!A432, ":"))))</f>
        <v/>
      </c>
    </row>
    <row r="433">
      <c r="A433" s="38">
        <f>IF('Additional Chemicals'!B433 = "", "", IF('Additional Chemicals-WUO_ERR'!A433 = "", "Validated", HYPERLINK("#" &amp; ADDRESS(433, 'Additional Chemicals-WUO_TRK'!A433),_xlfn.TEXTAFTER('Additional Chemicals-WUO_ERR'!A433, ":"))))</f>
        <v/>
      </c>
    </row>
    <row r="434">
      <c r="A434" s="38">
        <f>IF('Additional Chemicals'!B434 = "", "", IF('Additional Chemicals-WUO_ERR'!A434 = "", "Validated", HYPERLINK("#" &amp; ADDRESS(434, 'Additional Chemicals-WUO_TRK'!A434),_xlfn.TEXTAFTER('Additional Chemicals-WUO_ERR'!A434, ":"))))</f>
        <v/>
      </c>
    </row>
    <row r="435">
      <c r="A435" s="38">
        <f>IF('Additional Chemicals'!B435 = "", "", IF('Additional Chemicals-WUO_ERR'!A435 = "", "Validated", HYPERLINK("#" &amp; ADDRESS(435, 'Additional Chemicals-WUO_TRK'!A435),_xlfn.TEXTAFTER('Additional Chemicals-WUO_ERR'!A435, ":"))))</f>
        <v/>
      </c>
    </row>
    <row r="436">
      <c r="A436" s="38">
        <f>IF('Additional Chemicals'!B436 = "", "", IF('Additional Chemicals-WUO_ERR'!A436 = "", "Validated", HYPERLINK("#" &amp; ADDRESS(436, 'Additional Chemicals-WUO_TRK'!A436),_xlfn.TEXTAFTER('Additional Chemicals-WUO_ERR'!A436, ":"))))</f>
        <v/>
      </c>
    </row>
    <row r="437">
      <c r="A437" s="38">
        <f>IF('Additional Chemicals'!B437 = "", "", IF('Additional Chemicals-WUO_ERR'!A437 = "", "Validated", HYPERLINK("#" &amp; ADDRESS(437, 'Additional Chemicals-WUO_TRK'!A437),_xlfn.TEXTAFTER('Additional Chemicals-WUO_ERR'!A437, ":"))))</f>
        <v/>
      </c>
    </row>
    <row r="438">
      <c r="A438" s="38">
        <f>IF('Additional Chemicals'!B438 = "", "", IF('Additional Chemicals-WUO_ERR'!A438 = "", "Validated", HYPERLINK("#" &amp; ADDRESS(438, 'Additional Chemicals-WUO_TRK'!A438),_xlfn.TEXTAFTER('Additional Chemicals-WUO_ERR'!A438, ":"))))</f>
        <v/>
      </c>
    </row>
    <row r="439">
      <c r="A439" s="38">
        <f>IF('Additional Chemicals'!B439 = "", "", IF('Additional Chemicals-WUO_ERR'!A439 = "", "Validated", HYPERLINK("#" &amp; ADDRESS(439, 'Additional Chemicals-WUO_TRK'!A439),_xlfn.TEXTAFTER('Additional Chemicals-WUO_ERR'!A439, ":"))))</f>
        <v/>
      </c>
    </row>
    <row r="440">
      <c r="A440" s="38">
        <f>IF('Additional Chemicals'!B440 = "", "", IF('Additional Chemicals-WUO_ERR'!A440 = "", "Validated", HYPERLINK("#" &amp; ADDRESS(440, 'Additional Chemicals-WUO_TRK'!A440),_xlfn.TEXTAFTER('Additional Chemicals-WUO_ERR'!A440, ":"))))</f>
        <v/>
      </c>
    </row>
    <row r="441">
      <c r="A441" s="38">
        <f>IF('Additional Chemicals'!B441 = "", "", IF('Additional Chemicals-WUO_ERR'!A441 = "", "Validated", HYPERLINK("#" &amp; ADDRESS(441, 'Additional Chemicals-WUO_TRK'!A441),_xlfn.TEXTAFTER('Additional Chemicals-WUO_ERR'!A441, ":"))))</f>
        <v/>
      </c>
    </row>
    <row r="442">
      <c r="A442" s="38">
        <f>IF('Additional Chemicals'!B442 = "", "", IF('Additional Chemicals-WUO_ERR'!A442 = "", "Validated", HYPERLINK("#" &amp; ADDRESS(442, 'Additional Chemicals-WUO_TRK'!A442),_xlfn.TEXTAFTER('Additional Chemicals-WUO_ERR'!A442, ":"))))</f>
        <v/>
      </c>
    </row>
    <row r="443">
      <c r="A443" s="38">
        <f>IF('Additional Chemicals'!B443 = "", "", IF('Additional Chemicals-WUO_ERR'!A443 = "", "Validated", HYPERLINK("#" &amp; ADDRESS(443, 'Additional Chemicals-WUO_TRK'!A443),_xlfn.TEXTAFTER('Additional Chemicals-WUO_ERR'!A443, ":"))))</f>
        <v/>
      </c>
    </row>
    <row r="444">
      <c r="A444" s="38">
        <f>IF('Additional Chemicals'!B444 = "", "", IF('Additional Chemicals-WUO_ERR'!A444 = "", "Validated", HYPERLINK("#" &amp; ADDRESS(444, 'Additional Chemicals-WUO_TRK'!A444),_xlfn.TEXTAFTER('Additional Chemicals-WUO_ERR'!A444, ":"))))</f>
        <v/>
      </c>
    </row>
    <row r="445">
      <c r="A445" s="38">
        <f>IF('Additional Chemicals'!B445 = "", "", IF('Additional Chemicals-WUO_ERR'!A445 = "", "Validated", HYPERLINK("#" &amp; ADDRESS(445, 'Additional Chemicals-WUO_TRK'!A445),_xlfn.TEXTAFTER('Additional Chemicals-WUO_ERR'!A445, ":"))))</f>
        <v/>
      </c>
    </row>
    <row r="446">
      <c r="A446" s="38">
        <f>IF('Additional Chemicals'!B446 = "", "", IF('Additional Chemicals-WUO_ERR'!A446 = "", "Validated", HYPERLINK("#" &amp; ADDRESS(446, 'Additional Chemicals-WUO_TRK'!A446),_xlfn.TEXTAFTER('Additional Chemicals-WUO_ERR'!A446, ":"))))</f>
        <v/>
      </c>
    </row>
    <row r="447">
      <c r="A447" s="38">
        <f>IF('Additional Chemicals'!B447 = "", "", IF('Additional Chemicals-WUO_ERR'!A447 = "", "Validated", HYPERLINK("#" &amp; ADDRESS(447, 'Additional Chemicals-WUO_TRK'!A447),_xlfn.TEXTAFTER('Additional Chemicals-WUO_ERR'!A447, ":"))))</f>
        <v/>
      </c>
    </row>
    <row r="448">
      <c r="A448" s="38">
        <f>IF('Additional Chemicals'!B448 = "", "", IF('Additional Chemicals-WUO_ERR'!A448 = "", "Validated", HYPERLINK("#" &amp; ADDRESS(448, 'Additional Chemicals-WUO_TRK'!A448),_xlfn.TEXTAFTER('Additional Chemicals-WUO_ERR'!A448, ":"))))</f>
        <v/>
      </c>
    </row>
    <row r="449">
      <c r="A449" s="38">
        <f>IF('Additional Chemicals'!B449 = "", "", IF('Additional Chemicals-WUO_ERR'!A449 = "", "Validated", HYPERLINK("#" &amp; ADDRESS(449, 'Additional Chemicals-WUO_TRK'!A449),_xlfn.TEXTAFTER('Additional Chemicals-WUO_ERR'!A449, ":"))))</f>
        <v/>
      </c>
    </row>
    <row r="450">
      <c r="A450" s="38">
        <f>IF('Additional Chemicals'!B450 = "", "", IF('Additional Chemicals-WUO_ERR'!A450 = "", "Validated", HYPERLINK("#" &amp; ADDRESS(450, 'Additional Chemicals-WUO_TRK'!A450),_xlfn.TEXTAFTER('Additional Chemicals-WUO_ERR'!A450, ":"))))</f>
        <v/>
      </c>
    </row>
    <row r="451">
      <c r="A451" s="38">
        <f>IF('Additional Chemicals'!B451 = "", "", IF('Additional Chemicals-WUO_ERR'!A451 = "", "Validated", HYPERLINK("#" &amp; ADDRESS(451, 'Additional Chemicals-WUO_TRK'!A451),_xlfn.TEXTAFTER('Additional Chemicals-WUO_ERR'!A451, ":"))))</f>
        <v/>
      </c>
    </row>
    <row r="452">
      <c r="A452" s="38">
        <f>IF('Additional Chemicals'!B452 = "", "", IF('Additional Chemicals-WUO_ERR'!A452 = "", "Validated", HYPERLINK("#" &amp; ADDRESS(452, 'Additional Chemicals-WUO_TRK'!A452),_xlfn.TEXTAFTER('Additional Chemicals-WUO_ERR'!A452, ":"))))</f>
        <v/>
      </c>
    </row>
    <row r="453">
      <c r="A453" s="38">
        <f>IF('Additional Chemicals'!B453 = "", "", IF('Additional Chemicals-WUO_ERR'!A453 = "", "Validated", HYPERLINK("#" &amp; ADDRESS(453, 'Additional Chemicals-WUO_TRK'!A453),_xlfn.TEXTAFTER('Additional Chemicals-WUO_ERR'!A453, ":"))))</f>
        <v/>
      </c>
    </row>
    <row r="454">
      <c r="A454" s="38">
        <f>IF('Additional Chemicals'!B454 = "", "", IF('Additional Chemicals-WUO_ERR'!A454 = "", "Validated", HYPERLINK("#" &amp; ADDRESS(454, 'Additional Chemicals-WUO_TRK'!A454),_xlfn.TEXTAFTER('Additional Chemicals-WUO_ERR'!A454, ":"))))</f>
        <v/>
      </c>
    </row>
    <row r="455">
      <c r="A455" s="38">
        <f>IF('Additional Chemicals'!B455 = "", "", IF('Additional Chemicals-WUO_ERR'!A455 = "", "Validated", HYPERLINK("#" &amp; ADDRESS(455, 'Additional Chemicals-WUO_TRK'!A455),_xlfn.TEXTAFTER('Additional Chemicals-WUO_ERR'!A455, ":"))))</f>
        <v/>
      </c>
    </row>
    <row r="456">
      <c r="A456" s="38">
        <f>IF('Additional Chemicals'!B456 = "", "", IF('Additional Chemicals-WUO_ERR'!A456 = "", "Validated", HYPERLINK("#" &amp; ADDRESS(456, 'Additional Chemicals-WUO_TRK'!A456),_xlfn.TEXTAFTER('Additional Chemicals-WUO_ERR'!A456, ":"))))</f>
        <v/>
      </c>
    </row>
    <row r="457">
      <c r="A457" s="38">
        <f>IF('Additional Chemicals'!B457 = "", "", IF('Additional Chemicals-WUO_ERR'!A457 = "", "Validated", HYPERLINK("#" &amp; ADDRESS(457, 'Additional Chemicals-WUO_TRK'!A457),_xlfn.TEXTAFTER('Additional Chemicals-WUO_ERR'!A457, ":"))))</f>
        <v/>
      </c>
    </row>
    <row r="458">
      <c r="A458" s="38">
        <f>IF('Additional Chemicals'!B458 = "", "", IF('Additional Chemicals-WUO_ERR'!A458 = "", "Validated", HYPERLINK("#" &amp; ADDRESS(458, 'Additional Chemicals-WUO_TRK'!A458),_xlfn.TEXTAFTER('Additional Chemicals-WUO_ERR'!A458, ":"))))</f>
        <v/>
      </c>
    </row>
    <row r="459">
      <c r="A459" s="38">
        <f>IF('Additional Chemicals'!B459 = "", "", IF('Additional Chemicals-WUO_ERR'!A459 = "", "Validated", HYPERLINK("#" &amp; ADDRESS(459, 'Additional Chemicals-WUO_TRK'!A459),_xlfn.TEXTAFTER('Additional Chemicals-WUO_ERR'!A459, ":"))))</f>
        <v/>
      </c>
    </row>
    <row r="460">
      <c r="A460" s="38">
        <f>IF('Additional Chemicals'!B460 = "", "", IF('Additional Chemicals-WUO_ERR'!A460 = "", "Validated", HYPERLINK("#" &amp; ADDRESS(460, 'Additional Chemicals-WUO_TRK'!A460),_xlfn.TEXTAFTER('Additional Chemicals-WUO_ERR'!A460, ":"))))</f>
        <v/>
      </c>
    </row>
    <row r="461">
      <c r="A461" s="38">
        <f>IF('Additional Chemicals'!B461 = "", "", IF('Additional Chemicals-WUO_ERR'!A461 = "", "Validated", HYPERLINK("#" &amp; ADDRESS(461, 'Additional Chemicals-WUO_TRK'!A461),_xlfn.TEXTAFTER('Additional Chemicals-WUO_ERR'!A461, ":"))))</f>
        <v/>
      </c>
    </row>
    <row r="462">
      <c r="A462" s="38">
        <f>IF('Additional Chemicals'!B462 = "", "", IF('Additional Chemicals-WUO_ERR'!A462 = "", "Validated", HYPERLINK("#" &amp; ADDRESS(462, 'Additional Chemicals-WUO_TRK'!A462),_xlfn.TEXTAFTER('Additional Chemicals-WUO_ERR'!A462, ":"))))</f>
        <v/>
      </c>
    </row>
    <row r="463">
      <c r="A463" s="38">
        <f>IF('Additional Chemicals'!B463 = "", "", IF('Additional Chemicals-WUO_ERR'!A463 = "", "Validated", HYPERLINK("#" &amp; ADDRESS(463, 'Additional Chemicals-WUO_TRK'!A463),_xlfn.TEXTAFTER('Additional Chemicals-WUO_ERR'!A463, ":"))))</f>
        <v/>
      </c>
    </row>
    <row r="464">
      <c r="A464" s="38">
        <f>IF('Additional Chemicals'!B464 = "", "", IF('Additional Chemicals-WUO_ERR'!A464 = "", "Validated", HYPERLINK("#" &amp; ADDRESS(464, 'Additional Chemicals-WUO_TRK'!A464),_xlfn.TEXTAFTER('Additional Chemicals-WUO_ERR'!A464, ":"))))</f>
        <v/>
      </c>
    </row>
    <row r="465">
      <c r="A465" s="38">
        <f>IF('Additional Chemicals'!B465 = "", "", IF('Additional Chemicals-WUO_ERR'!A465 = "", "Validated", HYPERLINK("#" &amp; ADDRESS(465, 'Additional Chemicals-WUO_TRK'!A465),_xlfn.TEXTAFTER('Additional Chemicals-WUO_ERR'!A465, ":"))))</f>
        <v/>
      </c>
    </row>
    <row r="466">
      <c r="A466" s="38">
        <f>IF('Additional Chemicals'!B466 = "", "", IF('Additional Chemicals-WUO_ERR'!A466 = "", "Validated", HYPERLINK("#" &amp; ADDRESS(466, 'Additional Chemicals-WUO_TRK'!A466),_xlfn.TEXTAFTER('Additional Chemicals-WUO_ERR'!A466, ":"))))</f>
        <v/>
      </c>
    </row>
    <row r="467">
      <c r="A467" s="38">
        <f>IF('Additional Chemicals'!B467 = "", "", IF('Additional Chemicals-WUO_ERR'!A467 = "", "Validated", HYPERLINK("#" &amp; ADDRESS(467, 'Additional Chemicals-WUO_TRK'!A467),_xlfn.TEXTAFTER('Additional Chemicals-WUO_ERR'!A467, ":"))))</f>
        <v/>
      </c>
    </row>
    <row r="468">
      <c r="A468" s="38">
        <f>IF('Additional Chemicals'!B468 = "", "", IF('Additional Chemicals-WUO_ERR'!A468 = "", "Validated", HYPERLINK("#" &amp; ADDRESS(468, 'Additional Chemicals-WUO_TRK'!A468),_xlfn.TEXTAFTER('Additional Chemicals-WUO_ERR'!A468, ":"))))</f>
        <v/>
      </c>
    </row>
    <row r="469">
      <c r="A469" s="38">
        <f>IF('Additional Chemicals'!B469 = "", "", IF('Additional Chemicals-WUO_ERR'!A469 = "", "Validated", HYPERLINK("#" &amp; ADDRESS(469, 'Additional Chemicals-WUO_TRK'!A469),_xlfn.TEXTAFTER('Additional Chemicals-WUO_ERR'!A469, ":"))))</f>
        <v/>
      </c>
    </row>
    <row r="470">
      <c r="A470" s="38">
        <f>IF('Additional Chemicals'!B470 = "", "", IF('Additional Chemicals-WUO_ERR'!A470 = "", "Validated", HYPERLINK("#" &amp; ADDRESS(470, 'Additional Chemicals-WUO_TRK'!A470),_xlfn.TEXTAFTER('Additional Chemicals-WUO_ERR'!A470, ":"))))</f>
        <v/>
      </c>
    </row>
    <row r="471">
      <c r="A471" s="38">
        <f>IF('Additional Chemicals'!B471 = "", "", IF('Additional Chemicals-WUO_ERR'!A471 = "", "Validated", HYPERLINK("#" &amp; ADDRESS(471, 'Additional Chemicals-WUO_TRK'!A471),_xlfn.TEXTAFTER('Additional Chemicals-WUO_ERR'!A471, ":"))))</f>
        <v/>
      </c>
    </row>
    <row r="472">
      <c r="A472" s="38">
        <f>IF('Additional Chemicals'!B472 = "", "", IF('Additional Chemicals-WUO_ERR'!A472 = "", "Validated", HYPERLINK("#" &amp; ADDRESS(472, 'Additional Chemicals-WUO_TRK'!A472),_xlfn.TEXTAFTER('Additional Chemicals-WUO_ERR'!A472, ":"))))</f>
        <v/>
      </c>
    </row>
    <row r="473">
      <c r="A473" s="38">
        <f>IF('Additional Chemicals'!B473 = "", "", IF('Additional Chemicals-WUO_ERR'!A473 = "", "Validated", HYPERLINK("#" &amp; ADDRESS(473, 'Additional Chemicals-WUO_TRK'!A473),_xlfn.TEXTAFTER('Additional Chemicals-WUO_ERR'!A473, ":"))))</f>
        <v/>
      </c>
    </row>
    <row r="474">
      <c r="A474" s="38">
        <f>IF('Additional Chemicals'!B474 = "", "", IF('Additional Chemicals-WUO_ERR'!A474 = "", "Validated", HYPERLINK("#" &amp; ADDRESS(474, 'Additional Chemicals-WUO_TRK'!A474),_xlfn.TEXTAFTER('Additional Chemicals-WUO_ERR'!A474, ":"))))</f>
        <v/>
      </c>
    </row>
    <row r="475">
      <c r="A475" s="38">
        <f>IF('Additional Chemicals'!B475 = "", "", IF('Additional Chemicals-WUO_ERR'!A475 = "", "Validated", HYPERLINK("#" &amp; ADDRESS(475, 'Additional Chemicals-WUO_TRK'!A475),_xlfn.TEXTAFTER('Additional Chemicals-WUO_ERR'!A475, ":"))))</f>
        <v/>
      </c>
    </row>
    <row r="476">
      <c r="A476" s="38">
        <f>IF('Additional Chemicals'!B476 = "", "", IF('Additional Chemicals-WUO_ERR'!A476 = "", "Validated", HYPERLINK("#" &amp; ADDRESS(476, 'Additional Chemicals-WUO_TRK'!A476),_xlfn.TEXTAFTER('Additional Chemicals-WUO_ERR'!A476, ":"))))</f>
        <v/>
      </c>
    </row>
    <row r="477">
      <c r="A477" s="38">
        <f>IF('Additional Chemicals'!B477 = "", "", IF('Additional Chemicals-WUO_ERR'!A477 = "", "Validated", HYPERLINK("#" &amp; ADDRESS(477, 'Additional Chemicals-WUO_TRK'!A477),_xlfn.TEXTAFTER('Additional Chemicals-WUO_ERR'!A477, ":"))))</f>
        <v/>
      </c>
    </row>
    <row r="478">
      <c r="A478" s="38">
        <f>IF('Additional Chemicals'!B478 = "", "", IF('Additional Chemicals-WUO_ERR'!A478 = "", "Validated", HYPERLINK("#" &amp; ADDRESS(478, 'Additional Chemicals-WUO_TRK'!A478),_xlfn.TEXTAFTER('Additional Chemicals-WUO_ERR'!A478, ":"))))</f>
        <v/>
      </c>
    </row>
    <row r="479">
      <c r="A479" s="38">
        <f>IF('Additional Chemicals'!B479 = "", "", IF('Additional Chemicals-WUO_ERR'!A479 = "", "Validated", HYPERLINK("#" &amp; ADDRESS(479, 'Additional Chemicals-WUO_TRK'!A479),_xlfn.TEXTAFTER('Additional Chemicals-WUO_ERR'!A479, ":"))))</f>
        <v/>
      </c>
    </row>
    <row r="480">
      <c r="A480" s="38">
        <f>IF('Additional Chemicals'!B480 = "", "", IF('Additional Chemicals-WUO_ERR'!A480 = "", "Validated", HYPERLINK("#" &amp; ADDRESS(480, 'Additional Chemicals-WUO_TRK'!A480),_xlfn.TEXTAFTER('Additional Chemicals-WUO_ERR'!A480, ":"))))</f>
        <v/>
      </c>
    </row>
    <row r="481">
      <c r="A481" s="38">
        <f>IF('Additional Chemicals'!B481 = "", "", IF('Additional Chemicals-WUO_ERR'!A481 = "", "Validated", HYPERLINK("#" &amp; ADDRESS(481, 'Additional Chemicals-WUO_TRK'!A481),_xlfn.TEXTAFTER('Additional Chemicals-WUO_ERR'!A481, ":"))))</f>
        <v/>
      </c>
    </row>
    <row r="482">
      <c r="A482" s="38">
        <f>IF('Additional Chemicals'!B482 = "", "", IF('Additional Chemicals-WUO_ERR'!A482 = "", "Validated", HYPERLINK("#" &amp; ADDRESS(482, 'Additional Chemicals-WUO_TRK'!A482),_xlfn.TEXTAFTER('Additional Chemicals-WUO_ERR'!A482, ":"))))</f>
        <v/>
      </c>
    </row>
    <row r="483">
      <c r="A483" s="38">
        <f>IF('Additional Chemicals'!B483 = "", "", IF('Additional Chemicals-WUO_ERR'!A483 = "", "Validated", HYPERLINK("#" &amp; ADDRESS(483, 'Additional Chemicals-WUO_TRK'!A483),_xlfn.TEXTAFTER('Additional Chemicals-WUO_ERR'!A483, ":"))))</f>
        <v/>
      </c>
    </row>
    <row r="484">
      <c r="A484" s="38">
        <f>IF('Additional Chemicals'!B484 = "", "", IF('Additional Chemicals-WUO_ERR'!A484 = "", "Validated", HYPERLINK("#" &amp; ADDRESS(484, 'Additional Chemicals-WUO_TRK'!A484),_xlfn.TEXTAFTER('Additional Chemicals-WUO_ERR'!A484, ":"))))</f>
        <v/>
      </c>
    </row>
    <row r="485">
      <c r="A485" s="38">
        <f>IF('Additional Chemicals'!B485 = "", "", IF('Additional Chemicals-WUO_ERR'!A485 = "", "Validated", HYPERLINK("#" &amp; ADDRESS(485, 'Additional Chemicals-WUO_TRK'!A485),_xlfn.TEXTAFTER('Additional Chemicals-WUO_ERR'!A485, ":"))))</f>
        <v/>
      </c>
    </row>
    <row r="486">
      <c r="A486" s="38">
        <f>IF('Additional Chemicals'!B486 = "", "", IF('Additional Chemicals-WUO_ERR'!A486 = "", "Validated", HYPERLINK("#" &amp; ADDRESS(486, 'Additional Chemicals-WUO_TRK'!A486),_xlfn.TEXTAFTER('Additional Chemicals-WUO_ERR'!A486, ":"))))</f>
        <v/>
      </c>
    </row>
    <row r="487">
      <c r="A487" s="38">
        <f>IF('Additional Chemicals'!B487 = "", "", IF('Additional Chemicals-WUO_ERR'!A487 = "", "Validated", HYPERLINK("#" &amp; ADDRESS(487, 'Additional Chemicals-WUO_TRK'!A487),_xlfn.TEXTAFTER('Additional Chemicals-WUO_ERR'!A487, ":"))))</f>
        <v/>
      </c>
    </row>
    <row r="488">
      <c r="A488" s="38">
        <f>IF('Additional Chemicals'!B488 = "", "", IF('Additional Chemicals-WUO_ERR'!A488 = "", "Validated", HYPERLINK("#" &amp; ADDRESS(488, 'Additional Chemicals-WUO_TRK'!A488),_xlfn.TEXTAFTER('Additional Chemicals-WUO_ERR'!A488, ":"))))</f>
        <v/>
      </c>
    </row>
    <row r="489">
      <c r="A489" s="38">
        <f>IF('Additional Chemicals'!B489 = "", "", IF('Additional Chemicals-WUO_ERR'!A489 = "", "Validated", HYPERLINK("#" &amp; ADDRESS(489, 'Additional Chemicals-WUO_TRK'!A489),_xlfn.TEXTAFTER('Additional Chemicals-WUO_ERR'!A489, ":"))))</f>
        <v/>
      </c>
    </row>
    <row r="490">
      <c r="A490" s="38">
        <f>IF('Additional Chemicals'!B490 = "", "", IF('Additional Chemicals-WUO_ERR'!A490 = "", "Validated", HYPERLINK("#" &amp; ADDRESS(490, 'Additional Chemicals-WUO_TRK'!A490),_xlfn.TEXTAFTER('Additional Chemicals-WUO_ERR'!A490, ":"))))</f>
        <v/>
      </c>
    </row>
    <row r="491">
      <c r="A491" s="38">
        <f>IF('Additional Chemicals'!B491 = "", "", IF('Additional Chemicals-WUO_ERR'!A491 = "", "Validated", HYPERLINK("#" &amp; ADDRESS(491, 'Additional Chemicals-WUO_TRK'!A491),_xlfn.TEXTAFTER('Additional Chemicals-WUO_ERR'!A491, ":"))))</f>
        <v/>
      </c>
    </row>
    <row r="492">
      <c r="A492" s="38">
        <f>IF('Additional Chemicals'!B492 = "", "", IF('Additional Chemicals-WUO_ERR'!A492 = "", "Validated", HYPERLINK("#" &amp; ADDRESS(492, 'Additional Chemicals-WUO_TRK'!A492),_xlfn.TEXTAFTER('Additional Chemicals-WUO_ERR'!A492, ":"))))</f>
        <v/>
      </c>
    </row>
    <row r="493">
      <c r="A493" s="38">
        <f>IF('Additional Chemicals'!B493 = "", "", IF('Additional Chemicals-WUO_ERR'!A493 = "", "Validated", HYPERLINK("#" &amp; ADDRESS(493, 'Additional Chemicals-WUO_TRK'!A493),_xlfn.TEXTAFTER('Additional Chemicals-WUO_ERR'!A493, ":"))))</f>
        <v/>
      </c>
    </row>
    <row r="494">
      <c r="A494" s="38">
        <f>IF('Additional Chemicals'!B494 = "", "", IF('Additional Chemicals-WUO_ERR'!A494 = "", "Validated", HYPERLINK("#" &amp; ADDRESS(494, 'Additional Chemicals-WUO_TRK'!A494),_xlfn.TEXTAFTER('Additional Chemicals-WUO_ERR'!A494, ":"))))</f>
        <v/>
      </c>
    </row>
    <row r="495">
      <c r="A495" s="38">
        <f>IF('Additional Chemicals'!B495 = "", "", IF('Additional Chemicals-WUO_ERR'!A495 = "", "Validated", HYPERLINK("#" &amp; ADDRESS(495, 'Additional Chemicals-WUO_TRK'!A495),_xlfn.TEXTAFTER('Additional Chemicals-WUO_ERR'!A495, ":"))))</f>
        <v/>
      </c>
    </row>
    <row r="496">
      <c r="A496" s="38">
        <f>IF('Additional Chemicals'!B496 = "", "", IF('Additional Chemicals-WUO_ERR'!A496 = "", "Validated", HYPERLINK("#" &amp; ADDRESS(496, 'Additional Chemicals-WUO_TRK'!A496),_xlfn.TEXTAFTER('Additional Chemicals-WUO_ERR'!A496, ":"))))</f>
        <v/>
      </c>
    </row>
    <row r="497">
      <c r="A497" s="38">
        <f>IF('Additional Chemicals'!B497 = "", "", IF('Additional Chemicals-WUO_ERR'!A497 = "", "Validated", HYPERLINK("#" &amp; ADDRESS(497, 'Additional Chemicals-WUO_TRK'!A497),_xlfn.TEXTAFTER('Additional Chemicals-WUO_ERR'!A497, ":"))))</f>
        <v/>
      </c>
    </row>
    <row r="498">
      <c r="A498" s="38">
        <f>IF('Additional Chemicals'!B498 = "", "", IF('Additional Chemicals-WUO_ERR'!A498 = "", "Validated", HYPERLINK("#" &amp; ADDRESS(498, 'Additional Chemicals-WUO_TRK'!A498),_xlfn.TEXTAFTER('Additional Chemicals-WUO_ERR'!A498, ":"))))</f>
        <v/>
      </c>
    </row>
    <row r="499">
      <c r="A499" s="38">
        <f>IF('Additional Chemicals'!B499 = "", "", IF('Additional Chemicals-WUO_ERR'!A499 = "", "Validated", HYPERLINK("#" &amp; ADDRESS(499, 'Additional Chemicals-WUO_TRK'!A499),_xlfn.TEXTAFTER('Additional Chemicals-WUO_ERR'!A499, ":"))))</f>
        <v/>
      </c>
    </row>
    <row r="500">
      <c r="A500" s="38">
        <f>IF('Additional Chemicals'!B500 = "", "", IF('Additional Chemicals-WUO_ERR'!A500 = "", "Validated", HYPERLINK("#" &amp; ADDRESS(500, 'Additional Chemicals-WUO_TRK'!A500),_xlfn.TEXTAFTER('Additional Chemicals-WUO_ERR'!A500, ":"))))</f>
        <v/>
      </c>
    </row>
    <row r="501">
      <c r="A501" s="38">
        <f>IF('Additional Chemicals'!B501 = "", "", IF('Additional Chemicals-WUO_ERR'!A501 = "", "Validated", HYPERLINK("#" &amp; ADDRESS(501, 'Additional Chemicals-WUO_TRK'!A501),_xlfn.TEXTAFTER('Additional Chemicals-WUO_ERR'!A501, ":"))))</f>
        <v/>
      </c>
    </row>
    <row r="502">
      <c r="A502" s="38">
        <f>IF('Additional Chemicals'!B502 = "", "", IF('Additional Chemicals-WUO_ERR'!A502 = "", "Validated", HYPERLINK("#" &amp; ADDRESS(502, 'Additional Chemicals-WUO_TRK'!A502),_xlfn.TEXTAFTER('Additional Chemicals-WUO_ERR'!A502, ":"))))</f>
        <v/>
      </c>
    </row>
    <row r="503">
      <c r="A503" s="38">
        <f>IF('Additional Chemicals'!B503 = "", "", IF('Additional Chemicals-WUO_ERR'!A503 = "", "Validated", HYPERLINK("#" &amp; ADDRESS(503, 'Additional Chemicals-WUO_TRK'!A503),_xlfn.TEXTAFTER('Additional Chemicals-WUO_ERR'!A503, ":"))))</f>
        <v/>
      </c>
    </row>
    <row r="504">
      <c r="A504" s="38">
        <f>IF('Additional Chemicals'!B504 = "", "", IF('Additional Chemicals-WUO_ERR'!A504 = "", "Validated", HYPERLINK("#" &amp; ADDRESS(504, 'Additional Chemicals-WUO_TRK'!A504),_xlfn.TEXTAFTER('Additional Chemicals-WUO_ERR'!A504, ":"))))</f>
        <v/>
      </c>
    </row>
    <row r="505">
      <c r="A505" s="38">
        <f>IF('Additional Chemicals'!B505 = "", "", IF('Additional Chemicals-WUO_ERR'!A505 = "", "Validated", HYPERLINK("#" &amp; ADDRESS(505, 'Additional Chemicals-WUO_TRK'!A505),_xlfn.TEXTAFTER('Additional Chemicals-WUO_ERR'!A505, ":"))))</f>
        <v/>
      </c>
    </row>
    <row r="506">
      <c r="A506" s="38">
        <f>IF('Additional Chemicals'!B506 = "", "", IF('Additional Chemicals-WUO_ERR'!A506 = "", "Validated", HYPERLINK("#" &amp; ADDRESS(506, 'Additional Chemicals-WUO_TRK'!A506),_xlfn.TEXTAFTER('Additional Chemicals-WUO_ERR'!A506, ":"))))</f>
        <v/>
      </c>
    </row>
    <row r="507">
      <c r="A507" s="38">
        <f>IF('Additional Chemicals'!B507 = "", "", IF('Additional Chemicals-WUO_ERR'!A507 = "", "Validated", HYPERLINK("#" &amp; ADDRESS(507, 'Additional Chemicals-WUO_TRK'!A507),_xlfn.TEXTAFTER('Additional Chemicals-WUO_ERR'!A507, ":"))))</f>
        <v/>
      </c>
    </row>
  </sheetData>
  <sheetProtection selectLockedCells="0" selectUnlockedCells="0" sheet="1" objects="1" insertRows="1" insertHyperlinks="1" autoFilter="1" scenarios="1" formatColumns="0" deleteColumns="1" insertColumns="1" pivotTables="1" deleteRows="1" formatCells="1" formatRows="0" sort="1" password="8F06"/>
  <mergeCells count="1">
    <mergeCell ref="C2:D2"/>
  </mergeCells>
  <conditionalFormatting sqref="A7:A507">
    <cfRule type="expression" priority="5" dxfId="4">
      <formula>A7="Validated"</formula>
    </cfRule>
    <cfRule type="expression" priority="6" dxfId="5">
      <formula>OR(COUNTIF('Additional Chemicals-WUO_TRK'!B7:E7,"Error"),COUNTIF('Additional Chemicals-WUO_TRK'!B7:E7,"Required"))</formula>
    </cfRule>
    <cfRule type="expression" priority="7" dxfId="6">
      <formula>COUNTIF('Additional Chemicals-WUO_TRK'!B7:E7,"Warning")</formula>
    </cfRule>
  </conditionalFormatting>
  <conditionalFormatting sqref="B7:E507">
    <cfRule type="expression" priority="1" dxfId="0">
      <formula>'Additional Chemicals-WUO_TRK'!B7="Error"</formula>
    </cfRule>
    <cfRule type="expression" priority="2" dxfId="1">
      <formula>'Additional Chemicals-WUO_TRK'!B7="Required"</formula>
    </cfRule>
    <cfRule type="expression" priority="3" dxfId="2">
      <formula>'Additional Chemicals-WUO_TRK'!B7="Warning"</formula>
    </cfRule>
    <cfRule type="expression" priority="4" dxfId="3">
      <formula>'Additional Chemicals-WUO_TRK'!B7="Disabled"</formula>
    </cfRule>
  </conditionalFormatting>
  <dataValidations count="1">
    <dataValidation sqref="C7:C2500" showDropDown="0" showInputMessage="1" showErrorMessage="1" allowBlank="1" errorTitle="Invalid Chemical" error="The value provided is not a valid Chemical." promptTitle="Chemical" prompt="Please select a valid Chemical" type="list">
      <formula1>'WAYFAIR_USE_ONLY'!$BO$7:$BO908</formula1>
    </dataValidation>
  </dataValidations>
  <hyperlinks>
    <hyperlink ref="C6" location="'Valid Values'!F1" display="Select"/>
    <hyperlink ref="D6" location="'Valid Values'!G1" display="Please choose one or more from the following, using a semicolon (;) to separate each value: Cancer; Developmental"/>
  </hyperlinks>
  <pageMargins left="0.7" right="0.7" top="0.75" bottom="0.75" header="0.3" footer="0.3"/>
</worksheet>
</file>

<file path=xl/worksheets/sheet1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cols>
    <col width="25.7109375" customWidth="1" style="22" min="2" max="2"/>
    <col width="13.7109375" customWidth="1" style="22" min="3" max="4"/>
  </cols>
  <sheetData>
    <row r="1" hidden="1">
      <c r="B1" s="22" t="inlineStr">
        <is>
          <t>core::supplierPartNumber</t>
        </is>
      </c>
      <c r="C1" s="22" t="inlineStr">
        <is>
          <t>propSixtyFive::chemicalId</t>
        </is>
      </c>
      <c r="D1" s="22" t="inlineStr">
        <is>
          <t>propSixtyFive::toxicity</t>
        </is>
      </c>
    </row>
    <row r="3">
      <c r="B3" s="31" t="inlineStr">
        <is>
          <t>Required</t>
        </is>
      </c>
      <c r="C3" s="31" t="inlineStr">
        <is>
          <t>Conditional</t>
        </is>
      </c>
      <c r="D3" s="31" t="inlineStr">
        <is>
          <t>Conditional</t>
        </is>
      </c>
    </row>
    <row r="4" ht="50" customHeight="1">
      <c r="B4" s="19" t="inlineStr">
        <is>
          <t>Supplier Part Number</t>
        </is>
      </c>
      <c r="C4" s="19" t="inlineStr">
        <is>
          <t>Chemical</t>
        </is>
      </c>
      <c r="D4" s="19" t="inlineStr">
        <is>
          <t>Toxicity</t>
        </is>
      </c>
    </row>
    <row r="5" ht="50" customHeight="1">
      <c r="B5" s="34" t="inlineStr">
        <is>
          <t>Must be less than 64 characters and must be a unique value (products cannot be added if they have the same part number as something you already have in your catalog). This is the supplier-specific value for the product as it appears on your Inventory Feed and Purchased Orders.</t>
        </is>
      </c>
      <c r="C5" s="34" t="inlineStr">
        <is>
          <t>Select the chemical that requires the Prop65 warning.</t>
        </is>
      </c>
      <c r="D5" s="34" t="inlineStr">
        <is>
          <t>Select the toxicity that can result from the selected chemical.</t>
        </is>
      </c>
    </row>
    <row r="6" ht="50" customHeight="1">
      <c r="B6" s="34" t="inlineStr">
        <is>
          <t>Text</t>
        </is>
      </c>
      <c r="C6" s="35" t="inlineStr">
        <is>
          <t>Select</t>
        </is>
      </c>
      <c r="D6" s="35" t="inlineStr">
        <is>
          <t>Please choose one or more from the following, using a semicolon (;) to separate each value: Cancer; Developmental</t>
        </is>
      </c>
    </row>
    <row r="7">
      <c r="A7">
        <f t="array" ref="A7">_xlfn.BYROW(B7:E507, _xlfn.LAMBDA(_xlpm.r, _xlfn.LET(_xlpm.high_priority, IFERROR(INDEX(_xlpm.r, MATCH(TRUE, (_xlpm.r &lt;&gt; "") * ((LEFT(_xlpm.r, 2) = "1:") + (LEFT(_xlpm.r, 2) = "3:")) &gt; 0, 0)), ""), IF(_xlpm.high_priority &lt;&gt; "", _xlpm.high_priority, IFERROR(INDEX(_xlpm.r, MATCH(TRUE, (_xlpm.r &lt;&gt; "") * (LEFT(_xlpm.r, 2) = "4:") &gt; 0, 0)), "")))))</f>
        <v/>
      </c>
      <c r="B7" s="22">
        <f t="array" ref="B7">_xlfn.MAP('Additional Chemicals'!B7:B507, 'Additional Chemicals'!B7:B507, _xlfn.LAMBDA(_xlpm.part, _xlpm.val, IF(_xlpm.part = "", "", _xlfn.LET(_xlpm.check1, IF(OR(ISNUMBER(SEARCH({","}, _xlpm.val))), "1:Please enter a single value with no commas for the Supplier Part Number column", ""), IF(LEN(_xlpm.check1) &gt; 0, _xlpm.check1, _xlfn.LET(_xlpm.check2, IF(OR(ISNUMBER(SEARCH({"&lt;","&gt;","^","Ø","•","‣","⁃","⁌","™","∙","⌀","◦"}, _xlpm.val))), "1:Supplier Part Number cannot contain special characters ([™Ø⌀•‣◦⁃⁌⁍∙&lt;&gt;])", ""), IF(LEN(_xlpm.check2) &gt; 0, _xlpm.check2, IF(AND(_xlpm.val = "", B$3="Required"), "3:Supplier Part Number - Value is required", ""))))))))</f>
        <v/>
      </c>
      <c r="C7" s="22">
        <f t="array" ref="C7">_xlfn.MAP('Additional Chemicals'!B7:B507, 'Additional Chemicals'!C7:C507, 'Additional Chemicals'!D7:D507, _xlfn.LAMBDA(_xlpm.part, _xlpm.val, _xlpm.dep1, IF(_xlpm.part = "", "", _xlfn.LET(_xlpm.check1, IF(AND(_xlpm.val = "", C$3="Required"), "3:Chemical - Value is required", ""), IF(LEN(_xlpm.check1) &gt; 0, _xlpm.check1, IF(_xlpm.dep1 &lt;&gt; "", IF(_xlpm.val = "", "3:Please provide a chemical", ""), ""))))))</f>
        <v/>
      </c>
      <c r="D7" s="22">
        <f t="array" ref="D7">_xlfn.MAP('Additional Chemicals'!B7:B507, 'Additional Chemicals'!D7:D507, 'Additional Chemicals'!C7:C507, _xlfn.LAMBDA(_xlpm.part, _xlpm.val, _xlpm.dep1, IF(_xlpm.part = "", "", _xlfn.LET(_xlpm.check1, IF(NOT(ISBLANK(_xlpm.val)),_xlfn.LET(_xlpm.items, _xlfn.TEXTSPLIT(_xlpm.val, ";"),_xlpm.trimmed, _xlfn.MAP(_xlpm.items, _xlfn.LAMBDA(_xlpm.x, TRIM(_xlpm.x))),_xlpm.invalid, _xlfn._xlws.FILTER(_xlpm.trimmed, ISNA(MATCH(_xlpm.trimmed, allowedpropSixtyFive__toxicity, 0)), ""),IF(AND(_xlpm.invalid&lt;&gt;"", COUNTA(_xlpm.invalid)&gt;0),"1:Please select valid values from the provided list. Answers are case-sensitive and must be separated by a semicolon.","")), ""), IF(LEN(_xlpm.check1) &gt; 0, _xlpm.check1, _xlfn.LET(_xlpm.check2, IF(AND(_xlpm.val = "", D$3="Required"), "3:Toxicity - Value is required", ""), IF(LEN(_xlpm.check2) &gt; 0, _xlpm.check2, IF(_xlpm.dep1 &lt;&gt; "", IF(_xlpm.val = "", "3:Please select a toxicity from the provided dropdown", ""), ""))))))))</f>
        <v/>
      </c>
    </row>
  </sheetData>
  <sheetProtection selectLockedCells="0" selectUnlockedCells="0" sheet="1" objects="1" insertRows="1" insertHyperlinks="1" autoFilter="1" scenarios="1" formatColumns="1" deleteColumns="1" insertColumns="1" pivotTables="1" deleteRows="1" formatCells="1" formatRows="1" sort="1" password="D0D7"/>
  <hyperlinks>
    <hyperlink ref="C6" location="'Valid Values'!F1" display="Select"/>
    <hyperlink ref="D6" location="'Valid Values'!G1" display="Please choose one or more from the following, using a semicolon (;) to separate each value: Cancer; Developmental"/>
  </hyperlinks>
  <pageMargins left="0.7" right="0.7" top="0.75" bottom="0.75" header="0.3" footer="0.3"/>
</worksheet>
</file>

<file path=xl/worksheets/sheet12.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cols>
    <col width="25.7109375" customWidth="1" style="22" min="2" max="2"/>
    <col width="13.7109375" customWidth="1" style="22" min="3" max="4"/>
  </cols>
  <sheetData>
    <row r="1" hidden="1">
      <c r="B1" s="22" t="inlineStr">
        <is>
          <t>core::supplierPartNumber</t>
        </is>
      </c>
      <c r="C1" s="22" t="inlineStr">
        <is>
          <t>propSixtyFive::chemicalId</t>
        </is>
      </c>
      <c r="D1" s="22" t="inlineStr">
        <is>
          <t>propSixtyFive::toxicity</t>
        </is>
      </c>
    </row>
    <row r="3">
      <c r="B3" s="31" t="inlineStr">
        <is>
          <t>Required</t>
        </is>
      </c>
      <c r="C3" s="31" t="inlineStr">
        <is>
          <t>Conditional</t>
        </is>
      </c>
      <c r="D3" s="31" t="inlineStr">
        <is>
          <t>Conditional</t>
        </is>
      </c>
    </row>
    <row r="4" ht="50" customHeight="1">
      <c r="B4" s="19" t="inlineStr">
        <is>
          <t>Supplier Part Number</t>
        </is>
      </c>
      <c r="C4" s="19" t="inlineStr">
        <is>
          <t>Chemical</t>
        </is>
      </c>
      <c r="D4" s="19" t="inlineStr">
        <is>
          <t>Toxicity</t>
        </is>
      </c>
    </row>
    <row r="5" ht="50" customHeight="1">
      <c r="B5" s="34" t="inlineStr">
        <is>
          <t>Must be less than 64 characters and must be a unique value (products cannot be added if they have the same part number as something you already have in your catalog). This is the supplier-specific value for the product as it appears on your Inventory Feed and Purchased Orders.</t>
        </is>
      </c>
      <c r="C5" s="34" t="inlineStr">
        <is>
          <t>Select the chemical that requires the Prop65 warning.</t>
        </is>
      </c>
      <c r="D5" s="34" t="inlineStr">
        <is>
          <t>Select the toxicity that can result from the selected chemical.</t>
        </is>
      </c>
    </row>
    <row r="6" ht="50" customHeight="1">
      <c r="B6" s="34" t="inlineStr">
        <is>
          <t>Text</t>
        </is>
      </c>
      <c r="C6" s="35" t="inlineStr">
        <is>
          <t>Select</t>
        </is>
      </c>
      <c r="D6" s="35" t="inlineStr">
        <is>
          <t>Please choose one or more from the following, using a semicolon (;) to separate each value: Cancer; Developmental</t>
        </is>
      </c>
    </row>
    <row r="7">
      <c r="A7">
        <f t="array" ref="A7">_xlfn.BYROW(B7:E507, _xlfn.LAMBDA(_xlpm.r, _xlfn.LET(_xlpm.high_priority_idx, IFERROR(MATCH(TRUE, (_xlpm.r = "Error") + (_xlpm.r = "Required") &gt; 0, 0), 0), IF(_xlpm.high_priority_idx &gt; 0, _xlpm.high_priority_idx + 1, IFERROR(MATCH(1, (_xlpm.r = "Warning") * 1, 0) + 1, "")))))</f>
        <v/>
      </c>
      <c r="B7" s="22">
        <f t="array" ref="B7">_xlfn.MAP('Additional Chemicals'!B7:B507, 'Additional Chemicals'!B7:B507, 'Additional Chemicals-WUO_ERR'!B7:B507, _xlfn.LAMBDA(_xlpm.part, _xlpm.val, _xlpm.error, IF(_xlpm.part = "", "", IF(LEN(_xlpm.error), _xlfn.SWITCH(IFERROR(_xlfn.TEXTBEFORE(_xlpm.error,":"), ""), "1", "Error", "2", "Disabled", "3", "Required", "4", "Warning", "Valid"), "Valid"))))</f>
        <v/>
      </c>
      <c r="C7" s="22">
        <f t="array" ref="C7">_xlfn.MAP('Additional Chemicals'!B7:B507, 'Additional Chemicals'!C7:C507, 'Additional Chemicals-WUO_ERR'!C7:C507, _xlfn.LAMBDA(_xlpm.part, _xlpm.val, _xlpm.error, IF(_xlpm.part = "", "", IF(LEN(_xlpm.error), _xlfn.SWITCH(IFERROR(_xlfn.TEXTBEFORE(_xlpm.error,":"), ""), "1", "Error", "2", "Disabled", "3", "Required", "4", "Warning", "Valid"), "Valid"))))</f>
        <v/>
      </c>
      <c r="D7" s="22">
        <f t="array" ref="D7">_xlfn.MAP('Additional Chemicals'!B7:B507, 'Additional Chemicals'!D7:D507, 'Additional Chemicals-WUO_ERR'!D7:D507, _xlfn.LAMBDA(_xlpm.part, _xlpm.val, _xlpm.error, IF(_xlpm.part = "", "", IF(LEN(_xlpm.error), _xlfn.SWITCH(IFERROR(_xlfn.TEXTBEFORE(_xlpm.error,":"), ""), "1", "Error", "2", "Disabled", "3", "Required", "4", "Warning", "Valid"), "Valid"))))</f>
        <v/>
      </c>
    </row>
  </sheetData>
  <sheetProtection selectLockedCells="0" selectUnlockedCells="0" sheet="1" objects="1" insertRows="1" insertHyperlinks="1" autoFilter="1" scenarios="1" formatColumns="1" deleteColumns="1" insertColumns="1" pivotTables="1" deleteRows="1" formatCells="1" formatRows="1" sort="1" password="F8D0"/>
  <hyperlinks>
    <hyperlink ref="C6" location="'Valid Values'!F1" display="Select"/>
    <hyperlink ref="D6" location="'Valid Values'!G1" display="Please choose one or more from the following, using a semicolon (;) to separate each value: Cancer; Developmental"/>
  </hyperlinks>
  <pageMargins left="0.7" right="0.7" top="0.75" bottom="0.75" header="0.3" footer="0.3"/>
</worksheet>
</file>

<file path=xl/worksheets/sheet13.xml><?xml version="1.0" encoding="utf-8"?>
<worksheet xmlns="http://schemas.openxmlformats.org/spreadsheetml/2006/main">
  <sheetPr>
    <outlinePr summaryBelow="1" summaryRight="1"/>
    <pageSetUpPr/>
  </sheetPr>
  <dimension ref="A1:Z507"/>
  <sheetViews>
    <sheetView workbookViewId="0">
      <selection activeCell="A1" sqref="A1"/>
    </sheetView>
  </sheetViews>
  <sheetFormatPr baseColWidth="8" defaultRowHeight="15"/>
  <cols>
    <col width="35.7109375" customWidth="1" min="1" max="1"/>
    <col width="25.7109375" customWidth="1" style="22" min="2" max="2"/>
    <col width="27.7109375" customWidth="1" style="22" min="3" max="3"/>
    <col hidden="1" min="26" max="26"/>
  </cols>
  <sheetData>
    <row r="1" hidden="1">
      <c r="B1" s="22" t="inlineStr">
        <is>
          <t>core::supplierPartNumber</t>
        </is>
      </c>
      <c r="C1" s="22" t="inlineStr">
        <is>
          <t>media::imageValue</t>
        </is>
      </c>
    </row>
    <row r="2">
      <c r="B2" s="23" t="inlineStr">
        <is>
          <t>Basic Information</t>
        </is>
      </c>
      <c r="C2" s="29" t="inlineStr">
        <is>
          <t>Media</t>
        </is>
      </c>
    </row>
    <row r="3">
      <c r="B3" s="31" t="inlineStr">
        <is>
          <t>Required</t>
        </is>
      </c>
      <c r="C3" s="31" t="inlineStr">
        <is>
          <t>Additional</t>
        </is>
      </c>
    </row>
    <row r="4" ht="50" customHeight="1">
      <c r="A4" s="19" t="inlineStr">
        <is>
          <t>Errors</t>
        </is>
      </c>
      <c r="B4" s="19" t="inlineStr">
        <is>
          <t>Supplier Part Number</t>
        </is>
      </c>
      <c r="C4" s="19" t="inlineStr">
        <is>
          <t>Image File Name or URL</t>
        </is>
      </c>
    </row>
    <row r="5" ht="50" customHeight="1">
      <c r="A5" s="34" t="inlineStr">
        <is>
          <t>Displays the error status and message for the first error in the row, with a link to the corresponding cell.</t>
        </is>
      </c>
      <c r="B5" s="34" t="inlineStr">
        <is>
          <t>Must be less than 64 characters and must be a unique value (products cannot be added if they have the same part number as something you already have in your catalog). This is the supplier-specific value for the product as it appears on your Inventory Feed and Purchased Orders.</t>
        </is>
      </c>
      <c r="C5" s="34" t="inlineStr">
        <is>
          <t>Your first image will be set as the lead image for this listing, however, is subject to change upon Wayfair review. For each image uploaded, provide the file name with extension (e.g. PART_1.jpeg) or a direct public URL which leads to a single image (tip: to isolate the image, right click + select Open Image in New Tab). Elements like logos, buttons, etc will interfere with our ability to download the image. Do not exceed 20 images per product.</t>
        </is>
      </c>
    </row>
    <row r="6" ht="50" customHeight="1">
      <c r="A6" s="34" t="inlineStr">
        <is>
          <t>Read-Only</t>
        </is>
      </c>
      <c r="B6" s="34" t="inlineStr">
        <is>
          <t>Text</t>
        </is>
      </c>
      <c r="C6" s="34" t="inlineStr">
        <is>
          <t>Text</t>
        </is>
      </c>
    </row>
    <row r="7">
      <c r="A7" s="38">
        <f>IF('Additional Images'!B7 = "", "", IF('Additional Images-WUO_ERR'!A7 = "", "Validated", HYPERLINK("#" &amp; ADDRESS(7, 'Additional Images-WUO_TRK'!A7),_xlfn.TEXTAFTER('Additional Images-WUO_ERR'!A7, ":"))))</f>
        <v/>
      </c>
      <c r="Z7">
        <f t="array" ref="Z7">IF(B7:B507="", "", IFERROR(_xlfn.XLOOKUP(B7:B507, _xlfn.VSTACK('6 - TV Stands &amp; Enterta'!B7:B507), _xlfn.VSTACK('6 - TV Stands &amp; Enterta'!G7:G507)), ""))</f>
        <v/>
      </c>
    </row>
    <row r="8">
      <c r="A8" s="38">
        <f>IF('Additional Images'!B8 = "", "", IF('Additional Images-WUO_ERR'!A8 = "", "Validated", HYPERLINK("#" &amp; ADDRESS(8, 'Additional Images-WUO_TRK'!A8),_xlfn.TEXTAFTER('Additional Images-WUO_ERR'!A8, ":"))))</f>
        <v/>
      </c>
    </row>
    <row r="9">
      <c r="A9" s="38">
        <f>IF('Additional Images'!B9 = "", "", IF('Additional Images-WUO_ERR'!A9 = "", "Validated", HYPERLINK("#" &amp; ADDRESS(9, 'Additional Images-WUO_TRK'!A9),_xlfn.TEXTAFTER('Additional Images-WUO_ERR'!A9, ":"))))</f>
        <v/>
      </c>
    </row>
    <row r="10">
      <c r="A10" s="38">
        <f>IF('Additional Images'!B10 = "", "", IF('Additional Images-WUO_ERR'!A10 = "", "Validated", HYPERLINK("#" &amp; ADDRESS(10, 'Additional Images-WUO_TRK'!A10),_xlfn.TEXTAFTER('Additional Images-WUO_ERR'!A10, ":"))))</f>
        <v/>
      </c>
    </row>
    <row r="11">
      <c r="A11" s="38">
        <f>IF('Additional Images'!B11 = "", "", IF('Additional Images-WUO_ERR'!A11 = "", "Validated", HYPERLINK("#" &amp; ADDRESS(11, 'Additional Images-WUO_TRK'!A11),_xlfn.TEXTAFTER('Additional Images-WUO_ERR'!A11, ":"))))</f>
        <v/>
      </c>
    </row>
    <row r="12">
      <c r="A12" s="38">
        <f>IF('Additional Images'!B12 = "", "", IF('Additional Images-WUO_ERR'!A12 = "", "Validated", HYPERLINK("#" &amp; ADDRESS(12, 'Additional Images-WUO_TRK'!A12),_xlfn.TEXTAFTER('Additional Images-WUO_ERR'!A12, ":"))))</f>
        <v/>
      </c>
    </row>
    <row r="13">
      <c r="A13" s="38">
        <f>IF('Additional Images'!B13 = "", "", IF('Additional Images-WUO_ERR'!A13 = "", "Validated", HYPERLINK("#" &amp; ADDRESS(13, 'Additional Images-WUO_TRK'!A13),_xlfn.TEXTAFTER('Additional Images-WUO_ERR'!A13, ":"))))</f>
        <v/>
      </c>
    </row>
    <row r="14">
      <c r="A14" s="38">
        <f>IF('Additional Images'!B14 = "", "", IF('Additional Images-WUO_ERR'!A14 = "", "Validated", HYPERLINK("#" &amp; ADDRESS(14, 'Additional Images-WUO_TRK'!A14),_xlfn.TEXTAFTER('Additional Images-WUO_ERR'!A14, ":"))))</f>
        <v/>
      </c>
    </row>
    <row r="15">
      <c r="A15" s="38">
        <f>IF('Additional Images'!B15 = "", "", IF('Additional Images-WUO_ERR'!A15 = "", "Validated", HYPERLINK("#" &amp; ADDRESS(15, 'Additional Images-WUO_TRK'!A15),_xlfn.TEXTAFTER('Additional Images-WUO_ERR'!A15, ":"))))</f>
        <v/>
      </c>
    </row>
    <row r="16">
      <c r="A16" s="38">
        <f>IF('Additional Images'!B16 = "", "", IF('Additional Images-WUO_ERR'!A16 = "", "Validated", HYPERLINK("#" &amp; ADDRESS(16, 'Additional Images-WUO_TRK'!A16),_xlfn.TEXTAFTER('Additional Images-WUO_ERR'!A16, ":"))))</f>
        <v/>
      </c>
    </row>
    <row r="17">
      <c r="A17" s="38">
        <f>IF('Additional Images'!B17 = "", "", IF('Additional Images-WUO_ERR'!A17 = "", "Validated", HYPERLINK("#" &amp; ADDRESS(17, 'Additional Images-WUO_TRK'!A17),_xlfn.TEXTAFTER('Additional Images-WUO_ERR'!A17, ":"))))</f>
        <v/>
      </c>
    </row>
    <row r="18">
      <c r="A18" s="38">
        <f>IF('Additional Images'!B18 = "", "", IF('Additional Images-WUO_ERR'!A18 = "", "Validated", HYPERLINK("#" &amp; ADDRESS(18, 'Additional Images-WUO_TRK'!A18),_xlfn.TEXTAFTER('Additional Images-WUO_ERR'!A18, ":"))))</f>
        <v/>
      </c>
    </row>
    <row r="19">
      <c r="A19" s="38">
        <f>IF('Additional Images'!B19 = "", "", IF('Additional Images-WUO_ERR'!A19 = "", "Validated", HYPERLINK("#" &amp; ADDRESS(19, 'Additional Images-WUO_TRK'!A19),_xlfn.TEXTAFTER('Additional Images-WUO_ERR'!A19, ":"))))</f>
        <v/>
      </c>
    </row>
    <row r="20">
      <c r="A20" s="38">
        <f>IF('Additional Images'!B20 = "", "", IF('Additional Images-WUO_ERR'!A20 = "", "Validated", HYPERLINK("#" &amp; ADDRESS(20, 'Additional Images-WUO_TRK'!A20),_xlfn.TEXTAFTER('Additional Images-WUO_ERR'!A20, ":"))))</f>
        <v/>
      </c>
    </row>
    <row r="21">
      <c r="A21" s="38">
        <f>IF('Additional Images'!B21 = "", "", IF('Additional Images-WUO_ERR'!A21 = "", "Validated", HYPERLINK("#" &amp; ADDRESS(21, 'Additional Images-WUO_TRK'!A21),_xlfn.TEXTAFTER('Additional Images-WUO_ERR'!A21, ":"))))</f>
        <v/>
      </c>
    </row>
    <row r="22">
      <c r="A22" s="38">
        <f>IF('Additional Images'!B22 = "", "", IF('Additional Images-WUO_ERR'!A22 = "", "Validated", HYPERLINK("#" &amp; ADDRESS(22, 'Additional Images-WUO_TRK'!A22),_xlfn.TEXTAFTER('Additional Images-WUO_ERR'!A22, ":"))))</f>
        <v/>
      </c>
    </row>
    <row r="23">
      <c r="A23" s="38">
        <f>IF('Additional Images'!B23 = "", "", IF('Additional Images-WUO_ERR'!A23 = "", "Validated", HYPERLINK("#" &amp; ADDRESS(23, 'Additional Images-WUO_TRK'!A23),_xlfn.TEXTAFTER('Additional Images-WUO_ERR'!A23, ":"))))</f>
        <v/>
      </c>
    </row>
    <row r="24">
      <c r="A24" s="38">
        <f>IF('Additional Images'!B24 = "", "", IF('Additional Images-WUO_ERR'!A24 = "", "Validated", HYPERLINK("#" &amp; ADDRESS(24, 'Additional Images-WUO_TRK'!A24),_xlfn.TEXTAFTER('Additional Images-WUO_ERR'!A24, ":"))))</f>
        <v/>
      </c>
    </row>
    <row r="25">
      <c r="A25" s="38">
        <f>IF('Additional Images'!B25 = "", "", IF('Additional Images-WUO_ERR'!A25 = "", "Validated", HYPERLINK("#" &amp; ADDRESS(25, 'Additional Images-WUO_TRK'!A25),_xlfn.TEXTAFTER('Additional Images-WUO_ERR'!A25, ":"))))</f>
        <v/>
      </c>
    </row>
    <row r="26">
      <c r="A26" s="38">
        <f>IF('Additional Images'!B26 = "", "", IF('Additional Images-WUO_ERR'!A26 = "", "Validated", HYPERLINK("#" &amp; ADDRESS(26, 'Additional Images-WUO_TRK'!A26),_xlfn.TEXTAFTER('Additional Images-WUO_ERR'!A26, ":"))))</f>
        <v/>
      </c>
    </row>
    <row r="27">
      <c r="A27" s="38">
        <f>IF('Additional Images'!B27 = "", "", IF('Additional Images-WUO_ERR'!A27 = "", "Validated", HYPERLINK("#" &amp; ADDRESS(27, 'Additional Images-WUO_TRK'!A27),_xlfn.TEXTAFTER('Additional Images-WUO_ERR'!A27, ":"))))</f>
        <v/>
      </c>
    </row>
    <row r="28">
      <c r="A28" s="38">
        <f>IF('Additional Images'!B28 = "", "", IF('Additional Images-WUO_ERR'!A28 = "", "Validated", HYPERLINK("#" &amp; ADDRESS(28, 'Additional Images-WUO_TRK'!A28),_xlfn.TEXTAFTER('Additional Images-WUO_ERR'!A28, ":"))))</f>
        <v/>
      </c>
    </row>
    <row r="29">
      <c r="A29" s="38">
        <f>IF('Additional Images'!B29 = "", "", IF('Additional Images-WUO_ERR'!A29 = "", "Validated", HYPERLINK("#" &amp; ADDRESS(29, 'Additional Images-WUO_TRK'!A29),_xlfn.TEXTAFTER('Additional Images-WUO_ERR'!A29, ":"))))</f>
        <v/>
      </c>
    </row>
    <row r="30">
      <c r="A30" s="38">
        <f>IF('Additional Images'!B30 = "", "", IF('Additional Images-WUO_ERR'!A30 = "", "Validated", HYPERLINK("#" &amp; ADDRESS(30, 'Additional Images-WUO_TRK'!A30),_xlfn.TEXTAFTER('Additional Images-WUO_ERR'!A30, ":"))))</f>
        <v/>
      </c>
    </row>
    <row r="31">
      <c r="A31" s="38">
        <f>IF('Additional Images'!B31 = "", "", IF('Additional Images-WUO_ERR'!A31 = "", "Validated", HYPERLINK("#" &amp; ADDRESS(31, 'Additional Images-WUO_TRK'!A31),_xlfn.TEXTAFTER('Additional Images-WUO_ERR'!A31, ":"))))</f>
        <v/>
      </c>
    </row>
    <row r="32">
      <c r="A32" s="38">
        <f>IF('Additional Images'!B32 = "", "", IF('Additional Images-WUO_ERR'!A32 = "", "Validated", HYPERLINK("#" &amp; ADDRESS(32, 'Additional Images-WUO_TRK'!A32),_xlfn.TEXTAFTER('Additional Images-WUO_ERR'!A32, ":"))))</f>
        <v/>
      </c>
    </row>
    <row r="33">
      <c r="A33" s="38">
        <f>IF('Additional Images'!B33 = "", "", IF('Additional Images-WUO_ERR'!A33 = "", "Validated", HYPERLINK("#" &amp; ADDRESS(33, 'Additional Images-WUO_TRK'!A33),_xlfn.TEXTAFTER('Additional Images-WUO_ERR'!A33, ":"))))</f>
        <v/>
      </c>
    </row>
    <row r="34">
      <c r="A34" s="38">
        <f>IF('Additional Images'!B34 = "", "", IF('Additional Images-WUO_ERR'!A34 = "", "Validated", HYPERLINK("#" &amp; ADDRESS(34, 'Additional Images-WUO_TRK'!A34),_xlfn.TEXTAFTER('Additional Images-WUO_ERR'!A34, ":"))))</f>
        <v/>
      </c>
    </row>
    <row r="35">
      <c r="A35" s="38">
        <f>IF('Additional Images'!B35 = "", "", IF('Additional Images-WUO_ERR'!A35 = "", "Validated", HYPERLINK("#" &amp; ADDRESS(35, 'Additional Images-WUO_TRK'!A35),_xlfn.TEXTAFTER('Additional Images-WUO_ERR'!A35, ":"))))</f>
        <v/>
      </c>
    </row>
    <row r="36">
      <c r="A36" s="38">
        <f>IF('Additional Images'!B36 = "", "", IF('Additional Images-WUO_ERR'!A36 = "", "Validated", HYPERLINK("#" &amp; ADDRESS(36, 'Additional Images-WUO_TRK'!A36),_xlfn.TEXTAFTER('Additional Images-WUO_ERR'!A36, ":"))))</f>
        <v/>
      </c>
    </row>
    <row r="37">
      <c r="A37" s="38">
        <f>IF('Additional Images'!B37 = "", "", IF('Additional Images-WUO_ERR'!A37 = "", "Validated", HYPERLINK("#" &amp; ADDRESS(37, 'Additional Images-WUO_TRK'!A37),_xlfn.TEXTAFTER('Additional Images-WUO_ERR'!A37, ":"))))</f>
        <v/>
      </c>
    </row>
    <row r="38">
      <c r="A38" s="38">
        <f>IF('Additional Images'!B38 = "", "", IF('Additional Images-WUO_ERR'!A38 = "", "Validated", HYPERLINK("#" &amp; ADDRESS(38, 'Additional Images-WUO_TRK'!A38),_xlfn.TEXTAFTER('Additional Images-WUO_ERR'!A38, ":"))))</f>
        <v/>
      </c>
    </row>
    <row r="39">
      <c r="A39" s="38">
        <f>IF('Additional Images'!B39 = "", "", IF('Additional Images-WUO_ERR'!A39 = "", "Validated", HYPERLINK("#" &amp; ADDRESS(39, 'Additional Images-WUO_TRK'!A39),_xlfn.TEXTAFTER('Additional Images-WUO_ERR'!A39, ":"))))</f>
        <v/>
      </c>
    </row>
    <row r="40">
      <c r="A40" s="38">
        <f>IF('Additional Images'!B40 = "", "", IF('Additional Images-WUO_ERR'!A40 = "", "Validated", HYPERLINK("#" &amp; ADDRESS(40, 'Additional Images-WUO_TRK'!A40),_xlfn.TEXTAFTER('Additional Images-WUO_ERR'!A40, ":"))))</f>
        <v/>
      </c>
    </row>
    <row r="41">
      <c r="A41" s="38">
        <f>IF('Additional Images'!B41 = "", "", IF('Additional Images-WUO_ERR'!A41 = "", "Validated", HYPERLINK("#" &amp; ADDRESS(41, 'Additional Images-WUO_TRK'!A41),_xlfn.TEXTAFTER('Additional Images-WUO_ERR'!A41, ":"))))</f>
        <v/>
      </c>
    </row>
    <row r="42">
      <c r="A42" s="38">
        <f>IF('Additional Images'!B42 = "", "", IF('Additional Images-WUO_ERR'!A42 = "", "Validated", HYPERLINK("#" &amp; ADDRESS(42, 'Additional Images-WUO_TRK'!A42),_xlfn.TEXTAFTER('Additional Images-WUO_ERR'!A42, ":"))))</f>
        <v/>
      </c>
    </row>
    <row r="43">
      <c r="A43" s="38">
        <f>IF('Additional Images'!B43 = "", "", IF('Additional Images-WUO_ERR'!A43 = "", "Validated", HYPERLINK("#" &amp; ADDRESS(43, 'Additional Images-WUO_TRK'!A43),_xlfn.TEXTAFTER('Additional Images-WUO_ERR'!A43, ":"))))</f>
        <v/>
      </c>
    </row>
    <row r="44">
      <c r="A44" s="38">
        <f>IF('Additional Images'!B44 = "", "", IF('Additional Images-WUO_ERR'!A44 = "", "Validated", HYPERLINK("#" &amp; ADDRESS(44, 'Additional Images-WUO_TRK'!A44),_xlfn.TEXTAFTER('Additional Images-WUO_ERR'!A44, ":"))))</f>
        <v/>
      </c>
    </row>
    <row r="45">
      <c r="A45" s="38">
        <f>IF('Additional Images'!B45 = "", "", IF('Additional Images-WUO_ERR'!A45 = "", "Validated", HYPERLINK("#" &amp; ADDRESS(45, 'Additional Images-WUO_TRK'!A45),_xlfn.TEXTAFTER('Additional Images-WUO_ERR'!A45, ":"))))</f>
        <v/>
      </c>
    </row>
    <row r="46">
      <c r="A46" s="38">
        <f>IF('Additional Images'!B46 = "", "", IF('Additional Images-WUO_ERR'!A46 = "", "Validated", HYPERLINK("#" &amp; ADDRESS(46, 'Additional Images-WUO_TRK'!A46),_xlfn.TEXTAFTER('Additional Images-WUO_ERR'!A46, ":"))))</f>
        <v/>
      </c>
    </row>
    <row r="47">
      <c r="A47" s="38">
        <f>IF('Additional Images'!B47 = "", "", IF('Additional Images-WUO_ERR'!A47 = "", "Validated", HYPERLINK("#" &amp; ADDRESS(47, 'Additional Images-WUO_TRK'!A47),_xlfn.TEXTAFTER('Additional Images-WUO_ERR'!A47, ":"))))</f>
        <v/>
      </c>
    </row>
    <row r="48">
      <c r="A48" s="38">
        <f>IF('Additional Images'!B48 = "", "", IF('Additional Images-WUO_ERR'!A48 = "", "Validated", HYPERLINK("#" &amp; ADDRESS(48, 'Additional Images-WUO_TRK'!A48),_xlfn.TEXTAFTER('Additional Images-WUO_ERR'!A48, ":"))))</f>
        <v/>
      </c>
    </row>
    <row r="49">
      <c r="A49" s="38">
        <f>IF('Additional Images'!B49 = "", "", IF('Additional Images-WUO_ERR'!A49 = "", "Validated", HYPERLINK("#" &amp; ADDRESS(49, 'Additional Images-WUO_TRK'!A49),_xlfn.TEXTAFTER('Additional Images-WUO_ERR'!A49, ":"))))</f>
        <v/>
      </c>
    </row>
    <row r="50">
      <c r="A50" s="38">
        <f>IF('Additional Images'!B50 = "", "", IF('Additional Images-WUO_ERR'!A50 = "", "Validated", HYPERLINK("#" &amp; ADDRESS(50, 'Additional Images-WUO_TRK'!A50),_xlfn.TEXTAFTER('Additional Images-WUO_ERR'!A50, ":"))))</f>
        <v/>
      </c>
    </row>
    <row r="51">
      <c r="A51" s="38">
        <f>IF('Additional Images'!B51 = "", "", IF('Additional Images-WUO_ERR'!A51 = "", "Validated", HYPERLINK("#" &amp; ADDRESS(51, 'Additional Images-WUO_TRK'!A51),_xlfn.TEXTAFTER('Additional Images-WUO_ERR'!A51, ":"))))</f>
        <v/>
      </c>
    </row>
    <row r="52">
      <c r="A52" s="38">
        <f>IF('Additional Images'!B52 = "", "", IF('Additional Images-WUO_ERR'!A52 = "", "Validated", HYPERLINK("#" &amp; ADDRESS(52, 'Additional Images-WUO_TRK'!A52),_xlfn.TEXTAFTER('Additional Images-WUO_ERR'!A52, ":"))))</f>
        <v/>
      </c>
    </row>
    <row r="53">
      <c r="A53" s="38">
        <f>IF('Additional Images'!B53 = "", "", IF('Additional Images-WUO_ERR'!A53 = "", "Validated", HYPERLINK("#" &amp; ADDRESS(53, 'Additional Images-WUO_TRK'!A53),_xlfn.TEXTAFTER('Additional Images-WUO_ERR'!A53, ":"))))</f>
        <v/>
      </c>
    </row>
    <row r="54">
      <c r="A54" s="38">
        <f>IF('Additional Images'!B54 = "", "", IF('Additional Images-WUO_ERR'!A54 = "", "Validated", HYPERLINK("#" &amp; ADDRESS(54, 'Additional Images-WUO_TRK'!A54),_xlfn.TEXTAFTER('Additional Images-WUO_ERR'!A54, ":"))))</f>
        <v/>
      </c>
    </row>
    <row r="55">
      <c r="A55" s="38">
        <f>IF('Additional Images'!B55 = "", "", IF('Additional Images-WUO_ERR'!A55 = "", "Validated", HYPERLINK("#" &amp; ADDRESS(55, 'Additional Images-WUO_TRK'!A55),_xlfn.TEXTAFTER('Additional Images-WUO_ERR'!A55, ":"))))</f>
        <v/>
      </c>
    </row>
    <row r="56">
      <c r="A56" s="38">
        <f>IF('Additional Images'!B56 = "", "", IF('Additional Images-WUO_ERR'!A56 = "", "Validated", HYPERLINK("#" &amp; ADDRESS(56, 'Additional Images-WUO_TRK'!A56),_xlfn.TEXTAFTER('Additional Images-WUO_ERR'!A56, ":"))))</f>
        <v/>
      </c>
    </row>
    <row r="57">
      <c r="A57" s="38">
        <f>IF('Additional Images'!B57 = "", "", IF('Additional Images-WUO_ERR'!A57 = "", "Validated", HYPERLINK("#" &amp; ADDRESS(57, 'Additional Images-WUO_TRK'!A57),_xlfn.TEXTAFTER('Additional Images-WUO_ERR'!A57, ":"))))</f>
        <v/>
      </c>
    </row>
    <row r="58">
      <c r="A58" s="38">
        <f>IF('Additional Images'!B58 = "", "", IF('Additional Images-WUO_ERR'!A58 = "", "Validated", HYPERLINK("#" &amp; ADDRESS(58, 'Additional Images-WUO_TRK'!A58),_xlfn.TEXTAFTER('Additional Images-WUO_ERR'!A58, ":"))))</f>
        <v/>
      </c>
    </row>
    <row r="59">
      <c r="A59" s="38">
        <f>IF('Additional Images'!B59 = "", "", IF('Additional Images-WUO_ERR'!A59 = "", "Validated", HYPERLINK("#" &amp; ADDRESS(59, 'Additional Images-WUO_TRK'!A59),_xlfn.TEXTAFTER('Additional Images-WUO_ERR'!A59, ":"))))</f>
        <v/>
      </c>
    </row>
    <row r="60">
      <c r="A60" s="38">
        <f>IF('Additional Images'!B60 = "", "", IF('Additional Images-WUO_ERR'!A60 = "", "Validated", HYPERLINK("#" &amp; ADDRESS(60, 'Additional Images-WUO_TRK'!A60),_xlfn.TEXTAFTER('Additional Images-WUO_ERR'!A60, ":"))))</f>
        <v/>
      </c>
    </row>
    <row r="61">
      <c r="A61" s="38">
        <f>IF('Additional Images'!B61 = "", "", IF('Additional Images-WUO_ERR'!A61 = "", "Validated", HYPERLINK("#" &amp; ADDRESS(61, 'Additional Images-WUO_TRK'!A61),_xlfn.TEXTAFTER('Additional Images-WUO_ERR'!A61, ":"))))</f>
        <v/>
      </c>
    </row>
    <row r="62">
      <c r="A62" s="38">
        <f>IF('Additional Images'!B62 = "", "", IF('Additional Images-WUO_ERR'!A62 = "", "Validated", HYPERLINK("#" &amp; ADDRESS(62, 'Additional Images-WUO_TRK'!A62),_xlfn.TEXTAFTER('Additional Images-WUO_ERR'!A62, ":"))))</f>
        <v/>
      </c>
    </row>
    <row r="63">
      <c r="A63" s="38">
        <f>IF('Additional Images'!B63 = "", "", IF('Additional Images-WUO_ERR'!A63 = "", "Validated", HYPERLINK("#" &amp; ADDRESS(63, 'Additional Images-WUO_TRK'!A63),_xlfn.TEXTAFTER('Additional Images-WUO_ERR'!A63, ":"))))</f>
        <v/>
      </c>
    </row>
    <row r="64">
      <c r="A64" s="38">
        <f>IF('Additional Images'!B64 = "", "", IF('Additional Images-WUO_ERR'!A64 = "", "Validated", HYPERLINK("#" &amp; ADDRESS(64, 'Additional Images-WUO_TRK'!A64),_xlfn.TEXTAFTER('Additional Images-WUO_ERR'!A64, ":"))))</f>
        <v/>
      </c>
    </row>
    <row r="65">
      <c r="A65" s="38">
        <f>IF('Additional Images'!B65 = "", "", IF('Additional Images-WUO_ERR'!A65 = "", "Validated", HYPERLINK("#" &amp; ADDRESS(65, 'Additional Images-WUO_TRK'!A65),_xlfn.TEXTAFTER('Additional Images-WUO_ERR'!A65, ":"))))</f>
        <v/>
      </c>
    </row>
    <row r="66">
      <c r="A66" s="38">
        <f>IF('Additional Images'!B66 = "", "", IF('Additional Images-WUO_ERR'!A66 = "", "Validated", HYPERLINK("#" &amp; ADDRESS(66, 'Additional Images-WUO_TRK'!A66),_xlfn.TEXTAFTER('Additional Images-WUO_ERR'!A66, ":"))))</f>
        <v/>
      </c>
    </row>
    <row r="67">
      <c r="A67" s="38">
        <f>IF('Additional Images'!B67 = "", "", IF('Additional Images-WUO_ERR'!A67 = "", "Validated", HYPERLINK("#" &amp; ADDRESS(67, 'Additional Images-WUO_TRK'!A67),_xlfn.TEXTAFTER('Additional Images-WUO_ERR'!A67, ":"))))</f>
        <v/>
      </c>
    </row>
    <row r="68">
      <c r="A68" s="38">
        <f>IF('Additional Images'!B68 = "", "", IF('Additional Images-WUO_ERR'!A68 = "", "Validated", HYPERLINK("#" &amp; ADDRESS(68, 'Additional Images-WUO_TRK'!A68),_xlfn.TEXTAFTER('Additional Images-WUO_ERR'!A68, ":"))))</f>
        <v/>
      </c>
    </row>
    <row r="69">
      <c r="A69" s="38">
        <f>IF('Additional Images'!B69 = "", "", IF('Additional Images-WUO_ERR'!A69 = "", "Validated", HYPERLINK("#" &amp; ADDRESS(69, 'Additional Images-WUO_TRK'!A69),_xlfn.TEXTAFTER('Additional Images-WUO_ERR'!A69, ":"))))</f>
        <v/>
      </c>
    </row>
    <row r="70">
      <c r="A70" s="38">
        <f>IF('Additional Images'!B70 = "", "", IF('Additional Images-WUO_ERR'!A70 = "", "Validated", HYPERLINK("#" &amp; ADDRESS(70, 'Additional Images-WUO_TRK'!A70),_xlfn.TEXTAFTER('Additional Images-WUO_ERR'!A70, ":"))))</f>
        <v/>
      </c>
    </row>
    <row r="71">
      <c r="A71" s="38">
        <f>IF('Additional Images'!B71 = "", "", IF('Additional Images-WUO_ERR'!A71 = "", "Validated", HYPERLINK("#" &amp; ADDRESS(71, 'Additional Images-WUO_TRK'!A71),_xlfn.TEXTAFTER('Additional Images-WUO_ERR'!A71, ":"))))</f>
        <v/>
      </c>
    </row>
    <row r="72">
      <c r="A72" s="38">
        <f>IF('Additional Images'!B72 = "", "", IF('Additional Images-WUO_ERR'!A72 = "", "Validated", HYPERLINK("#" &amp; ADDRESS(72, 'Additional Images-WUO_TRK'!A72),_xlfn.TEXTAFTER('Additional Images-WUO_ERR'!A72, ":"))))</f>
        <v/>
      </c>
    </row>
    <row r="73">
      <c r="A73" s="38">
        <f>IF('Additional Images'!B73 = "", "", IF('Additional Images-WUO_ERR'!A73 = "", "Validated", HYPERLINK("#" &amp; ADDRESS(73, 'Additional Images-WUO_TRK'!A73),_xlfn.TEXTAFTER('Additional Images-WUO_ERR'!A73, ":"))))</f>
        <v/>
      </c>
    </row>
    <row r="74">
      <c r="A74" s="38">
        <f>IF('Additional Images'!B74 = "", "", IF('Additional Images-WUO_ERR'!A74 = "", "Validated", HYPERLINK("#" &amp; ADDRESS(74, 'Additional Images-WUO_TRK'!A74),_xlfn.TEXTAFTER('Additional Images-WUO_ERR'!A74, ":"))))</f>
        <v/>
      </c>
    </row>
    <row r="75">
      <c r="A75" s="38">
        <f>IF('Additional Images'!B75 = "", "", IF('Additional Images-WUO_ERR'!A75 = "", "Validated", HYPERLINK("#" &amp; ADDRESS(75, 'Additional Images-WUO_TRK'!A75),_xlfn.TEXTAFTER('Additional Images-WUO_ERR'!A75, ":"))))</f>
        <v/>
      </c>
    </row>
    <row r="76">
      <c r="A76" s="38">
        <f>IF('Additional Images'!B76 = "", "", IF('Additional Images-WUO_ERR'!A76 = "", "Validated", HYPERLINK("#" &amp; ADDRESS(76, 'Additional Images-WUO_TRK'!A76),_xlfn.TEXTAFTER('Additional Images-WUO_ERR'!A76, ":"))))</f>
        <v/>
      </c>
    </row>
    <row r="77">
      <c r="A77" s="38">
        <f>IF('Additional Images'!B77 = "", "", IF('Additional Images-WUO_ERR'!A77 = "", "Validated", HYPERLINK("#" &amp; ADDRESS(77, 'Additional Images-WUO_TRK'!A77),_xlfn.TEXTAFTER('Additional Images-WUO_ERR'!A77, ":"))))</f>
        <v/>
      </c>
    </row>
    <row r="78">
      <c r="A78" s="38">
        <f>IF('Additional Images'!B78 = "", "", IF('Additional Images-WUO_ERR'!A78 = "", "Validated", HYPERLINK("#" &amp; ADDRESS(78, 'Additional Images-WUO_TRK'!A78),_xlfn.TEXTAFTER('Additional Images-WUO_ERR'!A78, ":"))))</f>
        <v/>
      </c>
    </row>
    <row r="79">
      <c r="A79" s="38">
        <f>IF('Additional Images'!B79 = "", "", IF('Additional Images-WUO_ERR'!A79 = "", "Validated", HYPERLINK("#" &amp; ADDRESS(79, 'Additional Images-WUO_TRK'!A79),_xlfn.TEXTAFTER('Additional Images-WUO_ERR'!A79, ":"))))</f>
        <v/>
      </c>
    </row>
    <row r="80">
      <c r="A80" s="38">
        <f>IF('Additional Images'!B80 = "", "", IF('Additional Images-WUO_ERR'!A80 = "", "Validated", HYPERLINK("#" &amp; ADDRESS(80, 'Additional Images-WUO_TRK'!A80),_xlfn.TEXTAFTER('Additional Images-WUO_ERR'!A80, ":"))))</f>
        <v/>
      </c>
    </row>
    <row r="81">
      <c r="A81" s="38">
        <f>IF('Additional Images'!B81 = "", "", IF('Additional Images-WUO_ERR'!A81 = "", "Validated", HYPERLINK("#" &amp; ADDRESS(81, 'Additional Images-WUO_TRK'!A81),_xlfn.TEXTAFTER('Additional Images-WUO_ERR'!A81, ":"))))</f>
        <v/>
      </c>
    </row>
    <row r="82">
      <c r="A82" s="38">
        <f>IF('Additional Images'!B82 = "", "", IF('Additional Images-WUO_ERR'!A82 = "", "Validated", HYPERLINK("#" &amp; ADDRESS(82, 'Additional Images-WUO_TRK'!A82),_xlfn.TEXTAFTER('Additional Images-WUO_ERR'!A82, ":"))))</f>
        <v/>
      </c>
    </row>
    <row r="83">
      <c r="A83" s="38">
        <f>IF('Additional Images'!B83 = "", "", IF('Additional Images-WUO_ERR'!A83 = "", "Validated", HYPERLINK("#" &amp; ADDRESS(83, 'Additional Images-WUO_TRK'!A83),_xlfn.TEXTAFTER('Additional Images-WUO_ERR'!A83, ":"))))</f>
        <v/>
      </c>
    </row>
    <row r="84">
      <c r="A84" s="38">
        <f>IF('Additional Images'!B84 = "", "", IF('Additional Images-WUO_ERR'!A84 = "", "Validated", HYPERLINK("#" &amp; ADDRESS(84, 'Additional Images-WUO_TRK'!A84),_xlfn.TEXTAFTER('Additional Images-WUO_ERR'!A84, ":"))))</f>
        <v/>
      </c>
    </row>
    <row r="85">
      <c r="A85" s="38">
        <f>IF('Additional Images'!B85 = "", "", IF('Additional Images-WUO_ERR'!A85 = "", "Validated", HYPERLINK("#" &amp; ADDRESS(85, 'Additional Images-WUO_TRK'!A85),_xlfn.TEXTAFTER('Additional Images-WUO_ERR'!A85, ":"))))</f>
        <v/>
      </c>
    </row>
    <row r="86">
      <c r="A86" s="38">
        <f>IF('Additional Images'!B86 = "", "", IF('Additional Images-WUO_ERR'!A86 = "", "Validated", HYPERLINK("#" &amp; ADDRESS(86, 'Additional Images-WUO_TRK'!A86),_xlfn.TEXTAFTER('Additional Images-WUO_ERR'!A86, ":"))))</f>
        <v/>
      </c>
    </row>
    <row r="87">
      <c r="A87" s="38">
        <f>IF('Additional Images'!B87 = "", "", IF('Additional Images-WUO_ERR'!A87 = "", "Validated", HYPERLINK("#" &amp; ADDRESS(87, 'Additional Images-WUO_TRK'!A87),_xlfn.TEXTAFTER('Additional Images-WUO_ERR'!A87, ":"))))</f>
        <v/>
      </c>
    </row>
    <row r="88">
      <c r="A88" s="38">
        <f>IF('Additional Images'!B88 = "", "", IF('Additional Images-WUO_ERR'!A88 = "", "Validated", HYPERLINK("#" &amp; ADDRESS(88, 'Additional Images-WUO_TRK'!A88),_xlfn.TEXTAFTER('Additional Images-WUO_ERR'!A88, ":"))))</f>
        <v/>
      </c>
    </row>
    <row r="89">
      <c r="A89" s="38">
        <f>IF('Additional Images'!B89 = "", "", IF('Additional Images-WUO_ERR'!A89 = "", "Validated", HYPERLINK("#" &amp; ADDRESS(89, 'Additional Images-WUO_TRK'!A89),_xlfn.TEXTAFTER('Additional Images-WUO_ERR'!A89, ":"))))</f>
        <v/>
      </c>
    </row>
    <row r="90">
      <c r="A90" s="38">
        <f>IF('Additional Images'!B90 = "", "", IF('Additional Images-WUO_ERR'!A90 = "", "Validated", HYPERLINK("#" &amp; ADDRESS(90, 'Additional Images-WUO_TRK'!A90),_xlfn.TEXTAFTER('Additional Images-WUO_ERR'!A90, ":"))))</f>
        <v/>
      </c>
    </row>
    <row r="91">
      <c r="A91" s="38">
        <f>IF('Additional Images'!B91 = "", "", IF('Additional Images-WUO_ERR'!A91 = "", "Validated", HYPERLINK("#" &amp; ADDRESS(91, 'Additional Images-WUO_TRK'!A91),_xlfn.TEXTAFTER('Additional Images-WUO_ERR'!A91, ":"))))</f>
        <v/>
      </c>
    </row>
    <row r="92">
      <c r="A92" s="38">
        <f>IF('Additional Images'!B92 = "", "", IF('Additional Images-WUO_ERR'!A92 = "", "Validated", HYPERLINK("#" &amp; ADDRESS(92, 'Additional Images-WUO_TRK'!A92),_xlfn.TEXTAFTER('Additional Images-WUO_ERR'!A92, ":"))))</f>
        <v/>
      </c>
    </row>
    <row r="93">
      <c r="A93" s="38">
        <f>IF('Additional Images'!B93 = "", "", IF('Additional Images-WUO_ERR'!A93 = "", "Validated", HYPERLINK("#" &amp; ADDRESS(93, 'Additional Images-WUO_TRK'!A93),_xlfn.TEXTAFTER('Additional Images-WUO_ERR'!A93, ":"))))</f>
        <v/>
      </c>
    </row>
    <row r="94">
      <c r="A94" s="38">
        <f>IF('Additional Images'!B94 = "", "", IF('Additional Images-WUO_ERR'!A94 = "", "Validated", HYPERLINK("#" &amp; ADDRESS(94, 'Additional Images-WUO_TRK'!A94),_xlfn.TEXTAFTER('Additional Images-WUO_ERR'!A94, ":"))))</f>
        <v/>
      </c>
    </row>
    <row r="95">
      <c r="A95" s="38">
        <f>IF('Additional Images'!B95 = "", "", IF('Additional Images-WUO_ERR'!A95 = "", "Validated", HYPERLINK("#" &amp; ADDRESS(95, 'Additional Images-WUO_TRK'!A95),_xlfn.TEXTAFTER('Additional Images-WUO_ERR'!A95, ":"))))</f>
        <v/>
      </c>
    </row>
    <row r="96">
      <c r="A96" s="38">
        <f>IF('Additional Images'!B96 = "", "", IF('Additional Images-WUO_ERR'!A96 = "", "Validated", HYPERLINK("#" &amp; ADDRESS(96, 'Additional Images-WUO_TRK'!A96),_xlfn.TEXTAFTER('Additional Images-WUO_ERR'!A96, ":"))))</f>
        <v/>
      </c>
    </row>
    <row r="97">
      <c r="A97" s="38">
        <f>IF('Additional Images'!B97 = "", "", IF('Additional Images-WUO_ERR'!A97 = "", "Validated", HYPERLINK("#" &amp; ADDRESS(97, 'Additional Images-WUO_TRK'!A97),_xlfn.TEXTAFTER('Additional Images-WUO_ERR'!A97, ":"))))</f>
        <v/>
      </c>
    </row>
    <row r="98">
      <c r="A98" s="38">
        <f>IF('Additional Images'!B98 = "", "", IF('Additional Images-WUO_ERR'!A98 = "", "Validated", HYPERLINK("#" &amp; ADDRESS(98, 'Additional Images-WUO_TRK'!A98),_xlfn.TEXTAFTER('Additional Images-WUO_ERR'!A98, ":"))))</f>
        <v/>
      </c>
    </row>
    <row r="99">
      <c r="A99" s="38">
        <f>IF('Additional Images'!B99 = "", "", IF('Additional Images-WUO_ERR'!A99 = "", "Validated", HYPERLINK("#" &amp; ADDRESS(99, 'Additional Images-WUO_TRK'!A99),_xlfn.TEXTAFTER('Additional Images-WUO_ERR'!A99, ":"))))</f>
        <v/>
      </c>
    </row>
    <row r="100">
      <c r="A100" s="38">
        <f>IF('Additional Images'!B100 = "", "", IF('Additional Images-WUO_ERR'!A100 = "", "Validated", HYPERLINK("#" &amp; ADDRESS(100, 'Additional Images-WUO_TRK'!A100),_xlfn.TEXTAFTER('Additional Images-WUO_ERR'!A100, ":"))))</f>
        <v/>
      </c>
    </row>
    <row r="101">
      <c r="A101" s="38">
        <f>IF('Additional Images'!B101 = "", "", IF('Additional Images-WUO_ERR'!A101 = "", "Validated", HYPERLINK("#" &amp; ADDRESS(101, 'Additional Images-WUO_TRK'!A101),_xlfn.TEXTAFTER('Additional Images-WUO_ERR'!A101, ":"))))</f>
        <v/>
      </c>
    </row>
    <row r="102">
      <c r="A102" s="38">
        <f>IF('Additional Images'!B102 = "", "", IF('Additional Images-WUO_ERR'!A102 = "", "Validated", HYPERLINK("#" &amp; ADDRESS(102, 'Additional Images-WUO_TRK'!A102),_xlfn.TEXTAFTER('Additional Images-WUO_ERR'!A102, ":"))))</f>
        <v/>
      </c>
    </row>
    <row r="103">
      <c r="A103" s="38">
        <f>IF('Additional Images'!B103 = "", "", IF('Additional Images-WUO_ERR'!A103 = "", "Validated", HYPERLINK("#" &amp; ADDRESS(103, 'Additional Images-WUO_TRK'!A103),_xlfn.TEXTAFTER('Additional Images-WUO_ERR'!A103, ":"))))</f>
        <v/>
      </c>
    </row>
    <row r="104">
      <c r="A104" s="38">
        <f>IF('Additional Images'!B104 = "", "", IF('Additional Images-WUO_ERR'!A104 = "", "Validated", HYPERLINK("#" &amp; ADDRESS(104, 'Additional Images-WUO_TRK'!A104),_xlfn.TEXTAFTER('Additional Images-WUO_ERR'!A104, ":"))))</f>
        <v/>
      </c>
    </row>
    <row r="105">
      <c r="A105" s="38">
        <f>IF('Additional Images'!B105 = "", "", IF('Additional Images-WUO_ERR'!A105 = "", "Validated", HYPERLINK("#" &amp; ADDRESS(105, 'Additional Images-WUO_TRK'!A105),_xlfn.TEXTAFTER('Additional Images-WUO_ERR'!A105, ":"))))</f>
        <v/>
      </c>
    </row>
    <row r="106">
      <c r="A106" s="38">
        <f>IF('Additional Images'!B106 = "", "", IF('Additional Images-WUO_ERR'!A106 = "", "Validated", HYPERLINK("#" &amp; ADDRESS(106, 'Additional Images-WUO_TRK'!A106),_xlfn.TEXTAFTER('Additional Images-WUO_ERR'!A106, ":"))))</f>
        <v/>
      </c>
    </row>
    <row r="107">
      <c r="A107" s="38">
        <f>IF('Additional Images'!B107 = "", "", IF('Additional Images-WUO_ERR'!A107 = "", "Validated", HYPERLINK("#" &amp; ADDRESS(107, 'Additional Images-WUO_TRK'!A107),_xlfn.TEXTAFTER('Additional Images-WUO_ERR'!A107, ":"))))</f>
        <v/>
      </c>
    </row>
    <row r="108">
      <c r="A108" s="38">
        <f>IF('Additional Images'!B108 = "", "", IF('Additional Images-WUO_ERR'!A108 = "", "Validated", HYPERLINK("#" &amp; ADDRESS(108, 'Additional Images-WUO_TRK'!A108),_xlfn.TEXTAFTER('Additional Images-WUO_ERR'!A108, ":"))))</f>
        <v/>
      </c>
    </row>
    <row r="109">
      <c r="A109" s="38">
        <f>IF('Additional Images'!B109 = "", "", IF('Additional Images-WUO_ERR'!A109 = "", "Validated", HYPERLINK("#" &amp; ADDRESS(109, 'Additional Images-WUO_TRK'!A109),_xlfn.TEXTAFTER('Additional Images-WUO_ERR'!A109, ":"))))</f>
        <v/>
      </c>
    </row>
    <row r="110">
      <c r="A110" s="38">
        <f>IF('Additional Images'!B110 = "", "", IF('Additional Images-WUO_ERR'!A110 = "", "Validated", HYPERLINK("#" &amp; ADDRESS(110, 'Additional Images-WUO_TRK'!A110),_xlfn.TEXTAFTER('Additional Images-WUO_ERR'!A110, ":"))))</f>
        <v/>
      </c>
    </row>
    <row r="111">
      <c r="A111" s="38">
        <f>IF('Additional Images'!B111 = "", "", IF('Additional Images-WUO_ERR'!A111 = "", "Validated", HYPERLINK("#" &amp; ADDRESS(111, 'Additional Images-WUO_TRK'!A111),_xlfn.TEXTAFTER('Additional Images-WUO_ERR'!A111, ":"))))</f>
        <v/>
      </c>
    </row>
    <row r="112">
      <c r="A112" s="38">
        <f>IF('Additional Images'!B112 = "", "", IF('Additional Images-WUO_ERR'!A112 = "", "Validated", HYPERLINK("#" &amp; ADDRESS(112, 'Additional Images-WUO_TRK'!A112),_xlfn.TEXTAFTER('Additional Images-WUO_ERR'!A112, ":"))))</f>
        <v/>
      </c>
    </row>
    <row r="113">
      <c r="A113" s="38">
        <f>IF('Additional Images'!B113 = "", "", IF('Additional Images-WUO_ERR'!A113 = "", "Validated", HYPERLINK("#" &amp; ADDRESS(113, 'Additional Images-WUO_TRK'!A113),_xlfn.TEXTAFTER('Additional Images-WUO_ERR'!A113, ":"))))</f>
        <v/>
      </c>
    </row>
    <row r="114">
      <c r="A114" s="38">
        <f>IF('Additional Images'!B114 = "", "", IF('Additional Images-WUO_ERR'!A114 = "", "Validated", HYPERLINK("#" &amp; ADDRESS(114, 'Additional Images-WUO_TRK'!A114),_xlfn.TEXTAFTER('Additional Images-WUO_ERR'!A114, ":"))))</f>
        <v/>
      </c>
    </row>
    <row r="115">
      <c r="A115" s="38">
        <f>IF('Additional Images'!B115 = "", "", IF('Additional Images-WUO_ERR'!A115 = "", "Validated", HYPERLINK("#" &amp; ADDRESS(115, 'Additional Images-WUO_TRK'!A115),_xlfn.TEXTAFTER('Additional Images-WUO_ERR'!A115, ":"))))</f>
        <v/>
      </c>
    </row>
    <row r="116">
      <c r="A116" s="38">
        <f>IF('Additional Images'!B116 = "", "", IF('Additional Images-WUO_ERR'!A116 = "", "Validated", HYPERLINK("#" &amp; ADDRESS(116, 'Additional Images-WUO_TRK'!A116),_xlfn.TEXTAFTER('Additional Images-WUO_ERR'!A116, ":"))))</f>
        <v/>
      </c>
    </row>
    <row r="117">
      <c r="A117" s="38">
        <f>IF('Additional Images'!B117 = "", "", IF('Additional Images-WUO_ERR'!A117 = "", "Validated", HYPERLINK("#" &amp; ADDRESS(117, 'Additional Images-WUO_TRK'!A117),_xlfn.TEXTAFTER('Additional Images-WUO_ERR'!A117, ":"))))</f>
        <v/>
      </c>
    </row>
    <row r="118">
      <c r="A118" s="38">
        <f>IF('Additional Images'!B118 = "", "", IF('Additional Images-WUO_ERR'!A118 = "", "Validated", HYPERLINK("#" &amp; ADDRESS(118, 'Additional Images-WUO_TRK'!A118),_xlfn.TEXTAFTER('Additional Images-WUO_ERR'!A118, ":"))))</f>
        <v/>
      </c>
    </row>
    <row r="119">
      <c r="A119" s="38">
        <f>IF('Additional Images'!B119 = "", "", IF('Additional Images-WUO_ERR'!A119 = "", "Validated", HYPERLINK("#" &amp; ADDRESS(119, 'Additional Images-WUO_TRK'!A119),_xlfn.TEXTAFTER('Additional Images-WUO_ERR'!A119, ":"))))</f>
        <v/>
      </c>
    </row>
    <row r="120">
      <c r="A120" s="38">
        <f>IF('Additional Images'!B120 = "", "", IF('Additional Images-WUO_ERR'!A120 = "", "Validated", HYPERLINK("#" &amp; ADDRESS(120, 'Additional Images-WUO_TRK'!A120),_xlfn.TEXTAFTER('Additional Images-WUO_ERR'!A120, ":"))))</f>
        <v/>
      </c>
    </row>
    <row r="121">
      <c r="A121" s="38">
        <f>IF('Additional Images'!B121 = "", "", IF('Additional Images-WUO_ERR'!A121 = "", "Validated", HYPERLINK("#" &amp; ADDRESS(121, 'Additional Images-WUO_TRK'!A121),_xlfn.TEXTAFTER('Additional Images-WUO_ERR'!A121, ":"))))</f>
        <v/>
      </c>
    </row>
    <row r="122">
      <c r="A122" s="38">
        <f>IF('Additional Images'!B122 = "", "", IF('Additional Images-WUO_ERR'!A122 = "", "Validated", HYPERLINK("#" &amp; ADDRESS(122, 'Additional Images-WUO_TRK'!A122),_xlfn.TEXTAFTER('Additional Images-WUO_ERR'!A122, ":"))))</f>
        <v/>
      </c>
    </row>
    <row r="123">
      <c r="A123" s="38">
        <f>IF('Additional Images'!B123 = "", "", IF('Additional Images-WUO_ERR'!A123 = "", "Validated", HYPERLINK("#" &amp; ADDRESS(123, 'Additional Images-WUO_TRK'!A123),_xlfn.TEXTAFTER('Additional Images-WUO_ERR'!A123, ":"))))</f>
        <v/>
      </c>
    </row>
    <row r="124">
      <c r="A124" s="38">
        <f>IF('Additional Images'!B124 = "", "", IF('Additional Images-WUO_ERR'!A124 = "", "Validated", HYPERLINK("#" &amp; ADDRESS(124, 'Additional Images-WUO_TRK'!A124),_xlfn.TEXTAFTER('Additional Images-WUO_ERR'!A124, ":"))))</f>
        <v/>
      </c>
    </row>
    <row r="125">
      <c r="A125" s="38">
        <f>IF('Additional Images'!B125 = "", "", IF('Additional Images-WUO_ERR'!A125 = "", "Validated", HYPERLINK("#" &amp; ADDRESS(125, 'Additional Images-WUO_TRK'!A125),_xlfn.TEXTAFTER('Additional Images-WUO_ERR'!A125, ":"))))</f>
        <v/>
      </c>
    </row>
    <row r="126">
      <c r="A126" s="38">
        <f>IF('Additional Images'!B126 = "", "", IF('Additional Images-WUO_ERR'!A126 = "", "Validated", HYPERLINK("#" &amp; ADDRESS(126, 'Additional Images-WUO_TRK'!A126),_xlfn.TEXTAFTER('Additional Images-WUO_ERR'!A126, ":"))))</f>
        <v/>
      </c>
    </row>
    <row r="127">
      <c r="A127" s="38">
        <f>IF('Additional Images'!B127 = "", "", IF('Additional Images-WUO_ERR'!A127 = "", "Validated", HYPERLINK("#" &amp; ADDRESS(127, 'Additional Images-WUO_TRK'!A127),_xlfn.TEXTAFTER('Additional Images-WUO_ERR'!A127, ":"))))</f>
        <v/>
      </c>
    </row>
    <row r="128">
      <c r="A128" s="38">
        <f>IF('Additional Images'!B128 = "", "", IF('Additional Images-WUO_ERR'!A128 = "", "Validated", HYPERLINK("#" &amp; ADDRESS(128, 'Additional Images-WUO_TRK'!A128),_xlfn.TEXTAFTER('Additional Images-WUO_ERR'!A128, ":"))))</f>
        <v/>
      </c>
    </row>
    <row r="129">
      <c r="A129" s="38">
        <f>IF('Additional Images'!B129 = "", "", IF('Additional Images-WUO_ERR'!A129 = "", "Validated", HYPERLINK("#" &amp; ADDRESS(129, 'Additional Images-WUO_TRK'!A129),_xlfn.TEXTAFTER('Additional Images-WUO_ERR'!A129, ":"))))</f>
        <v/>
      </c>
    </row>
    <row r="130">
      <c r="A130" s="38">
        <f>IF('Additional Images'!B130 = "", "", IF('Additional Images-WUO_ERR'!A130 = "", "Validated", HYPERLINK("#" &amp; ADDRESS(130, 'Additional Images-WUO_TRK'!A130),_xlfn.TEXTAFTER('Additional Images-WUO_ERR'!A130, ":"))))</f>
        <v/>
      </c>
    </row>
    <row r="131">
      <c r="A131" s="38">
        <f>IF('Additional Images'!B131 = "", "", IF('Additional Images-WUO_ERR'!A131 = "", "Validated", HYPERLINK("#" &amp; ADDRESS(131, 'Additional Images-WUO_TRK'!A131),_xlfn.TEXTAFTER('Additional Images-WUO_ERR'!A131, ":"))))</f>
        <v/>
      </c>
    </row>
    <row r="132">
      <c r="A132" s="38">
        <f>IF('Additional Images'!B132 = "", "", IF('Additional Images-WUO_ERR'!A132 = "", "Validated", HYPERLINK("#" &amp; ADDRESS(132, 'Additional Images-WUO_TRK'!A132),_xlfn.TEXTAFTER('Additional Images-WUO_ERR'!A132, ":"))))</f>
        <v/>
      </c>
    </row>
    <row r="133">
      <c r="A133" s="38">
        <f>IF('Additional Images'!B133 = "", "", IF('Additional Images-WUO_ERR'!A133 = "", "Validated", HYPERLINK("#" &amp; ADDRESS(133, 'Additional Images-WUO_TRK'!A133),_xlfn.TEXTAFTER('Additional Images-WUO_ERR'!A133, ":"))))</f>
        <v/>
      </c>
    </row>
    <row r="134">
      <c r="A134" s="38">
        <f>IF('Additional Images'!B134 = "", "", IF('Additional Images-WUO_ERR'!A134 = "", "Validated", HYPERLINK("#" &amp; ADDRESS(134, 'Additional Images-WUO_TRK'!A134),_xlfn.TEXTAFTER('Additional Images-WUO_ERR'!A134, ":"))))</f>
        <v/>
      </c>
    </row>
    <row r="135">
      <c r="A135" s="38">
        <f>IF('Additional Images'!B135 = "", "", IF('Additional Images-WUO_ERR'!A135 = "", "Validated", HYPERLINK("#" &amp; ADDRESS(135, 'Additional Images-WUO_TRK'!A135),_xlfn.TEXTAFTER('Additional Images-WUO_ERR'!A135, ":"))))</f>
        <v/>
      </c>
    </row>
    <row r="136">
      <c r="A136" s="38">
        <f>IF('Additional Images'!B136 = "", "", IF('Additional Images-WUO_ERR'!A136 = "", "Validated", HYPERLINK("#" &amp; ADDRESS(136, 'Additional Images-WUO_TRK'!A136),_xlfn.TEXTAFTER('Additional Images-WUO_ERR'!A136, ":"))))</f>
        <v/>
      </c>
    </row>
    <row r="137">
      <c r="A137" s="38">
        <f>IF('Additional Images'!B137 = "", "", IF('Additional Images-WUO_ERR'!A137 = "", "Validated", HYPERLINK("#" &amp; ADDRESS(137, 'Additional Images-WUO_TRK'!A137),_xlfn.TEXTAFTER('Additional Images-WUO_ERR'!A137, ":"))))</f>
        <v/>
      </c>
    </row>
    <row r="138">
      <c r="A138" s="38">
        <f>IF('Additional Images'!B138 = "", "", IF('Additional Images-WUO_ERR'!A138 = "", "Validated", HYPERLINK("#" &amp; ADDRESS(138, 'Additional Images-WUO_TRK'!A138),_xlfn.TEXTAFTER('Additional Images-WUO_ERR'!A138, ":"))))</f>
        <v/>
      </c>
    </row>
    <row r="139">
      <c r="A139" s="38">
        <f>IF('Additional Images'!B139 = "", "", IF('Additional Images-WUO_ERR'!A139 = "", "Validated", HYPERLINK("#" &amp; ADDRESS(139, 'Additional Images-WUO_TRK'!A139),_xlfn.TEXTAFTER('Additional Images-WUO_ERR'!A139, ":"))))</f>
        <v/>
      </c>
    </row>
    <row r="140">
      <c r="A140" s="38">
        <f>IF('Additional Images'!B140 = "", "", IF('Additional Images-WUO_ERR'!A140 = "", "Validated", HYPERLINK("#" &amp; ADDRESS(140, 'Additional Images-WUO_TRK'!A140),_xlfn.TEXTAFTER('Additional Images-WUO_ERR'!A140, ":"))))</f>
        <v/>
      </c>
    </row>
    <row r="141">
      <c r="A141" s="38">
        <f>IF('Additional Images'!B141 = "", "", IF('Additional Images-WUO_ERR'!A141 = "", "Validated", HYPERLINK("#" &amp; ADDRESS(141, 'Additional Images-WUO_TRK'!A141),_xlfn.TEXTAFTER('Additional Images-WUO_ERR'!A141, ":"))))</f>
        <v/>
      </c>
    </row>
    <row r="142">
      <c r="A142" s="38">
        <f>IF('Additional Images'!B142 = "", "", IF('Additional Images-WUO_ERR'!A142 = "", "Validated", HYPERLINK("#" &amp; ADDRESS(142, 'Additional Images-WUO_TRK'!A142),_xlfn.TEXTAFTER('Additional Images-WUO_ERR'!A142, ":"))))</f>
        <v/>
      </c>
    </row>
    <row r="143">
      <c r="A143" s="38">
        <f>IF('Additional Images'!B143 = "", "", IF('Additional Images-WUO_ERR'!A143 = "", "Validated", HYPERLINK("#" &amp; ADDRESS(143, 'Additional Images-WUO_TRK'!A143),_xlfn.TEXTAFTER('Additional Images-WUO_ERR'!A143, ":"))))</f>
        <v/>
      </c>
    </row>
    <row r="144">
      <c r="A144" s="38">
        <f>IF('Additional Images'!B144 = "", "", IF('Additional Images-WUO_ERR'!A144 = "", "Validated", HYPERLINK("#" &amp; ADDRESS(144, 'Additional Images-WUO_TRK'!A144),_xlfn.TEXTAFTER('Additional Images-WUO_ERR'!A144, ":"))))</f>
        <v/>
      </c>
    </row>
    <row r="145">
      <c r="A145" s="38">
        <f>IF('Additional Images'!B145 = "", "", IF('Additional Images-WUO_ERR'!A145 = "", "Validated", HYPERLINK("#" &amp; ADDRESS(145, 'Additional Images-WUO_TRK'!A145),_xlfn.TEXTAFTER('Additional Images-WUO_ERR'!A145, ":"))))</f>
        <v/>
      </c>
    </row>
    <row r="146">
      <c r="A146" s="38">
        <f>IF('Additional Images'!B146 = "", "", IF('Additional Images-WUO_ERR'!A146 = "", "Validated", HYPERLINK("#" &amp; ADDRESS(146, 'Additional Images-WUO_TRK'!A146),_xlfn.TEXTAFTER('Additional Images-WUO_ERR'!A146, ":"))))</f>
        <v/>
      </c>
    </row>
    <row r="147">
      <c r="A147" s="38">
        <f>IF('Additional Images'!B147 = "", "", IF('Additional Images-WUO_ERR'!A147 = "", "Validated", HYPERLINK("#" &amp; ADDRESS(147, 'Additional Images-WUO_TRK'!A147),_xlfn.TEXTAFTER('Additional Images-WUO_ERR'!A147, ":"))))</f>
        <v/>
      </c>
    </row>
    <row r="148">
      <c r="A148" s="38">
        <f>IF('Additional Images'!B148 = "", "", IF('Additional Images-WUO_ERR'!A148 = "", "Validated", HYPERLINK("#" &amp; ADDRESS(148, 'Additional Images-WUO_TRK'!A148),_xlfn.TEXTAFTER('Additional Images-WUO_ERR'!A148, ":"))))</f>
        <v/>
      </c>
    </row>
    <row r="149">
      <c r="A149" s="38">
        <f>IF('Additional Images'!B149 = "", "", IF('Additional Images-WUO_ERR'!A149 = "", "Validated", HYPERLINK("#" &amp; ADDRESS(149, 'Additional Images-WUO_TRK'!A149),_xlfn.TEXTAFTER('Additional Images-WUO_ERR'!A149, ":"))))</f>
        <v/>
      </c>
    </row>
    <row r="150">
      <c r="A150" s="38">
        <f>IF('Additional Images'!B150 = "", "", IF('Additional Images-WUO_ERR'!A150 = "", "Validated", HYPERLINK("#" &amp; ADDRESS(150, 'Additional Images-WUO_TRK'!A150),_xlfn.TEXTAFTER('Additional Images-WUO_ERR'!A150, ":"))))</f>
        <v/>
      </c>
    </row>
    <row r="151">
      <c r="A151" s="38">
        <f>IF('Additional Images'!B151 = "", "", IF('Additional Images-WUO_ERR'!A151 = "", "Validated", HYPERLINK("#" &amp; ADDRESS(151, 'Additional Images-WUO_TRK'!A151),_xlfn.TEXTAFTER('Additional Images-WUO_ERR'!A151, ":"))))</f>
        <v/>
      </c>
    </row>
    <row r="152">
      <c r="A152" s="38">
        <f>IF('Additional Images'!B152 = "", "", IF('Additional Images-WUO_ERR'!A152 = "", "Validated", HYPERLINK("#" &amp; ADDRESS(152, 'Additional Images-WUO_TRK'!A152),_xlfn.TEXTAFTER('Additional Images-WUO_ERR'!A152, ":"))))</f>
        <v/>
      </c>
    </row>
    <row r="153">
      <c r="A153" s="38">
        <f>IF('Additional Images'!B153 = "", "", IF('Additional Images-WUO_ERR'!A153 = "", "Validated", HYPERLINK("#" &amp; ADDRESS(153, 'Additional Images-WUO_TRK'!A153),_xlfn.TEXTAFTER('Additional Images-WUO_ERR'!A153, ":"))))</f>
        <v/>
      </c>
    </row>
    <row r="154">
      <c r="A154" s="38">
        <f>IF('Additional Images'!B154 = "", "", IF('Additional Images-WUO_ERR'!A154 = "", "Validated", HYPERLINK("#" &amp; ADDRESS(154, 'Additional Images-WUO_TRK'!A154),_xlfn.TEXTAFTER('Additional Images-WUO_ERR'!A154, ":"))))</f>
        <v/>
      </c>
    </row>
    <row r="155">
      <c r="A155" s="38">
        <f>IF('Additional Images'!B155 = "", "", IF('Additional Images-WUO_ERR'!A155 = "", "Validated", HYPERLINK("#" &amp; ADDRESS(155, 'Additional Images-WUO_TRK'!A155),_xlfn.TEXTAFTER('Additional Images-WUO_ERR'!A155, ":"))))</f>
        <v/>
      </c>
    </row>
    <row r="156">
      <c r="A156" s="38">
        <f>IF('Additional Images'!B156 = "", "", IF('Additional Images-WUO_ERR'!A156 = "", "Validated", HYPERLINK("#" &amp; ADDRESS(156, 'Additional Images-WUO_TRK'!A156),_xlfn.TEXTAFTER('Additional Images-WUO_ERR'!A156, ":"))))</f>
        <v/>
      </c>
    </row>
    <row r="157">
      <c r="A157" s="38">
        <f>IF('Additional Images'!B157 = "", "", IF('Additional Images-WUO_ERR'!A157 = "", "Validated", HYPERLINK("#" &amp; ADDRESS(157, 'Additional Images-WUO_TRK'!A157),_xlfn.TEXTAFTER('Additional Images-WUO_ERR'!A157, ":"))))</f>
        <v/>
      </c>
    </row>
    <row r="158">
      <c r="A158" s="38">
        <f>IF('Additional Images'!B158 = "", "", IF('Additional Images-WUO_ERR'!A158 = "", "Validated", HYPERLINK("#" &amp; ADDRESS(158, 'Additional Images-WUO_TRK'!A158),_xlfn.TEXTAFTER('Additional Images-WUO_ERR'!A158, ":"))))</f>
        <v/>
      </c>
    </row>
    <row r="159">
      <c r="A159" s="38">
        <f>IF('Additional Images'!B159 = "", "", IF('Additional Images-WUO_ERR'!A159 = "", "Validated", HYPERLINK("#" &amp; ADDRESS(159, 'Additional Images-WUO_TRK'!A159),_xlfn.TEXTAFTER('Additional Images-WUO_ERR'!A159, ":"))))</f>
        <v/>
      </c>
    </row>
    <row r="160">
      <c r="A160" s="38">
        <f>IF('Additional Images'!B160 = "", "", IF('Additional Images-WUO_ERR'!A160 = "", "Validated", HYPERLINK("#" &amp; ADDRESS(160, 'Additional Images-WUO_TRK'!A160),_xlfn.TEXTAFTER('Additional Images-WUO_ERR'!A160, ":"))))</f>
        <v/>
      </c>
    </row>
    <row r="161">
      <c r="A161" s="38">
        <f>IF('Additional Images'!B161 = "", "", IF('Additional Images-WUO_ERR'!A161 = "", "Validated", HYPERLINK("#" &amp; ADDRESS(161, 'Additional Images-WUO_TRK'!A161),_xlfn.TEXTAFTER('Additional Images-WUO_ERR'!A161, ":"))))</f>
        <v/>
      </c>
    </row>
    <row r="162">
      <c r="A162" s="38">
        <f>IF('Additional Images'!B162 = "", "", IF('Additional Images-WUO_ERR'!A162 = "", "Validated", HYPERLINK("#" &amp; ADDRESS(162, 'Additional Images-WUO_TRK'!A162),_xlfn.TEXTAFTER('Additional Images-WUO_ERR'!A162, ":"))))</f>
        <v/>
      </c>
    </row>
    <row r="163">
      <c r="A163" s="38">
        <f>IF('Additional Images'!B163 = "", "", IF('Additional Images-WUO_ERR'!A163 = "", "Validated", HYPERLINK("#" &amp; ADDRESS(163, 'Additional Images-WUO_TRK'!A163),_xlfn.TEXTAFTER('Additional Images-WUO_ERR'!A163, ":"))))</f>
        <v/>
      </c>
    </row>
    <row r="164">
      <c r="A164" s="38">
        <f>IF('Additional Images'!B164 = "", "", IF('Additional Images-WUO_ERR'!A164 = "", "Validated", HYPERLINK("#" &amp; ADDRESS(164, 'Additional Images-WUO_TRK'!A164),_xlfn.TEXTAFTER('Additional Images-WUO_ERR'!A164, ":"))))</f>
        <v/>
      </c>
    </row>
    <row r="165">
      <c r="A165" s="38">
        <f>IF('Additional Images'!B165 = "", "", IF('Additional Images-WUO_ERR'!A165 = "", "Validated", HYPERLINK("#" &amp; ADDRESS(165, 'Additional Images-WUO_TRK'!A165),_xlfn.TEXTAFTER('Additional Images-WUO_ERR'!A165, ":"))))</f>
        <v/>
      </c>
    </row>
    <row r="166">
      <c r="A166" s="38">
        <f>IF('Additional Images'!B166 = "", "", IF('Additional Images-WUO_ERR'!A166 = "", "Validated", HYPERLINK("#" &amp; ADDRESS(166, 'Additional Images-WUO_TRK'!A166),_xlfn.TEXTAFTER('Additional Images-WUO_ERR'!A166, ":"))))</f>
        <v/>
      </c>
    </row>
    <row r="167">
      <c r="A167" s="38">
        <f>IF('Additional Images'!B167 = "", "", IF('Additional Images-WUO_ERR'!A167 = "", "Validated", HYPERLINK("#" &amp; ADDRESS(167, 'Additional Images-WUO_TRK'!A167),_xlfn.TEXTAFTER('Additional Images-WUO_ERR'!A167, ":"))))</f>
        <v/>
      </c>
    </row>
    <row r="168">
      <c r="A168" s="38">
        <f>IF('Additional Images'!B168 = "", "", IF('Additional Images-WUO_ERR'!A168 = "", "Validated", HYPERLINK("#" &amp; ADDRESS(168, 'Additional Images-WUO_TRK'!A168),_xlfn.TEXTAFTER('Additional Images-WUO_ERR'!A168, ":"))))</f>
        <v/>
      </c>
    </row>
    <row r="169">
      <c r="A169" s="38">
        <f>IF('Additional Images'!B169 = "", "", IF('Additional Images-WUO_ERR'!A169 = "", "Validated", HYPERLINK("#" &amp; ADDRESS(169, 'Additional Images-WUO_TRK'!A169),_xlfn.TEXTAFTER('Additional Images-WUO_ERR'!A169, ":"))))</f>
        <v/>
      </c>
    </row>
    <row r="170">
      <c r="A170" s="38">
        <f>IF('Additional Images'!B170 = "", "", IF('Additional Images-WUO_ERR'!A170 = "", "Validated", HYPERLINK("#" &amp; ADDRESS(170, 'Additional Images-WUO_TRK'!A170),_xlfn.TEXTAFTER('Additional Images-WUO_ERR'!A170, ":"))))</f>
        <v/>
      </c>
    </row>
    <row r="171">
      <c r="A171" s="38">
        <f>IF('Additional Images'!B171 = "", "", IF('Additional Images-WUO_ERR'!A171 = "", "Validated", HYPERLINK("#" &amp; ADDRESS(171, 'Additional Images-WUO_TRK'!A171),_xlfn.TEXTAFTER('Additional Images-WUO_ERR'!A171, ":"))))</f>
        <v/>
      </c>
    </row>
    <row r="172">
      <c r="A172" s="38">
        <f>IF('Additional Images'!B172 = "", "", IF('Additional Images-WUO_ERR'!A172 = "", "Validated", HYPERLINK("#" &amp; ADDRESS(172, 'Additional Images-WUO_TRK'!A172),_xlfn.TEXTAFTER('Additional Images-WUO_ERR'!A172, ":"))))</f>
        <v/>
      </c>
    </row>
    <row r="173">
      <c r="A173" s="38">
        <f>IF('Additional Images'!B173 = "", "", IF('Additional Images-WUO_ERR'!A173 = "", "Validated", HYPERLINK("#" &amp; ADDRESS(173, 'Additional Images-WUO_TRK'!A173),_xlfn.TEXTAFTER('Additional Images-WUO_ERR'!A173, ":"))))</f>
        <v/>
      </c>
    </row>
    <row r="174">
      <c r="A174" s="38">
        <f>IF('Additional Images'!B174 = "", "", IF('Additional Images-WUO_ERR'!A174 = "", "Validated", HYPERLINK("#" &amp; ADDRESS(174, 'Additional Images-WUO_TRK'!A174),_xlfn.TEXTAFTER('Additional Images-WUO_ERR'!A174, ":"))))</f>
        <v/>
      </c>
    </row>
    <row r="175">
      <c r="A175" s="38">
        <f>IF('Additional Images'!B175 = "", "", IF('Additional Images-WUO_ERR'!A175 = "", "Validated", HYPERLINK("#" &amp; ADDRESS(175, 'Additional Images-WUO_TRK'!A175),_xlfn.TEXTAFTER('Additional Images-WUO_ERR'!A175, ":"))))</f>
        <v/>
      </c>
    </row>
    <row r="176">
      <c r="A176" s="38">
        <f>IF('Additional Images'!B176 = "", "", IF('Additional Images-WUO_ERR'!A176 = "", "Validated", HYPERLINK("#" &amp; ADDRESS(176, 'Additional Images-WUO_TRK'!A176),_xlfn.TEXTAFTER('Additional Images-WUO_ERR'!A176, ":"))))</f>
        <v/>
      </c>
    </row>
    <row r="177">
      <c r="A177" s="38">
        <f>IF('Additional Images'!B177 = "", "", IF('Additional Images-WUO_ERR'!A177 = "", "Validated", HYPERLINK("#" &amp; ADDRESS(177, 'Additional Images-WUO_TRK'!A177),_xlfn.TEXTAFTER('Additional Images-WUO_ERR'!A177, ":"))))</f>
        <v/>
      </c>
    </row>
    <row r="178">
      <c r="A178" s="38">
        <f>IF('Additional Images'!B178 = "", "", IF('Additional Images-WUO_ERR'!A178 = "", "Validated", HYPERLINK("#" &amp; ADDRESS(178, 'Additional Images-WUO_TRK'!A178),_xlfn.TEXTAFTER('Additional Images-WUO_ERR'!A178, ":"))))</f>
        <v/>
      </c>
    </row>
    <row r="179">
      <c r="A179" s="38">
        <f>IF('Additional Images'!B179 = "", "", IF('Additional Images-WUO_ERR'!A179 = "", "Validated", HYPERLINK("#" &amp; ADDRESS(179, 'Additional Images-WUO_TRK'!A179),_xlfn.TEXTAFTER('Additional Images-WUO_ERR'!A179, ":"))))</f>
        <v/>
      </c>
    </row>
    <row r="180">
      <c r="A180" s="38">
        <f>IF('Additional Images'!B180 = "", "", IF('Additional Images-WUO_ERR'!A180 = "", "Validated", HYPERLINK("#" &amp; ADDRESS(180, 'Additional Images-WUO_TRK'!A180),_xlfn.TEXTAFTER('Additional Images-WUO_ERR'!A180, ":"))))</f>
        <v/>
      </c>
    </row>
    <row r="181">
      <c r="A181" s="38">
        <f>IF('Additional Images'!B181 = "", "", IF('Additional Images-WUO_ERR'!A181 = "", "Validated", HYPERLINK("#" &amp; ADDRESS(181, 'Additional Images-WUO_TRK'!A181),_xlfn.TEXTAFTER('Additional Images-WUO_ERR'!A181, ":"))))</f>
        <v/>
      </c>
    </row>
    <row r="182">
      <c r="A182" s="38">
        <f>IF('Additional Images'!B182 = "", "", IF('Additional Images-WUO_ERR'!A182 = "", "Validated", HYPERLINK("#" &amp; ADDRESS(182, 'Additional Images-WUO_TRK'!A182),_xlfn.TEXTAFTER('Additional Images-WUO_ERR'!A182, ":"))))</f>
        <v/>
      </c>
    </row>
    <row r="183">
      <c r="A183" s="38">
        <f>IF('Additional Images'!B183 = "", "", IF('Additional Images-WUO_ERR'!A183 = "", "Validated", HYPERLINK("#" &amp; ADDRESS(183, 'Additional Images-WUO_TRK'!A183),_xlfn.TEXTAFTER('Additional Images-WUO_ERR'!A183, ":"))))</f>
        <v/>
      </c>
    </row>
    <row r="184">
      <c r="A184" s="38">
        <f>IF('Additional Images'!B184 = "", "", IF('Additional Images-WUO_ERR'!A184 = "", "Validated", HYPERLINK("#" &amp; ADDRESS(184, 'Additional Images-WUO_TRK'!A184),_xlfn.TEXTAFTER('Additional Images-WUO_ERR'!A184, ":"))))</f>
        <v/>
      </c>
    </row>
    <row r="185">
      <c r="A185" s="38">
        <f>IF('Additional Images'!B185 = "", "", IF('Additional Images-WUO_ERR'!A185 = "", "Validated", HYPERLINK("#" &amp; ADDRESS(185, 'Additional Images-WUO_TRK'!A185),_xlfn.TEXTAFTER('Additional Images-WUO_ERR'!A185, ":"))))</f>
        <v/>
      </c>
    </row>
    <row r="186">
      <c r="A186" s="38">
        <f>IF('Additional Images'!B186 = "", "", IF('Additional Images-WUO_ERR'!A186 = "", "Validated", HYPERLINK("#" &amp; ADDRESS(186, 'Additional Images-WUO_TRK'!A186),_xlfn.TEXTAFTER('Additional Images-WUO_ERR'!A186, ":"))))</f>
        <v/>
      </c>
    </row>
    <row r="187">
      <c r="A187" s="38">
        <f>IF('Additional Images'!B187 = "", "", IF('Additional Images-WUO_ERR'!A187 = "", "Validated", HYPERLINK("#" &amp; ADDRESS(187, 'Additional Images-WUO_TRK'!A187),_xlfn.TEXTAFTER('Additional Images-WUO_ERR'!A187, ":"))))</f>
        <v/>
      </c>
    </row>
    <row r="188">
      <c r="A188" s="38">
        <f>IF('Additional Images'!B188 = "", "", IF('Additional Images-WUO_ERR'!A188 = "", "Validated", HYPERLINK("#" &amp; ADDRESS(188, 'Additional Images-WUO_TRK'!A188),_xlfn.TEXTAFTER('Additional Images-WUO_ERR'!A188, ":"))))</f>
        <v/>
      </c>
    </row>
    <row r="189">
      <c r="A189" s="38">
        <f>IF('Additional Images'!B189 = "", "", IF('Additional Images-WUO_ERR'!A189 = "", "Validated", HYPERLINK("#" &amp; ADDRESS(189, 'Additional Images-WUO_TRK'!A189),_xlfn.TEXTAFTER('Additional Images-WUO_ERR'!A189, ":"))))</f>
        <v/>
      </c>
    </row>
    <row r="190">
      <c r="A190" s="38">
        <f>IF('Additional Images'!B190 = "", "", IF('Additional Images-WUO_ERR'!A190 = "", "Validated", HYPERLINK("#" &amp; ADDRESS(190, 'Additional Images-WUO_TRK'!A190),_xlfn.TEXTAFTER('Additional Images-WUO_ERR'!A190, ":"))))</f>
        <v/>
      </c>
    </row>
    <row r="191">
      <c r="A191" s="38">
        <f>IF('Additional Images'!B191 = "", "", IF('Additional Images-WUO_ERR'!A191 = "", "Validated", HYPERLINK("#" &amp; ADDRESS(191, 'Additional Images-WUO_TRK'!A191),_xlfn.TEXTAFTER('Additional Images-WUO_ERR'!A191, ":"))))</f>
        <v/>
      </c>
    </row>
    <row r="192">
      <c r="A192" s="38">
        <f>IF('Additional Images'!B192 = "", "", IF('Additional Images-WUO_ERR'!A192 = "", "Validated", HYPERLINK("#" &amp; ADDRESS(192, 'Additional Images-WUO_TRK'!A192),_xlfn.TEXTAFTER('Additional Images-WUO_ERR'!A192, ":"))))</f>
        <v/>
      </c>
    </row>
    <row r="193">
      <c r="A193" s="38">
        <f>IF('Additional Images'!B193 = "", "", IF('Additional Images-WUO_ERR'!A193 = "", "Validated", HYPERLINK("#" &amp; ADDRESS(193, 'Additional Images-WUO_TRK'!A193),_xlfn.TEXTAFTER('Additional Images-WUO_ERR'!A193, ":"))))</f>
        <v/>
      </c>
    </row>
    <row r="194">
      <c r="A194" s="38">
        <f>IF('Additional Images'!B194 = "", "", IF('Additional Images-WUO_ERR'!A194 = "", "Validated", HYPERLINK("#" &amp; ADDRESS(194, 'Additional Images-WUO_TRK'!A194),_xlfn.TEXTAFTER('Additional Images-WUO_ERR'!A194, ":"))))</f>
        <v/>
      </c>
    </row>
    <row r="195">
      <c r="A195" s="38">
        <f>IF('Additional Images'!B195 = "", "", IF('Additional Images-WUO_ERR'!A195 = "", "Validated", HYPERLINK("#" &amp; ADDRESS(195, 'Additional Images-WUO_TRK'!A195),_xlfn.TEXTAFTER('Additional Images-WUO_ERR'!A195, ":"))))</f>
        <v/>
      </c>
    </row>
    <row r="196">
      <c r="A196" s="38">
        <f>IF('Additional Images'!B196 = "", "", IF('Additional Images-WUO_ERR'!A196 = "", "Validated", HYPERLINK("#" &amp; ADDRESS(196, 'Additional Images-WUO_TRK'!A196),_xlfn.TEXTAFTER('Additional Images-WUO_ERR'!A196, ":"))))</f>
        <v/>
      </c>
    </row>
    <row r="197">
      <c r="A197" s="38">
        <f>IF('Additional Images'!B197 = "", "", IF('Additional Images-WUO_ERR'!A197 = "", "Validated", HYPERLINK("#" &amp; ADDRESS(197, 'Additional Images-WUO_TRK'!A197),_xlfn.TEXTAFTER('Additional Images-WUO_ERR'!A197, ":"))))</f>
        <v/>
      </c>
    </row>
    <row r="198">
      <c r="A198" s="38">
        <f>IF('Additional Images'!B198 = "", "", IF('Additional Images-WUO_ERR'!A198 = "", "Validated", HYPERLINK("#" &amp; ADDRESS(198, 'Additional Images-WUO_TRK'!A198),_xlfn.TEXTAFTER('Additional Images-WUO_ERR'!A198, ":"))))</f>
        <v/>
      </c>
    </row>
    <row r="199">
      <c r="A199" s="38">
        <f>IF('Additional Images'!B199 = "", "", IF('Additional Images-WUO_ERR'!A199 = "", "Validated", HYPERLINK("#" &amp; ADDRESS(199, 'Additional Images-WUO_TRK'!A199),_xlfn.TEXTAFTER('Additional Images-WUO_ERR'!A199, ":"))))</f>
        <v/>
      </c>
    </row>
    <row r="200">
      <c r="A200" s="38">
        <f>IF('Additional Images'!B200 = "", "", IF('Additional Images-WUO_ERR'!A200 = "", "Validated", HYPERLINK("#" &amp; ADDRESS(200, 'Additional Images-WUO_TRK'!A200),_xlfn.TEXTAFTER('Additional Images-WUO_ERR'!A200, ":"))))</f>
        <v/>
      </c>
    </row>
    <row r="201">
      <c r="A201" s="38">
        <f>IF('Additional Images'!B201 = "", "", IF('Additional Images-WUO_ERR'!A201 = "", "Validated", HYPERLINK("#" &amp; ADDRESS(201, 'Additional Images-WUO_TRK'!A201),_xlfn.TEXTAFTER('Additional Images-WUO_ERR'!A201, ":"))))</f>
        <v/>
      </c>
    </row>
    <row r="202">
      <c r="A202" s="38">
        <f>IF('Additional Images'!B202 = "", "", IF('Additional Images-WUO_ERR'!A202 = "", "Validated", HYPERLINK("#" &amp; ADDRESS(202, 'Additional Images-WUO_TRK'!A202),_xlfn.TEXTAFTER('Additional Images-WUO_ERR'!A202, ":"))))</f>
        <v/>
      </c>
    </row>
    <row r="203">
      <c r="A203" s="38">
        <f>IF('Additional Images'!B203 = "", "", IF('Additional Images-WUO_ERR'!A203 = "", "Validated", HYPERLINK("#" &amp; ADDRESS(203, 'Additional Images-WUO_TRK'!A203),_xlfn.TEXTAFTER('Additional Images-WUO_ERR'!A203, ":"))))</f>
        <v/>
      </c>
    </row>
    <row r="204">
      <c r="A204" s="38">
        <f>IF('Additional Images'!B204 = "", "", IF('Additional Images-WUO_ERR'!A204 = "", "Validated", HYPERLINK("#" &amp; ADDRESS(204, 'Additional Images-WUO_TRK'!A204),_xlfn.TEXTAFTER('Additional Images-WUO_ERR'!A204, ":"))))</f>
        <v/>
      </c>
    </row>
    <row r="205">
      <c r="A205" s="38">
        <f>IF('Additional Images'!B205 = "", "", IF('Additional Images-WUO_ERR'!A205 = "", "Validated", HYPERLINK("#" &amp; ADDRESS(205, 'Additional Images-WUO_TRK'!A205),_xlfn.TEXTAFTER('Additional Images-WUO_ERR'!A205, ":"))))</f>
        <v/>
      </c>
    </row>
    <row r="206">
      <c r="A206" s="38">
        <f>IF('Additional Images'!B206 = "", "", IF('Additional Images-WUO_ERR'!A206 = "", "Validated", HYPERLINK("#" &amp; ADDRESS(206, 'Additional Images-WUO_TRK'!A206),_xlfn.TEXTAFTER('Additional Images-WUO_ERR'!A206, ":"))))</f>
        <v/>
      </c>
    </row>
    <row r="207">
      <c r="A207" s="38">
        <f>IF('Additional Images'!B207 = "", "", IF('Additional Images-WUO_ERR'!A207 = "", "Validated", HYPERLINK("#" &amp; ADDRESS(207, 'Additional Images-WUO_TRK'!A207),_xlfn.TEXTAFTER('Additional Images-WUO_ERR'!A207, ":"))))</f>
        <v/>
      </c>
    </row>
    <row r="208">
      <c r="A208" s="38">
        <f>IF('Additional Images'!B208 = "", "", IF('Additional Images-WUO_ERR'!A208 = "", "Validated", HYPERLINK("#" &amp; ADDRESS(208, 'Additional Images-WUO_TRK'!A208),_xlfn.TEXTAFTER('Additional Images-WUO_ERR'!A208, ":"))))</f>
        <v/>
      </c>
    </row>
    <row r="209">
      <c r="A209" s="38">
        <f>IF('Additional Images'!B209 = "", "", IF('Additional Images-WUO_ERR'!A209 = "", "Validated", HYPERLINK("#" &amp; ADDRESS(209, 'Additional Images-WUO_TRK'!A209),_xlfn.TEXTAFTER('Additional Images-WUO_ERR'!A209, ":"))))</f>
        <v/>
      </c>
    </row>
    <row r="210">
      <c r="A210" s="38">
        <f>IF('Additional Images'!B210 = "", "", IF('Additional Images-WUO_ERR'!A210 = "", "Validated", HYPERLINK("#" &amp; ADDRESS(210, 'Additional Images-WUO_TRK'!A210),_xlfn.TEXTAFTER('Additional Images-WUO_ERR'!A210, ":"))))</f>
        <v/>
      </c>
    </row>
    <row r="211">
      <c r="A211" s="38">
        <f>IF('Additional Images'!B211 = "", "", IF('Additional Images-WUO_ERR'!A211 = "", "Validated", HYPERLINK("#" &amp; ADDRESS(211, 'Additional Images-WUO_TRK'!A211),_xlfn.TEXTAFTER('Additional Images-WUO_ERR'!A211, ":"))))</f>
        <v/>
      </c>
    </row>
    <row r="212">
      <c r="A212" s="38">
        <f>IF('Additional Images'!B212 = "", "", IF('Additional Images-WUO_ERR'!A212 = "", "Validated", HYPERLINK("#" &amp; ADDRESS(212, 'Additional Images-WUO_TRK'!A212),_xlfn.TEXTAFTER('Additional Images-WUO_ERR'!A212, ":"))))</f>
        <v/>
      </c>
    </row>
    <row r="213">
      <c r="A213" s="38">
        <f>IF('Additional Images'!B213 = "", "", IF('Additional Images-WUO_ERR'!A213 = "", "Validated", HYPERLINK("#" &amp; ADDRESS(213, 'Additional Images-WUO_TRK'!A213),_xlfn.TEXTAFTER('Additional Images-WUO_ERR'!A213, ":"))))</f>
        <v/>
      </c>
    </row>
    <row r="214">
      <c r="A214" s="38">
        <f>IF('Additional Images'!B214 = "", "", IF('Additional Images-WUO_ERR'!A214 = "", "Validated", HYPERLINK("#" &amp; ADDRESS(214, 'Additional Images-WUO_TRK'!A214),_xlfn.TEXTAFTER('Additional Images-WUO_ERR'!A214, ":"))))</f>
        <v/>
      </c>
    </row>
    <row r="215">
      <c r="A215" s="38">
        <f>IF('Additional Images'!B215 = "", "", IF('Additional Images-WUO_ERR'!A215 = "", "Validated", HYPERLINK("#" &amp; ADDRESS(215, 'Additional Images-WUO_TRK'!A215),_xlfn.TEXTAFTER('Additional Images-WUO_ERR'!A215, ":"))))</f>
        <v/>
      </c>
    </row>
    <row r="216">
      <c r="A216" s="38">
        <f>IF('Additional Images'!B216 = "", "", IF('Additional Images-WUO_ERR'!A216 = "", "Validated", HYPERLINK("#" &amp; ADDRESS(216, 'Additional Images-WUO_TRK'!A216),_xlfn.TEXTAFTER('Additional Images-WUO_ERR'!A216, ":"))))</f>
        <v/>
      </c>
    </row>
    <row r="217">
      <c r="A217" s="38">
        <f>IF('Additional Images'!B217 = "", "", IF('Additional Images-WUO_ERR'!A217 = "", "Validated", HYPERLINK("#" &amp; ADDRESS(217, 'Additional Images-WUO_TRK'!A217),_xlfn.TEXTAFTER('Additional Images-WUO_ERR'!A217, ":"))))</f>
        <v/>
      </c>
    </row>
    <row r="218">
      <c r="A218" s="38">
        <f>IF('Additional Images'!B218 = "", "", IF('Additional Images-WUO_ERR'!A218 = "", "Validated", HYPERLINK("#" &amp; ADDRESS(218, 'Additional Images-WUO_TRK'!A218),_xlfn.TEXTAFTER('Additional Images-WUO_ERR'!A218, ":"))))</f>
        <v/>
      </c>
    </row>
    <row r="219">
      <c r="A219" s="38">
        <f>IF('Additional Images'!B219 = "", "", IF('Additional Images-WUO_ERR'!A219 = "", "Validated", HYPERLINK("#" &amp; ADDRESS(219, 'Additional Images-WUO_TRK'!A219),_xlfn.TEXTAFTER('Additional Images-WUO_ERR'!A219, ":"))))</f>
        <v/>
      </c>
    </row>
    <row r="220">
      <c r="A220" s="38">
        <f>IF('Additional Images'!B220 = "", "", IF('Additional Images-WUO_ERR'!A220 = "", "Validated", HYPERLINK("#" &amp; ADDRESS(220, 'Additional Images-WUO_TRK'!A220),_xlfn.TEXTAFTER('Additional Images-WUO_ERR'!A220, ":"))))</f>
        <v/>
      </c>
    </row>
    <row r="221">
      <c r="A221" s="38">
        <f>IF('Additional Images'!B221 = "", "", IF('Additional Images-WUO_ERR'!A221 = "", "Validated", HYPERLINK("#" &amp; ADDRESS(221, 'Additional Images-WUO_TRK'!A221),_xlfn.TEXTAFTER('Additional Images-WUO_ERR'!A221, ":"))))</f>
        <v/>
      </c>
    </row>
    <row r="222">
      <c r="A222" s="38">
        <f>IF('Additional Images'!B222 = "", "", IF('Additional Images-WUO_ERR'!A222 = "", "Validated", HYPERLINK("#" &amp; ADDRESS(222, 'Additional Images-WUO_TRK'!A222),_xlfn.TEXTAFTER('Additional Images-WUO_ERR'!A222, ":"))))</f>
        <v/>
      </c>
    </row>
    <row r="223">
      <c r="A223" s="38">
        <f>IF('Additional Images'!B223 = "", "", IF('Additional Images-WUO_ERR'!A223 = "", "Validated", HYPERLINK("#" &amp; ADDRESS(223, 'Additional Images-WUO_TRK'!A223),_xlfn.TEXTAFTER('Additional Images-WUO_ERR'!A223, ":"))))</f>
        <v/>
      </c>
    </row>
    <row r="224">
      <c r="A224" s="38">
        <f>IF('Additional Images'!B224 = "", "", IF('Additional Images-WUO_ERR'!A224 = "", "Validated", HYPERLINK("#" &amp; ADDRESS(224, 'Additional Images-WUO_TRK'!A224),_xlfn.TEXTAFTER('Additional Images-WUO_ERR'!A224, ":"))))</f>
        <v/>
      </c>
    </row>
    <row r="225">
      <c r="A225" s="38">
        <f>IF('Additional Images'!B225 = "", "", IF('Additional Images-WUO_ERR'!A225 = "", "Validated", HYPERLINK("#" &amp; ADDRESS(225, 'Additional Images-WUO_TRK'!A225),_xlfn.TEXTAFTER('Additional Images-WUO_ERR'!A225, ":"))))</f>
        <v/>
      </c>
    </row>
    <row r="226">
      <c r="A226" s="38">
        <f>IF('Additional Images'!B226 = "", "", IF('Additional Images-WUO_ERR'!A226 = "", "Validated", HYPERLINK("#" &amp; ADDRESS(226, 'Additional Images-WUO_TRK'!A226),_xlfn.TEXTAFTER('Additional Images-WUO_ERR'!A226, ":"))))</f>
        <v/>
      </c>
    </row>
    <row r="227">
      <c r="A227" s="38">
        <f>IF('Additional Images'!B227 = "", "", IF('Additional Images-WUO_ERR'!A227 = "", "Validated", HYPERLINK("#" &amp; ADDRESS(227, 'Additional Images-WUO_TRK'!A227),_xlfn.TEXTAFTER('Additional Images-WUO_ERR'!A227, ":"))))</f>
        <v/>
      </c>
    </row>
    <row r="228">
      <c r="A228" s="38">
        <f>IF('Additional Images'!B228 = "", "", IF('Additional Images-WUO_ERR'!A228 = "", "Validated", HYPERLINK("#" &amp; ADDRESS(228, 'Additional Images-WUO_TRK'!A228),_xlfn.TEXTAFTER('Additional Images-WUO_ERR'!A228, ":"))))</f>
        <v/>
      </c>
    </row>
    <row r="229">
      <c r="A229" s="38">
        <f>IF('Additional Images'!B229 = "", "", IF('Additional Images-WUO_ERR'!A229 = "", "Validated", HYPERLINK("#" &amp; ADDRESS(229, 'Additional Images-WUO_TRK'!A229),_xlfn.TEXTAFTER('Additional Images-WUO_ERR'!A229, ":"))))</f>
        <v/>
      </c>
    </row>
    <row r="230">
      <c r="A230" s="38">
        <f>IF('Additional Images'!B230 = "", "", IF('Additional Images-WUO_ERR'!A230 = "", "Validated", HYPERLINK("#" &amp; ADDRESS(230, 'Additional Images-WUO_TRK'!A230),_xlfn.TEXTAFTER('Additional Images-WUO_ERR'!A230, ":"))))</f>
        <v/>
      </c>
    </row>
    <row r="231">
      <c r="A231" s="38">
        <f>IF('Additional Images'!B231 = "", "", IF('Additional Images-WUO_ERR'!A231 = "", "Validated", HYPERLINK("#" &amp; ADDRESS(231, 'Additional Images-WUO_TRK'!A231),_xlfn.TEXTAFTER('Additional Images-WUO_ERR'!A231, ":"))))</f>
        <v/>
      </c>
    </row>
    <row r="232">
      <c r="A232" s="38">
        <f>IF('Additional Images'!B232 = "", "", IF('Additional Images-WUO_ERR'!A232 = "", "Validated", HYPERLINK("#" &amp; ADDRESS(232, 'Additional Images-WUO_TRK'!A232),_xlfn.TEXTAFTER('Additional Images-WUO_ERR'!A232, ":"))))</f>
        <v/>
      </c>
    </row>
    <row r="233">
      <c r="A233" s="38">
        <f>IF('Additional Images'!B233 = "", "", IF('Additional Images-WUO_ERR'!A233 = "", "Validated", HYPERLINK("#" &amp; ADDRESS(233, 'Additional Images-WUO_TRK'!A233),_xlfn.TEXTAFTER('Additional Images-WUO_ERR'!A233, ":"))))</f>
        <v/>
      </c>
    </row>
    <row r="234">
      <c r="A234" s="38">
        <f>IF('Additional Images'!B234 = "", "", IF('Additional Images-WUO_ERR'!A234 = "", "Validated", HYPERLINK("#" &amp; ADDRESS(234, 'Additional Images-WUO_TRK'!A234),_xlfn.TEXTAFTER('Additional Images-WUO_ERR'!A234, ":"))))</f>
        <v/>
      </c>
    </row>
    <row r="235">
      <c r="A235" s="38">
        <f>IF('Additional Images'!B235 = "", "", IF('Additional Images-WUO_ERR'!A235 = "", "Validated", HYPERLINK("#" &amp; ADDRESS(235, 'Additional Images-WUO_TRK'!A235),_xlfn.TEXTAFTER('Additional Images-WUO_ERR'!A235, ":"))))</f>
        <v/>
      </c>
    </row>
    <row r="236">
      <c r="A236" s="38">
        <f>IF('Additional Images'!B236 = "", "", IF('Additional Images-WUO_ERR'!A236 = "", "Validated", HYPERLINK("#" &amp; ADDRESS(236, 'Additional Images-WUO_TRK'!A236),_xlfn.TEXTAFTER('Additional Images-WUO_ERR'!A236, ":"))))</f>
        <v/>
      </c>
    </row>
    <row r="237">
      <c r="A237" s="38">
        <f>IF('Additional Images'!B237 = "", "", IF('Additional Images-WUO_ERR'!A237 = "", "Validated", HYPERLINK("#" &amp; ADDRESS(237, 'Additional Images-WUO_TRK'!A237),_xlfn.TEXTAFTER('Additional Images-WUO_ERR'!A237, ":"))))</f>
        <v/>
      </c>
    </row>
    <row r="238">
      <c r="A238" s="38">
        <f>IF('Additional Images'!B238 = "", "", IF('Additional Images-WUO_ERR'!A238 = "", "Validated", HYPERLINK("#" &amp; ADDRESS(238, 'Additional Images-WUO_TRK'!A238),_xlfn.TEXTAFTER('Additional Images-WUO_ERR'!A238, ":"))))</f>
        <v/>
      </c>
    </row>
    <row r="239">
      <c r="A239" s="38">
        <f>IF('Additional Images'!B239 = "", "", IF('Additional Images-WUO_ERR'!A239 = "", "Validated", HYPERLINK("#" &amp; ADDRESS(239, 'Additional Images-WUO_TRK'!A239),_xlfn.TEXTAFTER('Additional Images-WUO_ERR'!A239, ":"))))</f>
        <v/>
      </c>
    </row>
    <row r="240">
      <c r="A240" s="38">
        <f>IF('Additional Images'!B240 = "", "", IF('Additional Images-WUO_ERR'!A240 = "", "Validated", HYPERLINK("#" &amp; ADDRESS(240, 'Additional Images-WUO_TRK'!A240),_xlfn.TEXTAFTER('Additional Images-WUO_ERR'!A240, ":"))))</f>
        <v/>
      </c>
    </row>
    <row r="241">
      <c r="A241" s="38">
        <f>IF('Additional Images'!B241 = "", "", IF('Additional Images-WUO_ERR'!A241 = "", "Validated", HYPERLINK("#" &amp; ADDRESS(241, 'Additional Images-WUO_TRK'!A241),_xlfn.TEXTAFTER('Additional Images-WUO_ERR'!A241, ":"))))</f>
        <v/>
      </c>
    </row>
    <row r="242">
      <c r="A242" s="38">
        <f>IF('Additional Images'!B242 = "", "", IF('Additional Images-WUO_ERR'!A242 = "", "Validated", HYPERLINK("#" &amp; ADDRESS(242, 'Additional Images-WUO_TRK'!A242),_xlfn.TEXTAFTER('Additional Images-WUO_ERR'!A242, ":"))))</f>
        <v/>
      </c>
    </row>
    <row r="243">
      <c r="A243" s="38">
        <f>IF('Additional Images'!B243 = "", "", IF('Additional Images-WUO_ERR'!A243 = "", "Validated", HYPERLINK("#" &amp; ADDRESS(243, 'Additional Images-WUO_TRK'!A243),_xlfn.TEXTAFTER('Additional Images-WUO_ERR'!A243, ":"))))</f>
        <v/>
      </c>
    </row>
    <row r="244">
      <c r="A244" s="38">
        <f>IF('Additional Images'!B244 = "", "", IF('Additional Images-WUO_ERR'!A244 = "", "Validated", HYPERLINK("#" &amp; ADDRESS(244, 'Additional Images-WUO_TRK'!A244),_xlfn.TEXTAFTER('Additional Images-WUO_ERR'!A244, ":"))))</f>
        <v/>
      </c>
    </row>
    <row r="245">
      <c r="A245" s="38">
        <f>IF('Additional Images'!B245 = "", "", IF('Additional Images-WUO_ERR'!A245 = "", "Validated", HYPERLINK("#" &amp; ADDRESS(245, 'Additional Images-WUO_TRK'!A245),_xlfn.TEXTAFTER('Additional Images-WUO_ERR'!A245, ":"))))</f>
        <v/>
      </c>
    </row>
    <row r="246">
      <c r="A246" s="38">
        <f>IF('Additional Images'!B246 = "", "", IF('Additional Images-WUO_ERR'!A246 = "", "Validated", HYPERLINK("#" &amp; ADDRESS(246, 'Additional Images-WUO_TRK'!A246),_xlfn.TEXTAFTER('Additional Images-WUO_ERR'!A246, ":"))))</f>
        <v/>
      </c>
    </row>
    <row r="247">
      <c r="A247" s="38">
        <f>IF('Additional Images'!B247 = "", "", IF('Additional Images-WUO_ERR'!A247 = "", "Validated", HYPERLINK("#" &amp; ADDRESS(247, 'Additional Images-WUO_TRK'!A247),_xlfn.TEXTAFTER('Additional Images-WUO_ERR'!A247, ":"))))</f>
        <v/>
      </c>
    </row>
    <row r="248">
      <c r="A248" s="38">
        <f>IF('Additional Images'!B248 = "", "", IF('Additional Images-WUO_ERR'!A248 = "", "Validated", HYPERLINK("#" &amp; ADDRESS(248, 'Additional Images-WUO_TRK'!A248),_xlfn.TEXTAFTER('Additional Images-WUO_ERR'!A248, ":"))))</f>
        <v/>
      </c>
    </row>
    <row r="249">
      <c r="A249" s="38">
        <f>IF('Additional Images'!B249 = "", "", IF('Additional Images-WUO_ERR'!A249 = "", "Validated", HYPERLINK("#" &amp; ADDRESS(249, 'Additional Images-WUO_TRK'!A249),_xlfn.TEXTAFTER('Additional Images-WUO_ERR'!A249, ":"))))</f>
        <v/>
      </c>
    </row>
    <row r="250">
      <c r="A250" s="38">
        <f>IF('Additional Images'!B250 = "", "", IF('Additional Images-WUO_ERR'!A250 = "", "Validated", HYPERLINK("#" &amp; ADDRESS(250, 'Additional Images-WUO_TRK'!A250),_xlfn.TEXTAFTER('Additional Images-WUO_ERR'!A250, ":"))))</f>
        <v/>
      </c>
    </row>
    <row r="251">
      <c r="A251" s="38">
        <f>IF('Additional Images'!B251 = "", "", IF('Additional Images-WUO_ERR'!A251 = "", "Validated", HYPERLINK("#" &amp; ADDRESS(251, 'Additional Images-WUO_TRK'!A251),_xlfn.TEXTAFTER('Additional Images-WUO_ERR'!A251, ":"))))</f>
        <v/>
      </c>
    </row>
    <row r="252">
      <c r="A252" s="38">
        <f>IF('Additional Images'!B252 = "", "", IF('Additional Images-WUO_ERR'!A252 = "", "Validated", HYPERLINK("#" &amp; ADDRESS(252, 'Additional Images-WUO_TRK'!A252),_xlfn.TEXTAFTER('Additional Images-WUO_ERR'!A252, ":"))))</f>
        <v/>
      </c>
    </row>
    <row r="253">
      <c r="A253" s="38">
        <f>IF('Additional Images'!B253 = "", "", IF('Additional Images-WUO_ERR'!A253 = "", "Validated", HYPERLINK("#" &amp; ADDRESS(253, 'Additional Images-WUO_TRK'!A253),_xlfn.TEXTAFTER('Additional Images-WUO_ERR'!A253, ":"))))</f>
        <v/>
      </c>
    </row>
    <row r="254">
      <c r="A254" s="38">
        <f>IF('Additional Images'!B254 = "", "", IF('Additional Images-WUO_ERR'!A254 = "", "Validated", HYPERLINK("#" &amp; ADDRESS(254, 'Additional Images-WUO_TRK'!A254),_xlfn.TEXTAFTER('Additional Images-WUO_ERR'!A254, ":"))))</f>
        <v/>
      </c>
    </row>
    <row r="255">
      <c r="A255" s="38">
        <f>IF('Additional Images'!B255 = "", "", IF('Additional Images-WUO_ERR'!A255 = "", "Validated", HYPERLINK("#" &amp; ADDRESS(255, 'Additional Images-WUO_TRK'!A255),_xlfn.TEXTAFTER('Additional Images-WUO_ERR'!A255, ":"))))</f>
        <v/>
      </c>
    </row>
    <row r="256">
      <c r="A256" s="38">
        <f>IF('Additional Images'!B256 = "", "", IF('Additional Images-WUO_ERR'!A256 = "", "Validated", HYPERLINK("#" &amp; ADDRESS(256, 'Additional Images-WUO_TRK'!A256),_xlfn.TEXTAFTER('Additional Images-WUO_ERR'!A256, ":"))))</f>
        <v/>
      </c>
    </row>
    <row r="257">
      <c r="A257" s="38">
        <f>IF('Additional Images'!B257 = "", "", IF('Additional Images-WUO_ERR'!A257 = "", "Validated", HYPERLINK("#" &amp; ADDRESS(257, 'Additional Images-WUO_TRK'!A257),_xlfn.TEXTAFTER('Additional Images-WUO_ERR'!A257, ":"))))</f>
        <v/>
      </c>
    </row>
    <row r="258">
      <c r="A258" s="38">
        <f>IF('Additional Images'!B258 = "", "", IF('Additional Images-WUO_ERR'!A258 = "", "Validated", HYPERLINK("#" &amp; ADDRESS(258, 'Additional Images-WUO_TRK'!A258),_xlfn.TEXTAFTER('Additional Images-WUO_ERR'!A258, ":"))))</f>
        <v/>
      </c>
    </row>
    <row r="259">
      <c r="A259" s="38">
        <f>IF('Additional Images'!B259 = "", "", IF('Additional Images-WUO_ERR'!A259 = "", "Validated", HYPERLINK("#" &amp; ADDRESS(259, 'Additional Images-WUO_TRK'!A259),_xlfn.TEXTAFTER('Additional Images-WUO_ERR'!A259, ":"))))</f>
        <v/>
      </c>
    </row>
    <row r="260">
      <c r="A260" s="38">
        <f>IF('Additional Images'!B260 = "", "", IF('Additional Images-WUO_ERR'!A260 = "", "Validated", HYPERLINK("#" &amp; ADDRESS(260, 'Additional Images-WUO_TRK'!A260),_xlfn.TEXTAFTER('Additional Images-WUO_ERR'!A260, ":"))))</f>
        <v/>
      </c>
    </row>
    <row r="261">
      <c r="A261" s="38">
        <f>IF('Additional Images'!B261 = "", "", IF('Additional Images-WUO_ERR'!A261 = "", "Validated", HYPERLINK("#" &amp; ADDRESS(261, 'Additional Images-WUO_TRK'!A261),_xlfn.TEXTAFTER('Additional Images-WUO_ERR'!A261, ":"))))</f>
        <v/>
      </c>
    </row>
    <row r="262">
      <c r="A262" s="38">
        <f>IF('Additional Images'!B262 = "", "", IF('Additional Images-WUO_ERR'!A262 = "", "Validated", HYPERLINK("#" &amp; ADDRESS(262, 'Additional Images-WUO_TRK'!A262),_xlfn.TEXTAFTER('Additional Images-WUO_ERR'!A262, ":"))))</f>
        <v/>
      </c>
    </row>
    <row r="263">
      <c r="A263" s="38">
        <f>IF('Additional Images'!B263 = "", "", IF('Additional Images-WUO_ERR'!A263 = "", "Validated", HYPERLINK("#" &amp; ADDRESS(263, 'Additional Images-WUO_TRK'!A263),_xlfn.TEXTAFTER('Additional Images-WUO_ERR'!A263, ":"))))</f>
        <v/>
      </c>
    </row>
    <row r="264">
      <c r="A264" s="38">
        <f>IF('Additional Images'!B264 = "", "", IF('Additional Images-WUO_ERR'!A264 = "", "Validated", HYPERLINK("#" &amp; ADDRESS(264, 'Additional Images-WUO_TRK'!A264),_xlfn.TEXTAFTER('Additional Images-WUO_ERR'!A264, ":"))))</f>
        <v/>
      </c>
    </row>
    <row r="265">
      <c r="A265" s="38">
        <f>IF('Additional Images'!B265 = "", "", IF('Additional Images-WUO_ERR'!A265 = "", "Validated", HYPERLINK("#" &amp; ADDRESS(265, 'Additional Images-WUO_TRK'!A265),_xlfn.TEXTAFTER('Additional Images-WUO_ERR'!A265, ":"))))</f>
        <v/>
      </c>
    </row>
    <row r="266">
      <c r="A266" s="38">
        <f>IF('Additional Images'!B266 = "", "", IF('Additional Images-WUO_ERR'!A266 = "", "Validated", HYPERLINK("#" &amp; ADDRESS(266, 'Additional Images-WUO_TRK'!A266),_xlfn.TEXTAFTER('Additional Images-WUO_ERR'!A266, ":"))))</f>
        <v/>
      </c>
    </row>
    <row r="267">
      <c r="A267" s="38">
        <f>IF('Additional Images'!B267 = "", "", IF('Additional Images-WUO_ERR'!A267 = "", "Validated", HYPERLINK("#" &amp; ADDRESS(267, 'Additional Images-WUO_TRK'!A267),_xlfn.TEXTAFTER('Additional Images-WUO_ERR'!A267, ":"))))</f>
        <v/>
      </c>
    </row>
    <row r="268">
      <c r="A268" s="38">
        <f>IF('Additional Images'!B268 = "", "", IF('Additional Images-WUO_ERR'!A268 = "", "Validated", HYPERLINK("#" &amp; ADDRESS(268, 'Additional Images-WUO_TRK'!A268),_xlfn.TEXTAFTER('Additional Images-WUO_ERR'!A268, ":"))))</f>
        <v/>
      </c>
    </row>
    <row r="269">
      <c r="A269" s="38">
        <f>IF('Additional Images'!B269 = "", "", IF('Additional Images-WUO_ERR'!A269 = "", "Validated", HYPERLINK("#" &amp; ADDRESS(269, 'Additional Images-WUO_TRK'!A269),_xlfn.TEXTAFTER('Additional Images-WUO_ERR'!A269, ":"))))</f>
        <v/>
      </c>
    </row>
    <row r="270">
      <c r="A270" s="38">
        <f>IF('Additional Images'!B270 = "", "", IF('Additional Images-WUO_ERR'!A270 = "", "Validated", HYPERLINK("#" &amp; ADDRESS(270, 'Additional Images-WUO_TRK'!A270),_xlfn.TEXTAFTER('Additional Images-WUO_ERR'!A270, ":"))))</f>
        <v/>
      </c>
    </row>
    <row r="271">
      <c r="A271" s="38">
        <f>IF('Additional Images'!B271 = "", "", IF('Additional Images-WUO_ERR'!A271 = "", "Validated", HYPERLINK("#" &amp; ADDRESS(271, 'Additional Images-WUO_TRK'!A271),_xlfn.TEXTAFTER('Additional Images-WUO_ERR'!A271, ":"))))</f>
        <v/>
      </c>
    </row>
    <row r="272">
      <c r="A272" s="38">
        <f>IF('Additional Images'!B272 = "", "", IF('Additional Images-WUO_ERR'!A272 = "", "Validated", HYPERLINK("#" &amp; ADDRESS(272, 'Additional Images-WUO_TRK'!A272),_xlfn.TEXTAFTER('Additional Images-WUO_ERR'!A272, ":"))))</f>
        <v/>
      </c>
    </row>
    <row r="273">
      <c r="A273" s="38">
        <f>IF('Additional Images'!B273 = "", "", IF('Additional Images-WUO_ERR'!A273 = "", "Validated", HYPERLINK("#" &amp; ADDRESS(273, 'Additional Images-WUO_TRK'!A273),_xlfn.TEXTAFTER('Additional Images-WUO_ERR'!A273, ":"))))</f>
        <v/>
      </c>
    </row>
    <row r="274">
      <c r="A274" s="38">
        <f>IF('Additional Images'!B274 = "", "", IF('Additional Images-WUO_ERR'!A274 = "", "Validated", HYPERLINK("#" &amp; ADDRESS(274, 'Additional Images-WUO_TRK'!A274),_xlfn.TEXTAFTER('Additional Images-WUO_ERR'!A274, ":"))))</f>
        <v/>
      </c>
    </row>
    <row r="275">
      <c r="A275" s="38">
        <f>IF('Additional Images'!B275 = "", "", IF('Additional Images-WUO_ERR'!A275 = "", "Validated", HYPERLINK("#" &amp; ADDRESS(275, 'Additional Images-WUO_TRK'!A275),_xlfn.TEXTAFTER('Additional Images-WUO_ERR'!A275, ":"))))</f>
        <v/>
      </c>
    </row>
    <row r="276">
      <c r="A276" s="38">
        <f>IF('Additional Images'!B276 = "", "", IF('Additional Images-WUO_ERR'!A276 = "", "Validated", HYPERLINK("#" &amp; ADDRESS(276, 'Additional Images-WUO_TRK'!A276),_xlfn.TEXTAFTER('Additional Images-WUO_ERR'!A276, ":"))))</f>
        <v/>
      </c>
    </row>
    <row r="277">
      <c r="A277" s="38">
        <f>IF('Additional Images'!B277 = "", "", IF('Additional Images-WUO_ERR'!A277 = "", "Validated", HYPERLINK("#" &amp; ADDRESS(277, 'Additional Images-WUO_TRK'!A277),_xlfn.TEXTAFTER('Additional Images-WUO_ERR'!A277, ":"))))</f>
        <v/>
      </c>
    </row>
    <row r="278">
      <c r="A278" s="38">
        <f>IF('Additional Images'!B278 = "", "", IF('Additional Images-WUO_ERR'!A278 = "", "Validated", HYPERLINK("#" &amp; ADDRESS(278, 'Additional Images-WUO_TRK'!A278),_xlfn.TEXTAFTER('Additional Images-WUO_ERR'!A278, ":"))))</f>
        <v/>
      </c>
    </row>
    <row r="279">
      <c r="A279" s="38">
        <f>IF('Additional Images'!B279 = "", "", IF('Additional Images-WUO_ERR'!A279 = "", "Validated", HYPERLINK("#" &amp; ADDRESS(279, 'Additional Images-WUO_TRK'!A279),_xlfn.TEXTAFTER('Additional Images-WUO_ERR'!A279, ":"))))</f>
        <v/>
      </c>
    </row>
    <row r="280">
      <c r="A280" s="38">
        <f>IF('Additional Images'!B280 = "", "", IF('Additional Images-WUO_ERR'!A280 = "", "Validated", HYPERLINK("#" &amp; ADDRESS(280, 'Additional Images-WUO_TRK'!A280),_xlfn.TEXTAFTER('Additional Images-WUO_ERR'!A280, ":"))))</f>
        <v/>
      </c>
    </row>
    <row r="281">
      <c r="A281" s="38">
        <f>IF('Additional Images'!B281 = "", "", IF('Additional Images-WUO_ERR'!A281 = "", "Validated", HYPERLINK("#" &amp; ADDRESS(281, 'Additional Images-WUO_TRK'!A281),_xlfn.TEXTAFTER('Additional Images-WUO_ERR'!A281, ":"))))</f>
        <v/>
      </c>
    </row>
    <row r="282">
      <c r="A282" s="38">
        <f>IF('Additional Images'!B282 = "", "", IF('Additional Images-WUO_ERR'!A282 = "", "Validated", HYPERLINK("#" &amp; ADDRESS(282, 'Additional Images-WUO_TRK'!A282),_xlfn.TEXTAFTER('Additional Images-WUO_ERR'!A282, ":"))))</f>
        <v/>
      </c>
    </row>
    <row r="283">
      <c r="A283" s="38">
        <f>IF('Additional Images'!B283 = "", "", IF('Additional Images-WUO_ERR'!A283 = "", "Validated", HYPERLINK("#" &amp; ADDRESS(283, 'Additional Images-WUO_TRK'!A283),_xlfn.TEXTAFTER('Additional Images-WUO_ERR'!A283, ":"))))</f>
        <v/>
      </c>
    </row>
    <row r="284">
      <c r="A284" s="38">
        <f>IF('Additional Images'!B284 = "", "", IF('Additional Images-WUO_ERR'!A284 = "", "Validated", HYPERLINK("#" &amp; ADDRESS(284, 'Additional Images-WUO_TRK'!A284),_xlfn.TEXTAFTER('Additional Images-WUO_ERR'!A284, ":"))))</f>
        <v/>
      </c>
    </row>
    <row r="285">
      <c r="A285" s="38">
        <f>IF('Additional Images'!B285 = "", "", IF('Additional Images-WUO_ERR'!A285 = "", "Validated", HYPERLINK("#" &amp; ADDRESS(285, 'Additional Images-WUO_TRK'!A285),_xlfn.TEXTAFTER('Additional Images-WUO_ERR'!A285, ":"))))</f>
        <v/>
      </c>
    </row>
    <row r="286">
      <c r="A286" s="38">
        <f>IF('Additional Images'!B286 = "", "", IF('Additional Images-WUO_ERR'!A286 = "", "Validated", HYPERLINK("#" &amp; ADDRESS(286, 'Additional Images-WUO_TRK'!A286),_xlfn.TEXTAFTER('Additional Images-WUO_ERR'!A286, ":"))))</f>
        <v/>
      </c>
    </row>
    <row r="287">
      <c r="A287" s="38">
        <f>IF('Additional Images'!B287 = "", "", IF('Additional Images-WUO_ERR'!A287 = "", "Validated", HYPERLINK("#" &amp; ADDRESS(287, 'Additional Images-WUO_TRK'!A287),_xlfn.TEXTAFTER('Additional Images-WUO_ERR'!A287, ":"))))</f>
        <v/>
      </c>
    </row>
    <row r="288">
      <c r="A288" s="38">
        <f>IF('Additional Images'!B288 = "", "", IF('Additional Images-WUO_ERR'!A288 = "", "Validated", HYPERLINK("#" &amp; ADDRESS(288, 'Additional Images-WUO_TRK'!A288),_xlfn.TEXTAFTER('Additional Images-WUO_ERR'!A288, ":"))))</f>
        <v/>
      </c>
    </row>
    <row r="289">
      <c r="A289" s="38">
        <f>IF('Additional Images'!B289 = "", "", IF('Additional Images-WUO_ERR'!A289 = "", "Validated", HYPERLINK("#" &amp; ADDRESS(289, 'Additional Images-WUO_TRK'!A289),_xlfn.TEXTAFTER('Additional Images-WUO_ERR'!A289, ":"))))</f>
        <v/>
      </c>
    </row>
    <row r="290">
      <c r="A290" s="38">
        <f>IF('Additional Images'!B290 = "", "", IF('Additional Images-WUO_ERR'!A290 = "", "Validated", HYPERLINK("#" &amp; ADDRESS(290, 'Additional Images-WUO_TRK'!A290),_xlfn.TEXTAFTER('Additional Images-WUO_ERR'!A290, ":"))))</f>
        <v/>
      </c>
    </row>
    <row r="291">
      <c r="A291" s="38">
        <f>IF('Additional Images'!B291 = "", "", IF('Additional Images-WUO_ERR'!A291 = "", "Validated", HYPERLINK("#" &amp; ADDRESS(291, 'Additional Images-WUO_TRK'!A291),_xlfn.TEXTAFTER('Additional Images-WUO_ERR'!A291, ":"))))</f>
        <v/>
      </c>
    </row>
    <row r="292">
      <c r="A292" s="38">
        <f>IF('Additional Images'!B292 = "", "", IF('Additional Images-WUO_ERR'!A292 = "", "Validated", HYPERLINK("#" &amp; ADDRESS(292, 'Additional Images-WUO_TRK'!A292),_xlfn.TEXTAFTER('Additional Images-WUO_ERR'!A292, ":"))))</f>
        <v/>
      </c>
    </row>
    <row r="293">
      <c r="A293" s="38">
        <f>IF('Additional Images'!B293 = "", "", IF('Additional Images-WUO_ERR'!A293 = "", "Validated", HYPERLINK("#" &amp; ADDRESS(293, 'Additional Images-WUO_TRK'!A293),_xlfn.TEXTAFTER('Additional Images-WUO_ERR'!A293, ":"))))</f>
        <v/>
      </c>
    </row>
    <row r="294">
      <c r="A294" s="38">
        <f>IF('Additional Images'!B294 = "", "", IF('Additional Images-WUO_ERR'!A294 = "", "Validated", HYPERLINK("#" &amp; ADDRESS(294, 'Additional Images-WUO_TRK'!A294),_xlfn.TEXTAFTER('Additional Images-WUO_ERR'!A294, ":"))))</f>
        <v/>
      </c>
    </row>
    <row r="295">
      <c r="A295" s="38">
        <f>IF('Additional Images'!B295 = "", "", IF('Additional Images-WUO_ERR'!A295 = "", "Validated", HYPERLINK("#" &amp; ADDRESS(295, 'Additional Images-WUO_TRK'!A295),_xlfn.TEXTAFTER('Additional Images-WUO_ERR'!A295, ":"))))</f>
        <v/>
      </c>
    </row>
    <row r="296">
      <c r="A296" s="38">
        <f>IF('Additional Images'!B296 = "", "", IF('Additional Images-WUO_ERR'!A296 = "", "Validated", HYPERLINK("#" &amp; ADDRESS(296, 'Additional Images-WUO_TRK'!A296),_xlfn.TEXTAFTER('Additional Images-WUO_ERR'!A296, ":"))))</f>
        <v/>
      </c>
    </row>
    <row r="297">
      <c r="A297" s="38">
        <f>IF('Additional Images'!B297 = "", "", IF('Additional Images-WUO_ERR'!A297 = "", "Validated", HYPERLINK("#" &amp; ADDRESS(297, 'Additional Images-WUO_TRK'!A297),_xlfn.TEXTAFTER('Additional Images-WUO_ERR'!A297, ":"))))</f>
        <v/>
      </c>
    </row>
    <row r="298">
      <c r="A298" s="38">
        <f>IF('Additional Images'!B298 = "", "", IF('Additional Images-WUO_ERR'!A298 = "", "Validated", HYPERLINK("#" &amp; ADDRESS(298, 'Additional Images-WUO_TRK'!A298),_xlfn.TEXTAFTER('Additional Images-WUO_ERR'!A298, ":"))))</f>
        <v/>
      </c>
    </row>
    <row r="299">
      <c r="A299" s="38">
        <f>IF('Additional Images'!B299 = "", "", IF('Additional Images-WUO_ERR'!A299 = "", "Validated", HYPERLINK("#" &amp; ADDRESS(299, 'Additional Images-WUO_TRK'!A299),_xlfn.TEXTAFTER('Additional Images-WUO_ERR'!A299, ":"))))</f>
        <v/>
      </c>
    </row>
    <row r="300">
      <c r="A300" s="38">
        <f>IF('Additional Images'!B300 = "", "", IF('Additional Images-WUO_ERR'!A300 = "", "Validated", HYPERLINK("#" &amp; ADDRESS(300, 'Additional Images-WUO_TRK'!A300),_xlfn.TEXTAFTER('Additional Images-WUO_ERR'!A300, ":"))))</f>
        <v/>
      </c>
    </row>
    <row r="301">
      <c r="A301" s="38">
        <f>IF('Additional Images'!B301 = "", "", IF('Additional Images-WUO_ERR'!A301 = "", "Validated", HYPERLINK("#" &amp; ADDRESS(301, 'Additional Images-WUO_TRK'!A301),_xlfn.TEXTAFTER('Additional Images-WUO_ERR'!A301, ":"))))</f>
        <v/>
      </c>
    </row>
    <row r="302">
      <c r="A302" s="38">
        <f>IF('Additional Images'!B302 = "", "", IF('Additional Images-WUO_ERR'!A302 = "", "Validated", HYPERLINK("#" &amp; ADDRESS(302, 'Additional Images-WUO_TRK'!A302),_xlfn.TEXTAFTER('Additional Images-WUO_ERR'!A302, ":"))))</f>
        <v/>
      </c>
    </row>
    <row r="303">
      <c r="A303" s="38">
        <f>IF('Additional Images'!B303 = "", "", IF('Additional Images-WUO_ERR'!A303 = "", "Validated", HYPERLINK("#" &amp; ADDRESS(303, 'Additional Images-WUO_TRK'!A303),_xlfn.TEXTAFTER('Additional Images-WUO_ERR'!A303, ":"))))</f>
        <v/>
      </c>
    </row>
    <row r="304">
      <c r="A304" s="38">
        <f>IF('Additional Images'!B304 = "", "", IF('Additional Images-WUO_ERR'!A304 = "", "Validated", HYPERLINK("#" &amp; ADDRESS(304, 'Additional Images-WUO_TRK'!A304),_xlfn.TEXTAFTER('Additional Images-WUO_ERR'!A304, ":"))))</f>
        <v/>
      </c>
    </row>
    <row r="305">
      <c r="A305" s="38">
        <f>IF('Additional Images'!B305 = "", "", IF('Additional Images-WUO_ERR'!A305 = "", "Validated", HYPERLINK("#" &amp; ADDRESS(305, 'Additional Images-WUO_TRK'!A305),_xlfn.TEXTAFTER('Additional Images-WUO_ERR'!A305, ":"))))</f>
        <v/>
      </c>
    </row>
    <row r="306">
      <c r="A306" s="38">
        <f>IF('Additional Images'!B306 = "", "", IF('Additional Images-WUO_ERR'!A306 = "", "Validated", HYPERLINK("#" &amp; ADDRESS(306, 'Additional Images-WUO_TRK'!A306),_xlfn.TEXTAFTER('Additional Images-WUO_ERR'!A306, ":"))))</f>
        <v/>
      </c>
    </row>
    <row r="307">
      <c r="A307" s="38">
        <f>IF('Additional Images'!B307 = "", "", IF('Additional Images-WUO_ERR'!A307 = "", "Validated", HYPERLINK("#" &amp; ADDRESS(307, 'Additional Images-WUO_TRK'!A307),_xlfn.TEXTAFTER('Additional Images-WUO_ERR'!A307, ":"))))</f>
        <v/>
      </c>
    </row>
    <row r="308">
      <c r="A308" s="38">
        <f>IF('Additional Images'!B308 = "", "", IF('Additional Images-WUO_ERR'!A308 = "", "Validated", HYPERLINK("#" &amp; ADDRESS(308, 'Additional Images-WUO_TRK'!A308),_xlfn.TEXTAFTER('Additional Images-WUO_ERR'!A308, ":"))))</f>
        <v/>
      </c>
    </row>
    <row r="309">
      <c r="A309" s="38">
        <f>IF('Additional Images'!B309 = "", "", IF('Additional Images-WUO_ERR'!A309 = "", "Validated", HYPERLINK("#" &amp; ADDRESS(309, 'Additional Images-WUO_TRK'!A309),_xlfn.TEXTAFTER('Additional Images-WUO_ERR'!A309, ":"))))</f>
        <v/>
      </c>
    </row>
    <row r="310">
      <c r="A310" s="38">
        <f>IF('Additional Images'!B310 = "", "", IF('Additional Images-WUO_ERR'!A310 = "", "Validated", HYPERLINK("#" &amp; ADDRESS(310, 'Additional Images-WUO_TRK'!A310),_xlfn.TEXTAFTER('Additional Images-WUO_ERR'!A310, ":"))))</f>
        <v/>
      </c>
    </row>
    <row r="311">
      <c r="A311" s="38">
        <f>IF('Additional Images'!B311 = "", "", IF('Additional Images-WUO_ERR'!A311 = "", "Validated", HYPERLINK("#" &amp; ADDRESS(311, 'Additional Images-WUO_TRK'!A311),_xlfn.TEXTAFTER('Additional Images-WUO_ERR'!A311, ":"))))</f>
        <v/>
      </c>
    </row>
    <row r="312">
      <c r="A312" s="38">
        <f>IF('Additional Images'!B312 = "", "", IF('Additional Images-WUO_ERR'!A312 = "", "Validated", HYPERLINK("#" &amp; ADDRESS(312, 'Additional Images-WUO_TRK'!A312),_xlfn.TEXTAFTER('Additional Images-WUO_ERR'!A312, ":"))))</f>
        <v/>
      </c>
    </row>
    <row r="313">
      <c r="A313" s="38">
        <f>IF('Additional Images'!B313 = "", "", IF('Additional Images-WUO_ERR'!A313 = "", "Validated", HYPERLINK("#" &amp; ADDRESS(313, 'Additional Images-WUO_TRK'!A313),_xlfn.TEXTAFTER('Additional Images-WUO_ERR'!A313, ":"))))</f>
        <v/>
      </c>
    </row>
    <row r="314">
      <c r="A314" s="38">
        <f>IF('Additional Images'!B314 = "", "", IF('Additional Images-WUO_ERR'!A314 = "", "Validated", HYPERLINK("#" &amp; ADDRESS(314, 'Additional Images-WUO_TRK'!A314),_xlfn.TEXTAFTER('Additional Images-WUO_ERR'!A314, ":"))))</f>
        <v/>
      </c>
    </row>
    <row r="315">
      <c r="A315" s="38">
        <f>IF('Additional Images'!B315 = "", "", IF('Additional Images-WUO_ERR'!A315 = "", "Validated", HYPERLINK("#" &amp; ADDRESS(315, 'Additional Images-WUO_TRK'!A315),_xlfn.TEXTAFTER('Additional Images-WUO_ERR'!A315, ":"))))</f>
        <v/>
      </c>
    </row>
    <row r="316">
      <c r="A316" s="38">
        <f>IF('Additional Images'!B316 = "", "", IF('Additional Images-WUO_ERR'!A316 = "", "Validated", HYPERLINK("#" &amp; ADDRESS(316, 'Additional Images-WUO_TRK'!A316),_xlfn.TEXTAFTER('Additional Images-WUO_ERR'!A316, ":"))))</f>
        <v/>
      </c>
    </row>
    <row r="317">
      <c r="A317" s="38">
        <f>IF('Additional Images'!B317 = "", "", IF('Additional Images-WUO_ERR'!A317 = "", "Validated", HYPERLINK("#" &amp; ADDRESS(317, 'Additional Images-WUO_TRK'!A317),_xlfn.TEXTAFTER('Additional Images-WUO_ERR'!A317, ":"))))</f>
        <v/>
      </c>
    </row>
    <row r="318">
      <c r="A318" s="38">
        <f>IF('Additional Images'!B318 = "", "", IF('Additional Images-WUO_ERR'!A318 = "", "Validated", HYPERLINK("#" &amp; ADDRESS(318, 'Additional Images-WUO_TRK'!A318),_xlfn.TEXTAFTER('Additional Images-WUO_ERR'!A318, ":"))))</f>
        <v/>
      </c>
    </row>
    <row r="319">
      <c r="A319" s="38">
        <f>IF('Additional Images'!B319 = "", "", IF('Additional Images-WUO_ERR'!A319 = "", "Validated", HYPERLINK("#" &amp; ADDRESS(319, 'Additional Images-WUO_TRK'!A319),_xlfn.TEXTAFTER('Additional Images-WUO_ERR'!A319, ":"))))</f>
        <v/>
      </c>
    </row>
    <row r="320">
      <c r="A320" s="38">
        <f>IF('Additional Images'!B320 = "", "", IF('Additional Images-WUO_ERR'!A320 = "", "Validated", HYPERLINK("#" &amp; ADDRESS(320, 'Additional Images-WUO_TRK'!A320),_xlfn.TEXTAFTER('Additional Images-WUO_ERR'!A320, ":"))))</f>
        <v/>
      </c>
    </row>
    <row r="321">
      <c r="A321" s="38">
        <f>IF('Additional Images'!B321 = "", "", IF('Additional Images-WUO_ERR'!A321 = "", "Validated", HYPERLINK("#" &amp; ADDRESS(321, 'Additional Images-WUO_TRK'!A321),_xlfn.TEXTAFTER('Additional Images-WUO_ERR'!A321, ":"))))</f>
        <v/>
      </c>
    </row>
    <row r="322">
      <c r="A322" s="38">
        <f>IF('Additional Images'!B322 = "", "", IF('Additional Images-WUO_ERR'!A322 = "", "Validated", HYPERLINK("#" &amp; ADDRESS(322, 'Additional Images-WUO_TRK'!A322),_xlfn.TEXTAFTER('Additional Images-WUO_ERR'!A322, ":"))))</f>
        <v/>
      </c>
    </row>
    <row r="323">
      <c r="A323" s="38">
        <f>IF('Additional Images'!B323 = "", "", IF('Additional Images-WUO_ERR'!A323 = "", "Validated", HYPERLINK("#" &amp; ADDRESS(323, 'Additional Images-WUO_TRK'!A323),_xlfn.TEXTAFTER('Additional Images-WUO_ERR'!A323, ":"))))</f>
        <v/>
      </c>
    </row>
    <row r="324">
      <c r="A324" s="38">
        <f>IF('Additional Images'!B324 = "", "", IF('Additional Images-WUO_ERR'!A324 = "", "Validated", HYPERLINK("#" &amp; ADDRESS(324, 'Additional Images-WUO_TRK'!A324),_xlfn.TEXTAFTER('Additional Images-WUO_ERR'!A324, ":"))))</f>
        <v/>
      </c>
    </row>
    <row r="325">
      <c r="A325" s="38">
        <f>IF('Additional Images'!B325 = "", "", IF('Additional Images-WUO_ERR'!A325 = "", "Validated", HYPERLINK("#" &amp; ADDRESS(325, 'Additional Images-WUO_TRK'!A325),_xlfn.TEXTAFTER('Additional Images-WUO_ERR'!A325, ":"))))</f>
        <v/>
      </c>
    </row>
    <row r="326">
      <c r="A326" s="38">
        <f>IF('Additional Images'!B326 = "", "", IF('Additional Images-WUO_ERR'!A326 = "", "Validated", HYPERLINK("#" &amp; ADDRESS(326, 'Additional Images-WUO_TRK'!A326),_xlfn.TEXTAFTER('Additional Images-WUO_ERR'!A326, ":"))))</f>
        <v/>
      </c>
    </row>
    <row r="327">
      <c r="A327" s="38">
        <f>IF('Additional Images'!B327 = "", "", IF('Additional Images-WUO_ERR'!A327 = "", "Validated", HYPERLINK("#" &amp; ADDRESS(327, 'Additional Images-WUO_TRK'!A327),_xlfn.TEXTAFTER('Additional Images-WUO_ERR'!A327, ":"))))</f>
        <v/>
      </c>
    </row>
    <row r="328">
      <c r="A328" s="38">
        <f>IF('Additional Images'!B328 = "", "", IF('Additional Images-WUO_ERR'!A328 = "", "Validated", HYPERLINK("#" &amp; ADDRESS(328, 'Additional Images-WUO_TRK'!A328),_xlfn.TEXTAFTER('Additional Images-WUO_ERR'!A328, ":"))))</f>
        <v/>
      </c>
    </row>
    <row r="329">
      <c r="A329" s="38">
        <f>IF('Additional Images'!B329 = "", "", IF('Additional Images-WUO_ERR'!A329 = "", "Validated", HYPERLINK("#" &amp; ADDRESS(329, 'Additional Images-WUO_TRK'!A329),_xlfn.TEXTAFTER('Additional Images-WUO_ERR'!A329, ":"))))</f>
        <v/>
      </c>
    </row>
    <row r="330">
      <c r="A330" s="38">
        <f>IF('Additional Images'!B330 = "", "", IF('Additional Images-WUO_ERR'!A330 = "", "Validated", HYPERLINK("#" &amp; ADDRESS(330, 'Additional Images-WUO_TRK'!A330),_xlfn.TEXTAFTER('Additional Images-WUO_ERR'!A330, ":"))))</f>
        <v/>
      </c>
    </row>
    <row r="331">
      <c r="A331" s="38">
        <f>IF('Additional Images'!B331 = "", "", IF('Additional Images-WUO_ERR'!A331 = "", "Validated", HYPERLINK("#" &amp; ADDRESS(331, 'Additional Images-WUO_TRK'!A331),_xlfn.TEXTAFTER('Additional Images-WUO_ERR'!A331, ":"))))</f>
        <v/>
      </c>
    </row>
    <row r="332">
      <c r="A332" s="38">
        <f>IF('Additional Images'!B332 = "", "", IF('Additional Images-WUO_ERR'!A332 = "", "Validated", HYPERLINK("#" &amp; ADDRESS(332, 'Additional Images-WUO_TRK'!A332),_xlfn.TEXTAFTER('Additional Images-WUO_ERR'!A332, ":"))))</f>
        <v/>
      </c>
    </row>
    <row r="333">
      <c r="A333" s="38">
        <f>IF('Additional Images'!B333 = "", "", IF('Additional Images-WUO_ERR'!A333 = "", "Validated", HYPERLINK("#" &amp; ADDRESS(333, 'Additional Images-WUO_TRK'!A333),_xlfn.TEXTAFTER('Additional Images-WUO_ERR'!A333, ":"))))</f>
        <v/>
      </c>
    </row>
    <row r="334">
      <c r="A334" s="38">
        <f>IF('Additional Images'!B334 = "", "", IF('Additional Images-WUO_ERR'!A334 = "", "Validated", HYPERLINK("#" &amp; ADDRESS(334, 'Additional Images-WUO_TRK'!A334),_xlfn.TEXTAFTER('Additional Images-WUO_ERR'!A334, ":"))))</f>
        <v/>
      </c>
    </row>
    <row r="335">
      <c r="A335" s="38">
        <f>IF('Additional Images'!B335 = "", "", IF('Additional Images-WUO_ERR'!A335 = "", "Validated", HYPERLINK("#" &amp; ADDRESS(335, 'Additional Images-WUO_TRK'!A335),_xlfn.TEXTAFTER('Additional Images-WUO_ERR'!A335, ":"))))</f>
        <v/>
      </c>
    </row>
    <row r="336">
      <c r="A336" s="38">
        <f>IF('Additional Images'!B336 = "", "", IF('Additional Images-WUO_ERR'!A336 = "", "Validated", HYPERLINK("#" &amp; ADDRESS(336, 'Additional Images-WUO_TRK'!A336),_xlfn.TEXTAFTER('Additional Images-WUO_ERR'!A336, ":"))))</f>
        <v/>
      </c>
    </row>
    <row r="337">
      <c r="A337" s="38">
        <f>IF('Additional Images'!B337 = "", "", IF('Additional Images-WUO_ERR'!A337 = "", "Validated", HYPERLINK("#" &amp; ADDRESS(337, 'Additional Images-WUO_TRK'!A337),_xlfn.TEXTAFTER('Additional Images-WUO_ERR'!A337, ":"))))</f>
        <v/>
      </c>
    </row>
    <row r="338">
      <c r="A338" s="38">
        <f>IF('Additional Images'!B338 = "", "", IF('Additional Images-WUO_ERR'!A338 = "", "Validated", HYPERLINK("#" &amp; ADDRESS(338, 'Additional Images-WUO_TRK'!A338),_xlfn.TEXTAFTER('Additional Images-WUO_ERR'!A338, ":"))))</f>
        <v/>
      </c>
    </row>
    <row r="339">
      <c r="A339" s="38">
        <f>IF('Additional Images'!B339 = "", "", IF('Additional Images-WUO_ERR'!A339 = "", "Validated", HYPERLINK("#" &amp; ADDRESS(339, 'Additional Images-WUO_TRK'!A339),_xlfn.TEXTAFTER('Additional Images-WUO_ERR'!A339, ":"))))</f>
        <v/>
      </c>
    </row>
    <row r="340">
      <c r="A340" s="38">
        <f>IF('Additional Images'!B340 = "", "", IF('Additional Images-WUO_ERR'!A340 = "", "Validated", HYPERLINK("#" &amp; ADDRESS(340, 'Additional Images-WUO_TRK'!A340),_xlfn.TEXTAFTER('Additional Images-WUO_ERR'!A340, ":"))))</f>
        <v/>
      </c>
    </row>
    <row r="341">
      <c r="A341" s="38">
        <f>IF('Additional Images'!B341 = "", "", IF('Additional Images-WUO_ERR'!A341 = "", "Validated", HYPERLINK("#" &amp; ADDRESS(341, 'Additional Images-WUO_TRK'!A341),_xlfn.TEXTAFTER('Additional Images-WUO_ERR'!A341, ":"))))</f>
        <v/>
      </c>
    </row>
    <row r="342">
      <c r="A342" s="38">
        <f>IF('Additional Images'!B342 = "", "", IF('Additional Images-WUO_ERR'!A342 = "", "Validated", HYPERLINK("#" &amp; ADDRESS(342, 'Additional Images-WUO_TRK'!A342),_xlfn.TEXTAFTER('Additional Images-WUO_ERR'!A342, ":"))))</f>
        <v/>
      </c>
    </row>
    <row r="343">
      <c r="A343" s="38">
        <f>IF('Additional Images'!B343 = "", "", IF('Additional Images-WUO_ERR'!A343 = "", "Validated", HYPERLINK("#" &amp; ADDRESS(343, 'Additional Images-WUO_TRK'!A343),_xlfn.TEXTAFTER('Additional Images-WUO_ERR'!A343, ":"))))</f>
        <v/>
      </c>
    </row>
    <row r="344">
      <c r="A344" s="38">
        <f>IF('Additional Images'!B344 = "", "", IF('Additional Images-WUO_ERR'!A344 = "", "Validated", HYPERLINK("#" &amp; ADDRESS(344, 'Additional Images-WUO_TRK'!A344),_xlfn.TEXTAFTER('Additional Images-WUO_ERR'!A344, ":"))))</f>
        <v/>
      </c>
    </row>
    <row r="345">
      <c r="A345" s="38">
        <f>IF('Additional Images'!B345 = "", "", IF('Additional Images-WUO_ERR'!A345 = "", "Validated", HYPERLINK("#" &amp; ADDRESS(345, 'Additional Images-WUO_TRK'!A345),_xlfn.TEXTAFTER('Additional Images-WUO_ERR'!A345, ":"))))</f>
        <v/>
      </c>
    </row>
    <row r="346">
      <c r="A346" s="38">
        <f>IF('Additional Images'!B346 = "", "", IF('Additional Images-WUO_ERR'!A346 = "", "Validated", HYPERLINK("#" &amp; ADDRESS(346, 'Additional Images-WUO_TRK'!A346),_xlfn.TEXTAFTER('Additional Images-WUO_ERR'!A346, ":"))))</f>
        <v/>
      </c>
    </row>
    <row r="347">
      <c r="A347" s="38">
        <f>IF('Additional Images'!B347 = "", "", IF('Additional Images-WUO_ERR'!A347 = "", "Validated", HYPERLINK("#" &amp; ADDRESS(347, 'Additional Images-WUO_TRK'!A347),_xlfn.TEXTAFTER('Additional Images-WUO_ERR'!A347, ":"))))</f>
        <v/>
      </c>
    </row>
    <row r="348">
      <c r="A348" s="38">
        <f>IF('Additional Images'!B348 = "", "", IF('Additional Images-WUO_ERR'!A348 = "", "Validated", HYPERLINK("#" &amp; ADDRESS(348, 'Additional Images-WUO_TRK'!A348),_xlfn.TEXTAFTER('Additional Images-WUO_ERR'!A348, ":"))))</f>
        <v/>
      </c>
    </row>
    <row r="349">
      <c r="A349" s="38">
        <f>IF('Additional Images'!B349 = "", "", IF('Additional Images-WUO_ERR'!A349 = "", "Validated", HYPERLINK("#" &amp; ADDRESS(349, 'Additional Images-WUO_TRK'!A349),_xlfn.TEXTAFTER('Additional Images-WUO_ERR'!A349, ":"))))</f>
        <v/>
      </c>
    </row>
    <row r="350">
      <c r="A350" s="38">
        <f>IF('Additional Images'!B350 = "", "", IF('Additional Images-WUO_ERR'!A350 = "", "Validated", HYPERLINK("#" &amp; ADDRESS(350, 'Additional Images-WUO_TRK'!A350),_xlfn.TEXTAFTER('Additional Images-WUO_ERR'!A350, ":"))))</f>
        <v/>
      </c>
    </row>
    <row r="351">
      <c r="A351" s="38">
        <f>IF('Additional Images'!B351 = "", "", IF('Additional Images-WUO_ERR'!A351 = "", "Validated", HYPERLINK("#" &amp; ADDRESS(351, 'Additional Images-WUO_TRK'!A351),_xlfn.TEXTAFTER('Additional Images-WUO_ERR'!A351, ":"))))</f>
        <v/>
      </c>
    </row>
    <row r="352">
      <c r="A352" s="38">
        <f>IF('Additional Images'!B352 = "", "", IF('Additional Images-WUO_ERR'!A352 = "", "Validated", HYPERLINK("#" &amp; ADDRESS(352, 'Additional Images-WUO_TRK'!A352),_xlfn.TEXTAFTER('Additional Images-WUO_ERR'!A352, ":"))))</f>
        <v/>
      </c>
    </row>
    <row r="353">
      <c r="A353" s="38">
        <f>IF('Additional Images'!B353 = "", "", IF('Additional Images-WUO_ERR'!A353 = "", "Validated", HYPERLINK("#" &amp; ADDRESS(353, 'Additional Images-WUO_TRK'!A353),_xlfn.TEXTAFTER('Additional Images-WUO_ERR'!A353, ":"))))</f>
        <v/>
      </c>
    </row>
    <row r="354">
      <c r="A354" s="38">
        <f>IF('Additional Images'!B354 = "", "", IF('Additional Images-WUO_ERR'!A354 = "", "Validated", HYPERLINK("#" &amp; ADDRESS(354, 'Additional Images-WUO_TRK'!A354),_xlfn.TEXTAFTER('Additional Images-WUO_ERR'!A354, ":"))))</f>
        <v/>
      </c>
    </row>
    <row r="355">
      <c r="A355" s="38">
        <f>IF('Additional Images'!B355 = "", "", IF('Additional Images-WUO_ERR'!A355 = "", "Validated", HYPERLINK("#" &amp; ADDRESS(355, 'Additional Images-WUO_TRK'!A355),_xlfn.TEXTAFTER('Additional Images-WUO_ERR'!A355, ":"))))</f>
        <v/>
      </c>
    </row>
    <row r="356">
      <c r="A356" s="38">
        <f>IF('Additional Images'!B356 = "", "", IF('Additional Images-WUO_ERR'!A356 = "", "Validated", HYPERLINK("#" &amp; ADDRESS(356, 'Additional Images-WUO_TRK'!A356),_xlfn.TEXTAFTER('Additional Images-WUO_ERR'!A356, ":"))))</f>
        <v/>
      </c>
    </row>
    <row r="357">
      <c r="A357" s="38">
        <f>IF('Additional Images'!B357 = "", "", IF('Additional Images-WUO_ERR'!A357 = "", "Validated", HYPERLINK("#" &amp; ADDRESS(357, 'Additional Images-WUO_TRK'!A357),_xlfn.TEXTAFTER('Additional Images-WUO_ERR'!A357, ":"))))</f>
        <v/>
      </c>
    </row>
    <row r="358">
      <c r="A358" s="38">
        <f>IF('Additional Images'!B358 = "", "", IF('Additional Images-WUO_ERR'!A358 = "", "Validated", HYPERLINK("#" &amp; ADDRESS(358, 'Additional Images-WUO_TRK'!A358),_xlfn.TEXTAFTER('Additional Images-WUO_ERR'!A358, ":"))))</f>
        <v/>
      </c>
    </row>
    <row r="359">
      <c r="A359" s="38">
        <f>IF('Additional Images'!B359 = "", "", IF('Additional Images-WUO_ERR'!A359 = "", "Validated", HYPERLINK("#" &amp; ADDRESS(359, 'Additional Images-WUO_TRK'!A359),_xlfn.TEXTAFTER('Additional Images-WUO_ERR'!A359, ":"))))</f>
        <v/>
      </c>
    </row>
    <row r="360">
      <c r="A360" s="38">
        <f>IF('Additional Images'!B360 = "", "", IF('Additional Images-WUO_ERR'!A360 = "", "Validated", HYPERLINK("#" &amp; ADDRESS(360, 'Additional Images-WUO_TRK'!A360),_xlfn.TEXTAFTER('Additional Images-WUO_ERR'!A360, ":"))))</f>
        <v/>
      </c>
    </row>
    <row r="361">
      <c r="A361" s="38">
        <f>IF('Additional Images'!B361 = "", "", IF('Additional Images-WUO_ERR'!A361 = "", "Validated", HYPERLINK("#" &amp; ADDRESS(361, 'Additional Images-WUO_TRK'!A361),_xlfn.TEXTAFTER('Additional Images-WUO_ERR'!A361, ":"))))</f>
        <v/>
      </c>
    </row>
    <row r="362">
      <c r="A362" s="38">
        <f>IF('Additional Images'!B362 = "", "", IF('Additional Images-WUO_ERR'!A362 = "", "Validated", HYPERLINK("#" &amp; ADDRESS(362, 'Additional Images-WUO_TRK'!A362),_xlfn.TEXTAFTER('Additional Images-WUO_ERR'!A362, ":"))))</f>
        <v/>
      </c>
    </row>
    <row r="363">
      <c r="A363" s="38">
        <f>IF('Additional Images'!B363 = "", "", IF('Additional Images-WUO_ERR'!A363 = "", "Validated", HYPERLINK("#" &amp; ADDRESS(363, 'Additional Images-WUO_TRK'!A363),_xlfn.TEXTAFTER('Additional Images-WUO_ERR'!A363, ":"))))</f>
        <v/>
      </c>
    </row>
    <row r="364">
      <c r="A364" s="38">
        <f>IF('Additional Images'!B364 = "", "", IF('Additional Images-WUO_ERR'!A364 = "", "Validated", HYPERLINK("#" &amp; ADDRESS(364, 'Additional Images-WUO_TRK'!A364),_xlfn.TEXTAFTER('Additional Images-WUO_ERR'!A364, ":"))))</f>
        <v/>
      </c>
    </row>
    <row r="365">
      <c r="A365" s="38">
        <f>IF('Additional Images'!B365 = "", "", IF('Additional Images-WUO_ERR'!A365 = "", "Validated", HYPERLINK("#" &amp; ADDRESS(365, 'Additional Images-WUO_TRK'!A365),_xlfn.TEXTAFTER('Additional Images-WUO_ERR'!A365, ":"))))</f>
        <v/>
      </c>
    </row>
    <row r="366">
      <c r="A366" s="38">
        <f>IF('Additional Images'!B366 = "", "", IF('Additional Images-WUO_ERR'!A366 = "", "Validated", HYPERLINK("#" &amp; ADDRESS(366, 'Additional Images-WUO_TRK'!A366),_xlfn.TEXTAFTER('Additional Images-WUO_ERR'!A366, ":"))))</f>
        <v/>
      </c>
    </row>
    <row r="367">
      <c r="A367" s="38">
        <f>IF('Additional Images'!B367 = "", "", IF('Additional Images-WUO_ERR'!A367 = "", "Validated", HYPERLINK("#" &amp; ADDRESS(367, 'Additional Images-WUO_TRK'!A367),_xlfn.TEXTAFTER('Additional Images-WUO_ERR'!A367, ":"))))</f>
        <v/>
      </c>
    </row>
    <row r="368">
      <c r="A368" s="38">
        <f>IF('Additional Images'!B368 = "", "", IF('Additional Images-WUO_ERR'!A368 = "", "Validated", HYPERLINK("#" &amp; ADDRESS(368, 'Additional Images-WUO_TRK'!A368),_xlfn.TEXTAFTER('Additional Images-WUO_ERR'!A368, ":"))))</f>
        <v/>
      </c>
    </row>
    <row r="369">
      <c r="A369" s="38">
        <f>IF('Additional Images'!B369 = "", "", IF('Additional Images-WUO_ERR'!A369 = "", "Validated", HYPERLINK("#" &amp; ADDRESS(369, 'Additional Images-WUO_TRK'!A369),_xlfn.TEXTAFTER('Additional Images-WUO_ERR'!A369, ":"))))</f>
        <v/>
      </c>
    </row>
    <row r="370">
      <c r="A370" s="38">
        <f>IF('Additional Images'!B370 = "", "", IF('Additional Images-WUO_ERR'!A370 = "", "Validated", HYPERLINK("#" &amp; ADDRESS(370, 'Additional Images-WUO_TRK'!A370),_xlfn.TEXTAFTER('Additional Images-WUO_ERR'!A370, ":"))))</f>
        <v/>
      </c>
    </row>
    <row r="371">
      <c r="A371" s="38">
        <f>IF('Additional Images'!B371 = "", "", IF('Additional Images-WUO_ERR'!A371 = "", "Validated", HYPERLINK("#" &amp; ADDRESS(371, 'Additional Images-WUO_TRK'!A371),_xlfn.TEXTAFTER('Additional Images-WUO_ERR'!A371, ":"))))</f>
        <v/>
      </c>
    </row>
    <row r="372">
      <c r="A372" s="38">
        <f>IF('Additional Images'!B372 = "", "", IF('Additional Images-WUO_ERR'!A372 = "", "Validated", HYPERLINK("#" &amp; ADDRESS(372, 'Additional Images-WUO_TRK'!A372),_xlfn.TEXTAFTER('Additional Images-WUO_ERR'!A372, ":"))))</f>
        <v/>
      </c>
    </row>
    <row r="373">
      <c r="A373" s="38">
        <f>IF('Additional Images'!B373 = "", "", IF('Additional Images-WUO_ERR'!A373 = "", "Validated", HYPERLINK("#" &amp; ADDRESS(373, 'Additional Images-WUO_TRK'!A373),_xlfn.TEXTAFTER('Additional Images-WUO_ERR'!A373, ":"))))</f>
        <v/>
      </c>
    </row>
    <row r="374">
      <c r="A374" s="38">
        <f>IF('Additional Images'!B374 = "", "", IF('Additional Images-WUO_ERR'!A374 = "", "Validated", HYPERLINK("#" &amp; ADDRESS(374, 'Additional Images-WUO_TRK'!A374),_xlfn.TEXTAFTER('Additional Images-WUO_ERR'!A374, ":"))))</f>
        <v/>
      </c>
    </row>
    <row r="375">
      <c r="A375" s="38">
        <f>IF('Additional Images'!B375 = "", "", IF('Additional Images-WUO_ERR'!A375 = "", "Validated", HYPERLINK("#" &amp; ADDRESS(375, 'Additional Images-WUO_TRK'!A375),_xlfn.TEXTAFTER('Additional Images-WUO_ERR'!A375, ":"))))</f>
        <v/>
      </c>
    </row>
    <row r="376">
      <c r="A376" s="38">
        <f>IF('Additional Images'!B376 = "", "", IF('Additional Images-WUO_ERR'!A376 = "", "Validated", HYPERLINK("#" &amp; ADDRESS(376, 'Additional Images-WUO_TRK'!A376),_xlfn.TEXTAFTER('Additional Images-WUO_ERR'!A376, ":"))))</f>
        <v/>
      </c>
    </row>
    <row r="377">
      <c r="A377" s="38">
        <f>IF('Additional Images'!B377 = "", "", IF('Additional Images-WUO_ERR'!A377 = "", "Validated", HYPERLINK("#" &amp; ADDRESS(377, 'Additional Images-WUO_TRK'!A377),_xlfn.TEXTAFTER('Additional Images-WUO_ERR'!A377, ":"))))</f>
        <v/>
      </c>
    </row>
    <row r="378">
      <c r="A378" s="38">
        <f>IF('Additional Images'!B378 = "", "", IF('Additional Images-WUO_ERR'!A378 = "", "Validated", HYPERLINK("#" &amp; ADDRESS(378, 'Additional Images-WUO_TRK'!A378),_xlfn.TEXTAFTER('Additional Images-WUO_ERR'!A378, ":"))))</f>
        <v/>
      </c>
    </row>
    <row r="379">
      <c r="A379" s="38">
        <f>IF('Additional Images'!B379 = "", "", IF('Additional Images-WUO_ERR'!A379 = "", "Validated", HYPERLINK("#" &amp; ADDRESS(379, 'Additional Images-WUO_TRK'!A379),_xlfn.TEXTAFTER('Additional Images-WUO_ERR'!A379, ":"))))</f>
        <v/>
      </c>
    </row>
    <row r="380">
      <c r="A380" s="38">
        <f>IF('Additional Images'!B380 = "", "", IF('Additional Images-WUO_ERR'!A380 = "", "Validated", HYPERLINK("#" &amp; ADDRESS(380, 'Additional Images-WUO_TRK'!A380),_xlfn.TEXTAFTER('Additional Images-WUO_ERR'!A380, ":"))))</f>
        <v/>
      </c>
    </row>
    <row r="381">
      <c r="A381" s="38">
        <f>IF('Additional Images'!B381 = "", "", IF('Additional Images-WUO_ERR'!A381 = "", "Validated", HYPERLINK("#" &amp; ADDRESS(381, 'Additional Images-WUO_TRK'!A381),_xlfn.TEXTAFTER('Additional Images-WUO_ERR'!A381, ":"))))</f>
        <v/>
      </c>
    </row>
    <row r="382">
      <c r="A382" s="38">
        <f>IF('Additional Images'!B382 = "", "", IF('Additional Images-WUO_ERR'!A382 = "", "Validated", HYPERLINK("#" &amp; ADDRESS(382, 'Additional Images-WUO_TRK'!A382),_xlfn.TEXTAFTER('Additional Images-WUO_ERR'!A382, ":"))))</f>
        <v/>
      </c>
    </row>
    <row r="383">
      <c r="A383" s="38">
        <f>IF('Additional Images'!B383 = "", "", IF('Additional Images-WUO_ERR'!A383 = "", "Validated", HYPERLINK("#" &amp; ADDRESS(383, 'Additional Images-WUO_TRK'!A383),_xlfn.TEXTAFTER('Additional Images-WUO_ERR'!A383, ":"))))</f>
        <v/>
      </c>
    </row>
    <row r="384">
      <c r="A384" s="38">
        <f>IF('Additional Images'!B384 = "", "", IF('Additional Images-WUO_ERR'!A384 = "", "Validated", HYPERLINK("#" &amp; ADDRESS(384, 'Additional Images-WUO_TRK'!A384),_xlfn.TEXTAFTER('Additional Images-WUO_ERR'!A384, ":"))))</f>
        <v/>
      </c>
    </row>
    <row r="385">
      <c r="A385" s="38">
        <f>IF('Additional Images'!B385 = "", "", IF('Additional Images-WUO_ERR'!A385 = "", "Validated", HYPERLINK("#" &amp; ADDRESS(385, 'Additional Images-WUO_TRK'!A385),_xlfn.TEXTAFTER('Additional Images-WUO_ERR'!A385, ":"))))</f>
        <v/>
      </c>
    </row>
    <row r="386">
      <c r="A386" s="38">
        <f>IF('Additional Images'!B386 = "", "", IF('Additional Images-WUO_ERR'!A386 = "", "Validated", HYPERLINK("#" &amp; ADDRESS(386, 'Additional Images-WUO_TRK'!A386),_xlfn.TEXTAFTER('Additional Images-WUO_ERR'!A386, ":"))))</f>
        <v/>
      </c>
    </row>
    <row r="387">
      <c r="A387" s="38">
        <f>IF('Additional Images'!B387 = "", "", IF('Additional Images-WUO_ERR'!A387 = "", "Validated", HYPERLINK("#" &amp; ADDRESS(387, 'Additional Images-WUO_TRK'!A387),_xlfn.TEXTAFTER('Additional Images-WUO_ERR'!A387, ":"))))</f>
        <v/>
      </c>
    </row>
    <row r="388">
      <c r="A388" s="38">
        <f>IF('Additional Images'!B388 = "", "", IF('Additional Images-WUO_ERR'!A388 = "", "Validated", HYPERLINK("#" &amp; ADDRESS(388, 'Additional Images-WUO_TRK'!A388),_xlfn.TEXTAFTER('Additional Images-WUO_ERR'!A388, ":"))))</f>
        <v/>
      </c>
    </row>
    <row r="389">
      <c r="A389" s="38">
        <f>IF('Additional Images'!B389 = "", "", IF('Additional Images-WUO_ERR'!A389 = "", "Validated", HYPERLINK("#" &amp; ADDRESS(389, 'Additional Images-WUO_TRK'!A389),_xlfn.TEXTAFTER('Additional Images-WUO_ERR'!A389, ":"))))</f>
        <v/>
      </c>
    </row>
    <row r="390">
      <c r="A390" s="38">
        <f>IF('Additional Images'!B390 = "", "", IF('Additional Images-WUO_ERR'!A390 = "", "Validated", HYPERLINK("#" &amp; ADDRESS(390, 'Additional Images-WUO_TRK'!A390),_xlfn.TEXTAFTER('Additional Images-WUO_ERR'!A390, ":"))))</f>
        <v/>
      </c>
    </row>
    <row r="391">
      <c r="A391" s="38">
        <f>IF('Additional Images'!B391 = "", "", IF('Additional Images-WUO_ERR'!A391 = "", "Validated", HYPERLINK("#" &amp; ADDRESS(391, 'Additional Images-WUO_TRK'!A391),_xlfn.TEXTAFTER('Additional Images-WUO_ERR'!A391, ":"))))</f>
        <v/>
      </c>
    </row>
    <row r="392">
      <c r="A392" s="38">
        <f>IF('Additional Images'!B392 = "", "", IF('Additional Images-WUO_ERR'!A392 = "", "Validated", HYPERLINK("#" &amp; ADDRESS(392, 'Additional Images-WUO_TRK'!A392),_xlfn.TEXTAFTER('Additional Images-WUO_ERR'!A392, ":"))))</f>
        <v/>
      </c>
    </row>
    <row r="393">
      <c r="A393" s="38">
        <f>IF('Additional Images'!B393 = "", "", IF('Additional Images-WUO_ERR'!A393 = "", "Validated", HYPERLINK("#" &amp; ADDRESS(393, 'Additional Images-WUO_TRK'!A393),_xlfn.TEXTAFTER('Additional Images-WUO_ERR'!A393, ":"))))</f>
        <v/>
      </c>
    </row>
    <row r="394">
      <c r="A394" s="38">
        <f>IF('Additional Images'!B394 = "", "", IF('Additional Images-WUO_ERR'!A394 = "", "Validated", HYPERLINK("#" &amp; ADDRESS(394, 'Additional Images-WUO_TRK'!A394),_xlfn.TEXTAFTER('Additional Images-WUO_ERR'!A394, ":"))))</f>
        <v/>
      </c>
    </row>
    <row r="395">
      <c r="A395" s="38">
        <f>IF('Additional Images'!B395 = "", "", IF('Additional Images-WUO_ERR'!A395 = "", "Validated", HYPERLINK("#" &amp; ADDRESS(395, 'Additional Images-WUO_TRK'!A395),_xlfn.TEXTAFTER('Additional Images-WUO_ERR'!A395, ":"))))</f>
        <v/>
      </c>
    </row>
    <row r="396">
      <c r="A396" s="38">
        <f>IF('Additional Images'!B396 = "", "", IF('Additional Images-WUO_ERR'!A396 = "", "Validated", HYPERLINK("#" &amp; ADDRESS(396, 'Additional Images-WUO_TRK'!A396),_xlfn.TEXTAFTER('Additional Images-WUO_ERR'!A396, ":"))))</f>
        <v/>
      </c>
    </row>
    <row r="397">
      <c r="A397" s="38">
        <f>IF('Additional Images'!B397 = "", "", IF('Additional Images-WUO_ERR'!A397 = "", "Validated", HYPERLINK("#" &amp; ADDRESS(397, 'Additional Images-WUO_TRK'!A397),_xlfn.TEXTAFTER('Additional Images-WUO_ERR'!A397, ":"))))</f>
        <v/>
      </c>
    </row>
    <row r="398">
      <c r="A398" s="38">
        <f>IF('Additional Images'!B398 = "", "", IF('Additional Images-WUO_ERR'!A398 = "", "Validated", HYPERLINK("#" &amp; ADDRESS(398, 'Additional Images-WUO_TRK'!A398),_xlfn.TEXTAFTER('Additional Images-WUO_ERR'!A398, ":"))))</f>
        <v/>
      </c>
    </row>
    <row r="399">
      <c r="A399" s="38">
        <f>IF('Additional Images'!B399 = "", "", IF('Additional Images-WUO_ERR'!A399 = "", "Validated", HYPERLINK("#" &amp; ADDRESS(399, 'Additional Images-WUO_TRK'!A399),_xlfn.TEXTAFTER('Additional Images-WUO_ERR'!A399, ":"))))</f>
        <v/>
      </c>
    </row>
    <row r="400">
      <c r="A400" s="38">
        <f>IF('Additional Images'!B400 = "", "", IF('Additional Images-WUO_ERR'!A400 = "", "Validated", HYPERLINK("#" &amp; ADDRESS(400, 'Additional Images-WUO_TRK'!A400),_xlfn.TEXTAFTER('Additional Images-WUO_ERR'!A400, ":"))))</f>
        <v/>
      </c>
    </row>
    <row r="401">
      <c r="A401" s="38">
        <f>IF('Additional Images'!B401 = "", "", IF('Additional Images-WUO_ERR'!A401 = "", "Validated", HYPERLINK("#" &amp; ADDRESS(401, 'Additional Images-WUO_TRK'!A401),_xlfn.TEXTAFTER('Additional Images-WUO_ERR'!A401, ":"))))</f>
        <v/>
      </c>
    </row>
    <row r="402">
      <c r="A402" s="38">
        <f>IF('Additional Images'!B402 = "", "", IF('Additional Images-WUO_ERR'!A402 = "", "Validated", HYPERLINK("#" &amp; ADDRESS(402, 'Additional Images-WUO_TRK'!A402),_xlfn.TEXTAFTER('Additional Images-WUO_ERR'!A402, ":"))))</f>
        <v/>
      </c>
    </row>
    <row r="403">
      <c r="A403" s="38">
        <f>IF('Additional Images'!B403 = "", "", IF('Additional Images-WUO_ERR'!A403 = "", "Validated", HYPERLINK("#" &amp; ADDRESS(403, 'Additional Images-WUO_TRK'!A403),_xlfn.TEXTAFTER('Additional Images-WUO_ERR'!A403, ":"))))</f>
        <v/>
      </c>
    </row>
    <row r="404">
      <c r="A404" s="38">
        <f>IF('Additional Images'!B404 = "", "", IF('Additional Images-WUO_ERR'!A404 = "", "Validated", HYPERLINK("#" &amp; ADDRESS(404, 'Additional Images-WUO_TRK'!A404),_xlfn.TEXTAFTER('Additional Images-WUO_ERR'!A404, ":"))))</f>
        <v/>
      </c>
    </row>
    <row r="405">
      <c r="A405" s="38">
        <f>IF('Additional Images'!B405 = "", "", IF('Additional Images-WUO_ERR'!A405 = "", "Validated", HYPERLINK("#" &amp; ADDRESS(405, 'Additional Images-WUO_TRK'!A405),_xlfn.TEXTAFTER('Additional Images-WUO_ERR'!A405, ":"))))</f>
        <v/>
      </c>
    </row>
    <row r="406">
      <c r="A406" s="38">
        <f>IF('Additional Images'!B406 = "", "", IF('Additional Images-WUO_ERR'!A406 = "", "Validated", HYPERLINK("#" &amp; ADDRESS(406, 'Additional Images-WUO_TRK'!A406),_xlfn.TEXTAFTER('Additional Images-WUO_ERR'!A406, ":"))))</f>
        <v/>
      </c>
    </row>
    <row r="407">
      <c r="A407" s="38">
        <f>IF('Additional Images'!B407 = "", "", IF('Additional Images-WUO_ERR'!A407 = "", "Validated", HYPERLINK("#" &amp; ADDRESS(407, 'Additional Images-WUO_TRK'!A407),_xlfn.TEXTAFTER('Additional Images-WUO_ERR'!A407, ":"))))</f>
        <v/>
      </c>
    </row>
    <row r="408">
      <c r="A408" s="38">
        <f>IF('Additional Images'!B408 = "", "", IF('Additional Images-WUO_ERR'!A408 = "", "Validated", HYPERLINK("#" &amp; ADDRESS(408, 'Additional Images-WUO_TRK'!A408),_xlfn.TEXTAFTER('Additional Images-WUO_ERR'!A408, ":"))))</f>
        <v/>
      </c>
    </row>
    <row r="409">
      <c r="A409" s="38">
        <f>IF('Additional Images'!B409 = "", "", IF('Additional Images-WUO_ERR'!A409 = "", "Validated", HYPERLINK("#" &amp; ADDRESS(409, 'Additional Images-WUO_TRK'!A409),_xlfn.TEXTAFTER('Additional Images-WUO_ERR'!A409, ":"))))</f>
        <v/>
      </c>
    </row>
    <row r="410">
      <c r="A410" s="38">
        <f>IF('Additional Images'!B410 = "", "", IF('Additional Images-WUO_ERR'!A410 = "", "Validated", HYPERLINK("#" &amp; ADDRESS(410, 'Additional Images-WUO_TRK'!A410),_xlfn.TEXTAFTER('Additional Images-WUO_ERR'!A410, ":"))))</f>
        <v/>
      </c>
    </row>
    <row r="411">
      <c r="A411" s="38">
        <f>IF('Additional Images'!B411 = "", "", IF('Additional Images-WUO_ERR'!A411 = "", "Validated", HYPERLINK("#" &amp; ADDRESS(411, 'Additional Images-WUO_TRK'!A411),_xlfn.TEXTAFTER('Additional Images-WUO_ERR'!A411, ":"))))</f>
        <v/>
      </c>
    </row>
    <row r="412">
      <c r="A412" s="38">
        <f>IF('Additional Images'!B412 = "", "", IF('Additional Images-WUO_ERR'!A412 = "", "Validated", HYPERLINK("#" &amp; ADDRESS(412, 'Additional Images-WUO_TRK'!A412),_xlfn.TEXTAFTER('Additional Images-WUO_ERR'!A412, ":"))))</f>
        <v/>
      </c>
    </row>
    <row r="413">
      <c r="A413" s="38">
        <f>IF('Additional Images'!B413 = "", "", IF('Additional Images-WUO_ERR'!A413 = "", "Validated", HYPERLINK("#" &amp; ADDRESS(413, 'Additional Images-WUO_TRK'!A413),_xlfn.TEXTAFTER('Additional Images-WUO_ERR'!A413, ":"))))</f>
        <v/>
      </c>
    </row>
    <row r="414">
      <c r="A414" s="38">
        <f>IF('Additional Images'!B414 = "", "", IF('Additional Images-WUO_ERR'!A414 = "", "Validated", HYPERLINK("#" &amp; ADDRESS(414, 'Additional Images-WUO_TRK'!A414),_xlfn.TEXTAFTER('Additional Images-WUO_ERR'!A414, ":"))))</f>
        <v/>
      </c>
    </row>
    <row r="415">
      <c r="A415" s="38">
        <f>IF('Additional Images'!B415 = "", "", IF('Additional Images-WUO_ERR'!A415 = "", "Validated", HYPERLINK("#" &amp; ADDRESS(415, 'Additional Images-WUO_TRK'!A415),_xlfn.TEXTAFTER('Additional Images-WUO_ERR'!A415, ":"))))</f>
        <v/>
      </c>
    </row>
    <row r="416">
      <c r="A416" s="38">
        <f>IF('Additional Images'!B416 = "", "", IF('Additional Images-WUO_ERR'!A416 = "", "Validated", HYPERLINK("#" &amp; ADDRESS(416, 'Additional Images-WUO_TRK'!A416),_xlfn.TEXTAFTER('Additional Images-WUO_ERR'!A416, ":"))))</f>
        <v/>
      </c>
    </row>
    <row r="417">
      <c r="A417" s="38">
        <f>IF('Additional Images'!B417 = "", "", IF('Additional Images-WUO_ERR'!A417 = "", "Validated", HYPERLINK("#" &amp; ADDRESS(417, 'Additional Images-WUO_TRK'!A417),_xlfn.TEXTAFTER('Additional Images-WUO_ERR'!A417, ":"))))</f>
        <v/>
      </c>
    </row>
    <row r="418">
      <c r="A418" s="38">
        <f>IF('Additional Images'!B418 = "", "", IF('Additional Images-WUO_ERR'!A418 = "", "Validated", HYPERLINK("#" &amp; ADDRESS(418, 'Additional Images-WUO_TRK'!A418),_xlfn.TEXTAFTER('Additional Images-WUO_ERR'!A418, ":"))))</f>
        <v/>
      </c>
    </row>
    <row r="419">
      <c r="A419" s="38">
        <f>IF('Additional Images'!B419 = "", "", IF('Additional Images-WUO_ERR'!A419 = "", "Validated", HYPERLINK("#" &amp; ADDRESS(419, 'Additional Images-WUO_TRK'!A419),_xlfn.TEXTAFTER('Additional Images-WUO_ERR'!A419, ":"))))</f>
        <v/>
      </c>
    </row>
    <row r="420">
      <c r="A420" s="38">
        <f>IF('Additional Images'!B420 = "", "", IF('Additional Images-WUO_ERR'!A420 = "", "Validated", HYPERLINK("#" &amp; ADDRESS(420, 'Additional Images-WUO_TRK'!A420),_xlfn.TEXTAFTER('Additional Images-WUO_ERR'!A420, ":"))))</f>
        <v/>
      </c>
    </row>
    <row r="421">
      <c r="A421" s="38">
        <f>IF('Additional Images'!B421 = "", "", IF('Additional Images-WUO_ERR'!A421 = "", "Validated", HYPERLINK("#" &amp; ADDRESS(421, 'Additional Images-WUO_TRK'!A421),_xlfn.TEXTAFTER('Additional Images-WUO_ERR'!A421, ":"))))</f>
        <v/>
      </c>
    </row>
    <row r="422">
      <c r="A422" s="38">
        <f>IF('Additional Images'!B422 = "", "", IF('Additional Images-WUO_ERR'!A422 = "", "Validated", HYPERLINK("#" &amp; ADDRESS(422, 'Additional Images-WUO_TRK'!A422),_xlfn.TEXTAFTER('Additional Images-WUO_ERR'!A422, ":"))))</f>
        <v/>
      </c>
    </row>
    <row r="423">
      <c r="A423" s="38">
        <f>IF('Additional Images'!B423 = "", "", IF('Additional Images-WUO_ERR'!A423 = "", "Validated", HYPERLINK("#" &amp; ADDRESS(423, 'Additional Images-WUO_TRK'!A423),_xlfn.TEXTAFTER('Additional Images-WUO_ERR'!A423, ":"))))</f>
        <v/>
      </c>
    </row>
    <row r="424">
      <c r="A424" s="38">
        <f>IF('Additional Images'!B424 = "", "", IF('Additional Images-WUO_ERR'!A424 = "", "Validated", HYPERLINK("#" &amp; ADDRESS(424, 'Additional Images-WUO_TRK'!A424),_xlfn.TEXTAFTER('Additional Images-WUO_ERR'!A424, ":"))))</f>
        <v/>
      </c>
    </row>
    <row r="425">
      <c r="A425" s="38">
        <f>IF('Additional Images'!B425 = "", "", IF('Additional Images-WUO_ERR'!A425 = "", "Validated", HYPERLINK("#" &amp; ADDRESS(425, 'Additional Images-WUO_TRK'!A425),_xlfn.TEXTAFTER('Additional Images-WUO_ERR'!A425, ":"))))</f>
        <v/>
      </c>
    </row>
    <row r="426">
      <c r="A426" s="38">
        <f>IF('Additional Images'!B426 = "", "", IF('Additional Images-WUO_ERR'!A426 = "", "Validated", HYPERLINK("#" &amp; ADDRESS(426, 'Additional Images-WUO_TRK'!A426),_xlfn.TEXTAFTER('Additional Images-WUO_ERR'!A426, ":"))))</f>
        <v/>
      </c>
    </row>
    <row r="427">
      <c r="A427" s="38">
        <f>IF('Additional Images'!B427 = "", "", IF('Additional Images-WUO_ERR'!A427 = "", "Validated", HYPERLINK("#" &amp; ADDRESS(427, 'Additional Images-WUO_TRK'!A427),_xlfn.TEXTAFTER('Additional Images-WUO_ERR'!A427, ":"))))</f>
        <v/>
      </c>
    </row>
    <row r="428">
      <c r="A428" s="38">
        <f>IF('Additional Images'!B428 = "", "", IF('Additional Images-WUO_ERR'!A428 = "", "Validated", HYPERLINK("#" &amp; ADDRESS(428, 'Additional Images-WUO_TRK'!A428),_xlfn.TEXTAFTER('Additional Images-WUO_ERR'!A428, ":"))))</f>
        <v/>
      </c>
    </row>
    <row r="429">
      <c r="A429" s="38">
        <f>IF('Additional Images'!B429 = "", "", IF('Additional Images-WUO_ERR'!A429 = "", "Validated", HYPERLINK("#" &amp; ADDRESS(429, 'Additional Images-WUO_TRK'!A429),_xlfn.TEXTAFTER('Additional Images-WUO_ERR'!A429, ":"))))</f>
        <v/>
      </c>
    </row>
    <row r="430">
      <c r="A430" s="38">
        <f>IF('Additional Images'!B430 = "", "", IF('Additional Images-WUO_ERR'!A430 = "", "Validated", HYPERLINK("#" &amp; ADDRESS(430, 'Additional Images-WUO_TRK'!A430),_xlfn.TEXTAFTER('Additional Images-WUO_ERR'!A430, ":"))))</f>
        <v/>
      </c>
    </row>
    <row r="431">
      <c r="A431" s="38">
        <f>IF('Additional Images'!B431 = "", "", IF('Additional Images-WUO_ERR'!A431 = "", "Validated", HYPERLINK("#" &amp; ADDRESS(431, 'Additional Images-WUO_TRK'!A431),_xlfn.TEXTAFTER('Additional Images-WUO_ERR'!A431, ":"))))</f>
        <v/>
      </c>
    </row>
    <row r="432">
      <c r="A432" s="38">
        <f>IF('Additional Images'!B432 = "", "", IF('Additional Images-WUO_ERR'!A432 = "", "Validated", HYPERLINK("#" &amp; ADDRESS(432, 'Additional Images-WUO_TRK'!A432),_xlfn.TEXTAFTER('Additional Images-WUO_ERR'!A432, ":"))))</f>
        <v/>
      </c>
    </row>
    <row r="433">
      <c r="A433" s="38">
        <f>IF('Additional Images'!B433 = "", "", IF('Additional Images-WUO_ERR'!A433 = "", "Validated", HYPERLINK("#" &amp; ADDRESS(433, 'Additional Images-WUO_TRK'!A433),_xlfn.TEXTAFTER('Additional Images-WUO_ERR'!A433, ":"))))</f>
        <v/>
      </c>
    </row>
    <row r="434">
      <c r="A434" s="38">
        <f>IF('Additional Images'!B434 = "", "", IF('Additional Images-WUO_ERR'!A434 = "", "Validated", HYPERLINK("#" &amp; ADDRESS(434, 'Additional Images-WUO_TRK'!A434),_xlfn.TEXTAFTER('Additional Images-WUO_ERR'!A434, ":"))))</f>
        <v/>
      </c>
    </row>
    <row r="435">
      <c r="A435" s="38">
        <f>IF('Additional Images'!B435 = "", "", IF('Additional Images-WUO_ERR'!A435 = "", "Validated", HYPERLINK("#" &amp; ADDRESS(435, 'Additional Images-WUO_TRK'!A435),_xlfn.TEXTAFTER('Additional Images-WUO_ERR'!A435, ":"))))</f>
        <v/>
      </c>
    </row>
    <row r="436">
      <c r="A436" s="38">
        <f>IF('Additional Images'!B436 = "", "", IF('Additional Images-WUO_ERR'!A436 = "", "Validated", HYPERLINK("#" &amp; ADDRESS(436, 'Additional Images-WUO_TRK'!A436),_xlfn.TEXTAFTER('Additional Images-WUO_ERR'!A436, ":"))))</f>
        <v/>
      </c>
    </row>
    <row r="437">
      <c r="A437" s="38">
        <f>IF('Additional Images'!B437 = "", "", IF('Additional Images-WUO_ERR'!A437 = "", "Validated", HYPERLINK("#" &amp; ADDRESS(437, 'Additional Images-WUO_TRK'!A437),_xlfn.TEXTAFTER('Additional Images-WUO_ERR'!A437, ":"))))</f>
        <v/>
      </c>
    </row>
    <row r="438">
      <c r="A438" s="38">
        <f>IF('Additional Images'!B438 = "", "", IF('Additional Images-WUO_ERR'!A438 = "", "Validated", HYPERLINK("#" &amp; ADDRESS(438, 'Additional Images-WUO_TRK'!A438),_xlfn.TEXTAFTER('Additional Images-WUO_ERR'!A438, ":"))))</f>
        <v/>
      </c>
    </row>
    <row r="439">
      <c r="A439" s="38">
        <f>IF('Additional Images'!B439 = "", "", IF('Additional Images-WUO_ERR'!A439 = "", "Validated", HYPERLINK("#" &amp; ADDRESS(439, 'Additional Images-WUO_TRK'!A439),_xlfn.TEXTAFTER('Additional Images-WUO_ERR'!A439, ":"))))</f>
        <v/>
      </c>
    </row>
    <row r="440">
      <c r="A440" s="38">
        <f>IF('Additional Images'!B440 = "", "", IF('Additional Images-WUO_ERR'!A440 = "", "Validated", HYPERLINK("#" &amp; ADDRESS(440, 'Additional Images-WUO_TRK'!A440),_xlfn.TEXTAFTER('Additional Images-WUO_ERR'!A440, ":"))))</f>
        <v/>
      </c>
    </row>
    <row r="441">
      <c r="A441" s="38">
        <f>IF('Additional Images'!B441 = "", "", IF('Additional Images-WUO_ERR'!A441 = "", "Validated", HYPERLINK("#" &amp; ADDRESS(441, 'Additional Images-WUO_TRK'!A441),_xlfn.TEXTAFTER('Additional Images-WUO_ERR'!A441, ":"))))</f>
        <v/>
      </c>
    </row>
    <row r="442">
      <c r="A442" s="38">
        <f>IF('Additional Images'!B442 = "", "", IF('Additional Images-WUO_ERR'!A442 = "", "Validated", HYPERLINK("#" &amp; ADDRESS(442, 'Additional Images-WUO_TRK'!A442),_xlfn.TEXTAFTER('Additional Images-WUO_ERR'!A442, ":"))))</f>
        <v/>
      </c>
    </row>
    <row r="443">
      <c r="A443" s="38">
        <f>IF('Additional Images'!B443 = "", "", IF('Additional Images-WUO_ERR'!A443 = "", "Validated", HYPERLINK("#" &amp; ADDRESS(443, 'Additional Images-WUO_TRK'!A443),_xlfn.TEXTAFTER('Additional Images-WUO_ERR'!A443, ":"))))</f>
        <v/>
      </c>
    </row>
    <row r="444">
      <c r="A444" s="38">
        <f>IF('Additional Images'!B444 = "", "", IF('Additional Images-WUO_ERR'!A444 = "", "Validated", HYPERLINK("#" &amp; ADDRESS(444, 'Additional Images-WUO_TRK'!A444),_xlfn.TEXTAFTER('Additional Images-WUO_ERR'!A444, ":"))))</f>
        <v/>
      </c>
    </row>
    <row r="445">
      <c r="A445" s="38">
        <f>IF('Additional Images'!B445 = "", "", IF('Additional Images-WUO_ERR'!A445 = "", "Validated", HYPERLINK("#" &amp; ADDRESS(445, 'Additional Images-WUO_TRK'!A445),_xlfn.TEXTAFTER('Additional Images-WUO_ERR'!A445, ":"))))</f>
        <v/>
      </c>
    </row>
    <row r="446">
      <c r="A446" s="38">
        <f>IF('Additional Images'!B446 = "", "", IF('Additional Images-WUO_ERR'!A446 = "", "Validated", HYPERLINK("#" &amp; ADDRESS(446, 'Additional Images-WUO_TRK'!A446),_xlfn.TEXTAFTER('Additional Images-WUO_ERR'!A446, ":"))))</f>
        <v/>
      </c>
    </row>
    <row r="447">
      <c r="A447" s="38">
        <f>IF('Additional Images'!B447 = "", "", IF('Additional Images-WUO_ERR'!A447 = "", "Validated", HYPERLINK("#" &amp; ADDRESS(447, 'Additional Images-WUO_TRK'!A447),_xlfn.TEXTAFTER('Additional Images-WUO_ERR'!A447, ":"))))</f>
        <v/>
      </c>
    </row>
    <row r="448">
      <c r="A448" s="38">
        <f>IF('Additional Images'!B448 = "", "", IF('Additional Images-WUO_ERR'!A448 = "", "Validated", HYPERLINK("#" &amp; ADDRESS(448, 'Additional Images-WUO_TRK'!A448),_xlfn.TEXTAFTER('Additional Images-WUO_ERR'!A448, ":"))))</f>
        <v/>
      </c>
    </row>
    <row r="449">
      <c r="A449" s="38">
        <f>IF('Additional Images'!B449 = "", "", IF('Additional Images-WUO_ERR'!A449 = "", "Validated", HYPERLINK("#" &amp; ADDRESS(449, 'Additional Images-WUO_TRK'!A449),_xlfn.TEXTAFTER('Additional Images-WUO_ERR'!A449, ":"))))</f>
        <v/>
      </c>
    </row>
    <row r="450">
      <c r="A450" s="38">
        <f>IF('Additional Images'!B450 = "", "", IF('Additional Images-WUO_ERR'!A450 = "", "Validated", HYPERLINK("#" &amp; ADDRESS(450, 'Additional Images-WUO_TRK'!A450),_xlfn.TEXTAFTER('Additional Images-WUO_ERR'!A450, ":"))))</f>
        <v/>
      </c>
    </row>
    <row r="451">
      <c r="A451" s="38">
        <f>IF('Additional Images'!B451 = "", "", IF('Additional Images-WUO_ERR'!A451 = "", "Validated", HYPERLINK("#" &amp; ADDRESS(451, 'Additional Images-WUO_TRK'!A451),_xlfn.TEXTAFTER('Additional Images-WUO_ERR'!A451, ":"))))</f>
        <v/>
      </c>
    </row>
    <row r="452">
      <c r="A452" s="38">
        <f>IF('Additional Images'!B452 = "", "", IF('Additional Images-WUO_ERR'!A452 = "", "Validated", HYPERLINK("#" &amp; ADDRESS(452, 'Additional Images-WUO_TRK'!A452),_xlfn.TEXTAFTER('Additional Images-WUO_ERR'!A452, ":"))))</f>
        <v/>
      </c>
    </row>
    <row r="453">
      <c r="A453" s="38">
        <f>IF('Additional Images'!B453 = "", "", IF('Additional Images-WUO_ERR'!A453 = "", "Validated", HYPERLINK("#" &amp; ADDRESS(453, 'Additional Images-WUO_TRK'!A453),_xlfn.TEXTAFTER('Additional Images-WUO_ERR'!A453, ":"))))</f>
        <v/>
      </c>
    </row>
    <row r="454">
      <c r="A454" s="38">
        <f>IF('Additional Images'!B454 = "", "", IF('Additional Images-WUO_ERR'!A454 = "", "Validated", HYPERLINK("#" &amp; ADDRESS(454, 'Additional Images-WUO_TRK'!A454),_xlfn.TEXTAFTER('Additional Images-WUO_ERR'!A454, ":"))))</f>
        <v/>
      </c>
    </row>
    <row r="455">
      <c r="A455" s="38">
        <f>IF('Additional Images'!B455 = "", "", IF('Additional Images-WUO_ERR'!A455 = "", "Validated", HYPERLINK("#" &amp; ADDRESS(455, 'Additional Images-WUO_TRK'!A455),_xlfn.TEXTAFTER('Additional Images-WUO_ERR'!A455, ":"))))</f>
        <v/>
      </c>
    </row>
    <row r="456">
      <c r="A456" s="38">
        <f>IF('Additional Images'!B456 = "", "", IF('Additional Images-WUO_ERR'!A456 = "", "Validated", HYPERLINK("#" &amp; ADDRESS(456, 'Additional Images-WUO_TRK'!A456),_xlfn.TEXTAFTER('Additional Images-WUO_ERR'!A456, ":"))))</f>
        <v/>
      </c>
    </row>
    <row r="457">
      <c r="A457" s="38">
        <f>IF('Additional Images'!B457 = "", "", IF('Additional Images-WUO_ERR'!A457 = "", "Validated", HYPERLINK("#" &amp; ADDRESS(457, 'Additional Images-WUO_TRK'!A457),_xlfn.TEXTAFTER('Additional Images-WUO_ERR'!A457, ":"))))</f>
        <v/>
      </c>
    </row>
    <row r="458">
      <c r="A458" s="38">
        <f>IF('Additional Images'!B458 = "", "", IF('Additional Images-WUO_ERR'!A458 = "", "Validated", HYPERLINK("#" &amp; ADDRESS(458, 'Additional Images-WUO_TRK'!A458),_xlfn.TEXTAFTER('Additional Images-WUO_ERR'!A458, ":"))))</f>
        <v/>
      </c>
    </row>
    <row r="459">
      <c r="A459" s="38">
        <f>IF('Additional Images'!B459 = "", "", IF('Additional Images-WUO_ERR'!A459 = "", "Validated", HYPERLINK("#" &amp; ADDRESS(459, 'Additional Images-WUO_TRK'!A459),_xlfn.TEXTAFTER('Additional Images-WUO_ERR'!A459, ":"))))</f>
        <v/>
      </c>
    </row>
    <row r="460">
      <c r="A460" s="38">
        <f>IF('Additional Images'!B460 = "", "", IF('Additional Images-WUO_ERR'!A460 = "", "Validated", HYPERLINK("#" &amp; ADDRESS(460, 'Additional Images-WUO_TRK'!A460),_xlfn.TEXTAFTER('Additional Images-WUO_ERR'!A460, ":"))))</f>
        <v/>
      </c>
    </row>
    <row r="461">
      <c r="A461" s="38">
        <f>IF('Additional Images'!B461 = "", "", IF('Additional Images-WUO_ERR'!A461 = "", "Validated", HYPERLINK("#" &amp; ADDRESS(461, 'Additional Images-WUO_TRK'!A461),_xlfn.TEXTAFTER('Additional Images-WUO_ERR'!A461, ":"))))</f>
        <v/>
      </c>
    </row>
    <row r="462">
      <c r="A462" s="38">
        <f>IF('Additional Images'!B462 = "", "", IF('Additional Images-WUO_ERR'!A462 = "", "Validated", HYPERLINK("#" &amp; ADDRESS(462, 'Additional Images-WUO_TRK'!A462),_xlfn.TEXTAFTER('Additional Images-WUO_ERR'!A462, ":"))))</f>
        <v/>
      </c>
    </row>
    <row r="463">
      <c r="A463" s="38">
        <f>IF('Additional Images'!B463 = "", "", IF('Additional Images-WUO_ERR'!A463 = "", "Validated", HYPERLINK("#" &amp; ADDRESS(463, 'Additional Images-WUO_TRK'!A463),_xlfn.TEXTAFTER('Additional Images-WUO_ERR'!A463, ":"))))</f>
        <v/>
      </c>
    </row>
    <row r="464">
      <c r="A464" s="38">
        <f>IF('Additional Images'!B464 = "", "", IF('Additional Images-WUO_ERR'!A464 = "", "Validated", HYPERLINK("#" &amp; ADDRESS(464, 'Additional Images-WUO_TRK'!A464),_xlfn.TEXTAFTER('Additional Images-WUO_ERR'!A464, ":"))))</f>
        <v/>
      </c>
    </row>
    <row r="465">
      <c r="A465" s="38">
        <f>IF('Additional Images'!B465 = "", "", IF('Additional Images-WUO_ERR'!A465 = "", "Validated", HYPERLINK("#" &amp; ADDRESS(465, 'Additional Images-WUO_TRK'!A465),_xlfn.TEXTAFTER('Additional Images-WUO_ERR'!A465, ":"))))</f>
        <v/>
      </c>
    </row>
    <row r="466">
      <c r="A466" s="38">
        <f>IF('Additional Images'!B466 = "", "", IF('Additional Images-WUO_ERR'!A466 = "", "Validated", HYPERLINK("#" &amp; ADDRESS(466, 'Additional Images-WUO_TRK'!A466),_xlfn.TEXTAFTER('Additional Images-WUO_ERR'!A466, ":"))))</f>
        <v/>
      </c>
    </row>
    <row r="467">
      <c r="A467" s="38">
        <f>IF('Additional Images'!B467 = "", "", IF('Additional Images-WUO_ERR'!A467 = "", "Validated", HYPERLINK("#" &amp; ADDRESS(467, 'Additional Images-WUO_TRK'!A467),_xlfn.TEXTAFTER('Additional Images-WUO_ERR'!A467, ":"))))</f>
        <v/>
      </c>
    </row>
    <row r="468">
      <c r="A468" s="38">
        <f>IF('Additional Images'!B468 = "", "", IF('Additional Images-WUO_ERR'!A468 = "", "Validated", HYPERLINK("#" &amp; ADDRESS(468, 'Additional Images-WUO_TRK'!A468),_xlfn.TEXTAFTER('Additional Images-WUO_ERR'!A468, ":"))))</f>
        <v/>
      </c>
    </row>
    <row r="469">
      <c r="A469" s="38">
        <f>IF('Additional Images'!B469 = "", "", IF('Additional Images-WUO_ERR'!A469 = "", "Validated", HYPERLINK("#" &amp; ADDRESS(469, 'Additional Images-WUO_TRK'!A469),_xlfn.TEXTAFTER('Additional Images-WUO_ERR'!A469, ":"))))</f>
        <v/>
      </c>
    </row>
    <row r="470">
      <c r="A470" s="38">
        <f>IF('Additional Images'!B470 = "", "", IF('Additional Images-WUO_ERR'!A470 = "", "Validated", HYPERLINK("#" &amp; ADDRESS(470, 'Additional Images-WUO_TRK'!A470),_xlfn.TEXTAFTER('Additional Images-WUO_ERR'!A470, ":"))))</f>
        <v/>
      </c>
    </row>
    <row r="471">
      <c r="A471" s="38">
        <f>IF('Additional Images'!B471 = "", "", IF('Additional Images-WUO_ERR'!A471 = "", "Validated", HYPERLINK("#" &amp; ADDRESS(471, 'Additional Images-WUO_TRK'!A471),_xlfn.TEXTAFTER('Additional Images-WUO_ERR'!A471, ":"))))</f>
        <v/>
      </c>
    </row>
    <row r="472">
      <c r="A472" s="38">
        <f>IF('Additional Images'!B472 = "", "", IF('Additional Images-WUO_ERR'!A472 = "", "Validated", HYPERLINK("#" &amp; ADDRESS(472, 'Additional Images-WUO_TRK'!A472),_xlfn.TEXTAFTER('Additional Images-WUO_ERR'!A472, ":"))))</f>
        <v/>
      </c>
    </row>
    <row r="473">
      <c r="A473" s="38">
        <f>IF('Additional Images'!B473 = "", "", IF('Additional Images-WUO_ERR'!A473 = "", "Validated", HYPERLINK("#" &amp; ADDRESS(473, 'Additional Images-WUO_TRK'!A473),_xlfn.TEXTAFTER('Additional Images-WUO_ERR'!A473, ":"))))</f>
        <v/>
      </c>
    </row>
    <row r="474">
      <c r="A474" s="38">
        <f>IF('Additional Images'!B474 = "", "", IF('Additional Images-WUO_ERR'!A474 = "", "Validated", HYPERLINK("#" &amp; ADDRESS(474, 'Additional Images-WUO_TRK'!A474),_xlfn.TEXTAFTER('Additional Images-WUO_ERR'!A474, ":"))))</f>
        <v/>
      </c>
    </row>
    <row r="475">
      <c r="A475" s="38">
        <f>IF('Additional Images'!B475 = "", "", IF('Additional Images-WUO_ERR'!A475 = "", "Validated", HYPERLINK("#" &amp; ADDRESS(475, 'Additional Images-WUO_TRK'!A475),_xlfn.TEXTAFTER('Additional Images-WUO_ERR'!A475, ":"))))</f>
        <v/>
      </c>
    </row>
    <row r="476">
      <c r="A476" s="38">
        <f>IF('Additional Images'!B476 = "", "", IF('Additional Images-WUO_ERR'!A476 = "", "Validated", HYPERLINK("#" &amp; ADDRESS(476, 'Additional Images-WUO_TRK'!A476),_xlfn.TEXTAFTER('Additional Images-WUO_ERR'!A476, ":"))))</f>
        <v/>
      </c>
    </row>
    <row r="477">
      <c r="A477" s="38">
        <f>IF('Additional Images'!B477 = "", "", IF('Additional Images-WUO_ERR'!A477 = "", "Validated", HYPERLINK("#" &amp; ADDRESS(477, 'Additional Images-WUO_TRK'!A477),_xlfn.TEXTAFTER('Additional Images-WUO_ERR'!A477, ":"))))</f>
        <v/>
      </c>
    </row>
    <row r="478">
      <c r="A478" s="38">
        <f>IF('Additional Images'!B478 = "", "", IF('Additional Images-WUO_ERR'!A478 = "", "Validated", HYPERLINK("#" &amp; ADDRESS(478, 'Additional Images-WUO_TRK'!A478),_xlfn.TEXTAFTER('Additional Images-WUO_ERR'!A478, ":"))))</f>
        <v/>
      </c>
    </row>
    <row r="479">
      <c r="A479" s="38">
        <f>IF('Additional Images'!B479 = "", "", IF('Additional Images-WUO_ERR'!A479 = "", "Validated", HYPERLINK("#" &amp; ADDRESS(479, 'Additional Images-WUO_TRK'!A479),_xlfn.TEXTAFTER('Additional Images-WUO_ERR'!A479, ":"))))</f>
        <v/>
      </c>
    </row>
    <row r="480">
      <c r="A480" s="38">
        <f>IF('Additional Images'!B480 = "", "", IF('Additional Images-WUO_ERR'!A480 = "", "Validated", HYPERLINK("#" &amp; ADDRESS(480, 'Additional Images-WUO_TRK'!A480),_xlfn.TEXTAFTER('Additional Images-WUO_ERR'!A480, ":"))))</f>
        <v/>
      </c>
    </row>
    <row r="481">
      <c r="A481" s="38">
        <f>IF('Additional Images'!B481 = "", "", IF('Additional Images-WUO_ERR'!A481 = "", "Validated", HYPERLINK("#" &amp; ADDRESS(481, 'Additional Images-WUO_TRK'!A481),_xlfn.TEXTAFTER('Additional Images-WUO_ERR'!A481, ":"))))</f>
        <v/>
      </c>
    </row>
    <row r="482">
      <c r="A482" s="38">
        <f>IF('Additional Images'!B482 = "", "", IF('Additional Images-WUO_ERR'!A482 = "", "Validated", HYPERLINK("#" &amp; ADDRESS(482, 'Additional Images-WUO_TRK'!A482),_xlfn.TEXTAFTER('Additional Images-WUO_ERR'!A482, ":"))))</f>
        <v/>
      </c>
    </row>
    <row r="483">
      <c r="A483" s="38">
        <f>IF('Additional Images'!B483 = "", "", IF('Additional Images-WUO_ERR'!A483 = "", "Validated", HYPERLINK("#" &amp; ADDRESS(483, 'Additional Images-WUO_TRK'!A483),_xlfn.TEXTAFTER('Additional Images-WUO_ERR'!A483, ":"))))</f>
        <v/>
      </c>
    </row>
    <row r="484">
      <c r="A484" s="38">
        <f>IF('Additional Images'!B484 = "", "", IF('Additional Images-WUO_ERR'!A484 = "", "Validated", HYPERLINK("#" &amp; ADDRESS(484, 'Additional Images-WUO_TRK'!A484),_xlfn.TEXTAFTER('Additional Images-WUO_ERR'!A484, ":"))))</f>
        <v/>
      </c>
    </row>
    <row r="485">
      <c r="A485" s="38">
        <f>IF('Additional Images'!B485 = "", "", IF('Additional Images-WUO_ERR'!A485 = "", "Validated", HYPERLINK("#" &amp; ADDRESS(485, 'Additional Images-WUO_TRK'!A485),_xlfn.TEXTAFTER('Additional Images-WUO_ERR'!A485, ":"))))</f>
        <v/>
      </c>
    </row>
    <row r="486">
      <c r="A486" s="38">
        <f>IF('Additional Images'!B486 = "", "", IF('Additional Images-WUO_ERR'!A486 = "", "Validated", HYPERLINK("#" &amp; ADDRESS(486, 'Additional Images-WUO_TRK'!A486),_xlfn.TEXTAFTER('Additional Images-WUO_ERR'!A486, ":"))))</f>
        <v/>
      </c>
    </row>
    <row r="487">
      <c r="A487" s="38">
        <f>IF('Additional Images'!B487 = "", "", IF('Additional Images-WUO_ERR'!A487 = "", "Validated", HYPERLINK("#" &amp; ADDRESS(487, 'Additional Images-WUO_TRK'!A487),_xlfn.TEXTAFTER('Additional Images-WUO_ERR'!A487, ":"))))</f>
        <v/>
      </c>
    </row>
    <row r="488">
      <c r="A488" s="38">
        <f>IF('Additional Images'!B488 = "", "", IF('Additional Images-WUO_ERR'!A488 = "", "Validated", HYPERLINK("#" &amp; ADDRESS(488, 'Additional Images-WUO_TRK'!A488),_xlfn.TEXTAFTER('Additional Images-WUO_ERR'!A488, ":"))))</f>
        <v/>
      </c>
    </row>
    <row r="489">
      <c r="A489" s="38">
        <f>IF('Additional Images'!B489 = "", "", IF('Additional Images-WUO_ERR'!A489 = "", "Validated", HYPERLINK("#" &amp; ADDRESS(489, 'Additional Images-WUO_TRK'!A489),_xlfn.TEXTAFTER('Additional Images-WUO_ERR'!A489, ":"))))</f>
        <v/>
      </c>
    </row>
    <row r="490">
      <c r="A490" s="38">
        <f>IF('Additional Images'!B490 = "", "", IF('Additional Images-WUO_ERR'!A490 = "", "Validated", HYPERLINK("#" &amp; ADDRESS(490, 'Additional Images-WUO_TRK'!A490),_xlfn.TEXTAFTER('Additional Images-WUO_ERR'!A490, ":"))))</f>
        <v/>
      </c>
    </row>
    <row r="491">
      <c r="A491" s="38">
        <f>IF('Additional Images'!B491 = "", "", IF('Additional Images-WUO_ERR'!A491 = "", "Validated", HYPERLINK("#" &amp; ADDRESS(491, 'Additional Images-WUO_TRK'!A491),_xlfn.TEXTAFTER('Additional Images-WUO_ERR'!A491, ":"))))</f>
        <v/>
      </c>
    </row>
    <row r="492">
      <c r="A492" s="38">
        <f>IF('Additional Images'!B492 = "", "", IF('Additional Images-WUO_ERR'!A492 = "", "Validated", HYPERLINK("#" &amp; ADDRESS(492, 'Additional Images-WUO_TRK'!A492),_xlfn.TEXTAFTER('Additional Images-WUO_ERR'!A492, ":"))))</f>
        <v/>
      </c>
    </row>
    <row r="493">
      <c r="A493" s="38">
        <f>IF('Additional Images'!B493 = "", "", IF('Additional Images-WUO_ERR'!A493 = "", "Validated", HYPERLINK("#" &amp; ADDRESS(493, 'Additional Images-WUO_TRK'!A493),_xlfn.TEXTAFTER('Additional Images-WUO_ERR'!A493, ":"))))</f>
        <v/>
      </c>
    </row>
    <row r="494">
      <c r="A494" s="38">
        <f>IF('Additional Images'!B494 = "", "", IF('Additional Images-WUO_ERR'!A494 = "", "Validated", HYPERLINK("#" &amp; ADDRESS(494, 'Additional Images-WUO_TRK'!A494),_xlfn.TEXTAFTER('Additional Images-WUO_ERR'!A494, ":"))))</f>
        <v/>
      </c>
    </row>
    <row r="495">
      <c r="A495" s="38">
        <f>IF('Additional Images'!B495 = "", "", IF('Additional Images-WUO_ERR'!A495 = "", "Validated", HYPERLINK("#" &amp; ADDRESS(495, 'Additional Images-WUO_TRK'!A495),_xlfn.TEXTAFTER('Additional Images-WUO_ERR'!A495, ":"))))</f>
        <v/>
      </c>
    </row>
    <row r="496">
      <c r="A496" s="38">
        <f>IF('Additional Images'!B496 = "", "", IF('Additional Images-WUO_ERR'!A496 = "", "Validated", HYPERLINK("#" &amp; ADDRESS(496, 'Additional Images-WUO_TRK'!A496),_xlfn.TEXTAFTER('Additional Images-WUO_ERR'!A496, ":"))))</f>
        <v/>
      </c>
    </row>
    <row r="497">
      <c r="A497" s="38">
        <f>IF('Additional Images'!B497 = "", "", IF('Additional Images-WUO_ERR'!A497 = "", "Validated", HYPERLINK("#" &amp; ADDRESS(497, 'Additional Images-WUO_TRK'!A497),_xlfn.TEXTAFTER('Additional Images-WUO_ERR'!A497, ":"))))</f>
        <v/>
      </c>
    </row>
    <row r="498">
      <c r="A498" s="38">
        <f>IF('Additional Images'!B498 = "", "", IF('Additional Images-WUO_ERR'!A498 = "", "Validated", HYPERLINK("#" &amp; ADDRESS(498, 'Additional Images-WUO_TRK'!A498),_xlfn.TEXTAFTER('Additional Images-WUO_ERR'!A498, ":"))))</f>
        <v/>
      </c>
    </row>
    <row r="499">
      <c r="A499" s="38">
        <f>IF('Additional Images'!B499 = "", "", IF('Additional Images-WUO_ERR'!A499 = "", "Validated", HYPERLINK("#" &amp; ADDRESS(499, 'Additional Images-WUO_TRK'!A499),_xlfn.TEXTAFTER('Additional Images-WUO_ERR'!A499, ":"))))</f>
        <v/>
      </c>
    </row>
    <row r="500">
      <c r="A500" s="38">
        <f>IF('Additional Images'!B500 = "", "", IF('Additional Images-WUO_ERR'!A500 = "", "Validated", HYPERLINK("#" &amp; ADDRESS(500, 'Additional Images-WUO_TRK'!A500),_xlfn.TEXTAFTER('Additional Images-WUO_ERR'!A500, ":"))))</f>
        <v/>
      </c>
    </row>
    <row r="501">
      <c r="A501" s="38">
        <f>IF('Additional Images'!B501 = "", "", IF('Additional Images-WUO_ERR'!A501 = "", "Validated", HYPERLINK("#" &amp; ADDRESS(501, 'Additional Images-WUO_TRK'!A501),_xlfn.TEXTAFTER('Additional Images-WUO_ERR'!A501, ":"))))</f>
        <v/>
      </c>
    </row>
    <row r="502">
      <c r="A502" s="38">
        <f>IF('Additional Images'!B502 = "", "", IF('Additional Images-WUO_ERR'!A502 = "", "Validated", HYPERLINK("#" &amp; ADDRESS(502, 'Additional Images-WUO_TRK'!A502),_xlfn.TEXTAFTER('Additional Images-WUO_ERR'!A502, ":"))))</f>
        <v/>
      </c>
    </row>
    <row r="503">
      <c r="A503" s="38">
        <f>IF('Additional Images'!B503 = "", "", IF('Additional Images-WUO_ERR'!A503 = "", "Validated", HYPERLINK("#" &amp; ADDRESS(503, 'Additional Images-WUO_TRK'!A503),_xlfn.TEXTAFTER('Additional Images-WUO_ERR'!A503, ":"))))</f>
        <v/>
      </c>
    </row>
    <row r="504">
      <c r="A504" s="38">
        <f>IF('Additional Images'!B504 = "", "", IF('Additional Images-WUO_ERR'!A504 = "", "Validated", HYPERLINK("#" &amp; ADDRESS(504, 'Additional Images-WUO_TRK'!A504),_xlfn.TEXTAFTER('Additional Images-WUO_ERR'!A504, ":"))))</f>
        <v/>
      </c>
    </row>
    <row r="505">
      <c r="A505" s="38">
        <f>IF('Additional Images'!B505 = "", "", IF('Additional Images-WUO_ERR'!A505 = "", "Validated", HYPERLINK("#" &amp; ADDRESS(505, 'Additional Images-WUO_TRK'!A505),_xlfn.TEXTAFTER('Additional Images-WUO_ERR'!A505, ":"))))</f>
        <v/>
      </c>
    </row>
    <row r="506">
      <c r="A506" s="38">
        <f>IF('Additional Images'!B506 = "", "", IF('Additional Images-WUO_ERR'!A506 = "", "Validated", HYPERLINK("#" &amp; ADDRESS(506, 'Additional Images-WUO_TRK'!A506),_xlfn.TEXTAFTER('Additional Images-WUO_ERR'!A506, ":"))))</f>
        <v/>
      </c>
    </row>
    <row r="507">
      <c r="A507" s="38">
        <f>IF('Additional Images'!B507 = "", "", IF('Additional Images-WUO_ERR'!A507 = "", "Validated", HYPERLINK("#" &amp; ADDRESS(507, 'Additional Images-WUO_TRK'!A507),_xlfn.TEXTAFTER('Additional Images-WUO_ERR'!A507, ":"))))</f>
        <v/>
      </c>
    </row>
  </sheetData>
  <sheetProtection selectLockedCells="0" selectUnlockedCells="0" sheet="1" objects="1" insertRows="1" insertHyperlinks="1" autoFilter="1" scenarios="1" formatColumns="0" deleteColumns="1" insertColumns="1" pivotTables="1" deleteRows="1" formatCells="1" formatRows="0" sort="1" password="84FB"/>
  <conditionalFormatting sqref="A7:A507">
    <cfRule type="expression" priority="5" dxfId="4">
      <formula>A7="Validated"</formula>
    </cfRule>
    <cfRule type="expression" priority="6" dxfId="5">
      <formula>OR(COUNTIF('Additional Images-WUO_TRK'!B7:D7,"Error"),COUNTIF('Additional Images-WUO_TRK'!B7:D7,"Required"))</formula>
    </cfRule>
    <cfRule type="expression" priority="7" dxfId="6">
      <formula>COUNTIF('Additional Images-WUO_TRK'!B7:D7,"Warning")</formula>
    </cfRule>
  </conditionalFormatting>
  <conditionalFormatting sqref="B7:D507">
    <cfRule type="expression" priority="1" dxfId="0">
      <formula>'Additional Images-WUO_TRK'!B7="Error"</formula>
    </cfRule>
    <cfRule type="expression" priority="2" dxfId="1">
      <formula>'Additional Images-WUO_TRK'!B7="Required"</formula>
    </cfRule>
    <cfRule type="expression" priority="3" dxfId="2">
      <formula>'Additional Images-WUO_TRK'!B7="Warning"</formula>
    </cfRule>
    <cfRule type="expression" priority="4" dxfId="3">
      <formula>'Additional Images-WUO_TRK'!B7="Disabled"</formula>
    </cfRule>
  </conditionalFormatting>
  <dataValidations count="1">
    <dataValidation sqref="C7:C2500"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s>
  <pageMargins left="0.7" right="0.7" top="0.75" bottom="0.75" header="0.3" footer="0.3"/>
</worksheet>
</file>

<file path=xl/worksheets/sheet14.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cols>
    <col width="25.7109375" customWidth="1" style="22" min="2" max="2"/>
    <col width="27.7109375" customWidth="1" style="22" min="3" max="3"/>
  </cols>
  <sheetData>
    <row r="1" hidden="1">
      <c r="B1" s="22" t="inlineStr">
        <is>
          <t>core::supplierPartNumber</t>
        </is>
      </c>
      <c r="C1" s="22" t="inlineStr">
        <is>
          <t>media::imageValue</t>
        </is>
      </c>
    </row>
    <row r="3">
      <c r="B3" s="31" t="inlineStr">
        <is>
          <t>Required</t>
        </is>
      </c>
      <c r="C3" s="31" t="inlineStr">
        <is>
          <t>Additional</t>
        </is>
      </c>
    </row>
    <row r="4" ht="50" customHeight="1">
      <c r="B4" s="19" t="inlineStr">
        <is>
          <t>Supplier Part Number</t>
        </is>
      </c>
      <c r="C4" s="19" t="inlineStr">
        <is>
          <t>Image File Name or URL</t>
        </is>
      </c>
    </row>
    <row r="5" ht="50" customHeight="1">
      <c r="B5" s="34" t="inlineStr">
        <is>
          <t>Must be less than 64 characters and must be a unique value (products cannot be added if they have the same part number as something you already have in your catalog). This is the supplier-specific value for the product as it appears on your Inventory Feed and Purchased Orders.</t>
        </is>
      </c>
      <c r="C5" s="34" t="inlineStr">
        <is>
          <t>Your first image will be set as the lead image for this listing, however, is subject to change upon Wayfair review. For each image uploaded, provide the file name with extension (e.g. PART_1.jpeg) or a direct public URL which leads to a single image (tip: to isolate the image, right click + select Open Image in New Tab). Elements like logos, buttons, etc will interfere with our ability to download the image. Do not exceed 20 images per product.</t>
        </is>
      </c>
    </row>
    <row r="6" ht="50" customHeight="1">
      <c r="B6" s="34" t="inlineStr">
        <is>
          <t>Text</t>
        </is>
      </c>
      <c r="C6" s="34" t="inlineStr">
        <is>
          <t>Text</t>
        </is>
      </c>
    </row>
    <row r="7">
      <c r="A7">
        <f t="array" ref="A7">_xlfn.BYROW(B7:D507, _xlfn.LAMBDA(_xlpm.r, _xlfn.LET(_xlpm.high_priority, IFERROR(INDEX(_xlpm.r, MATCH(TRUE, (_xlpm.r &lt;&gt; "") * ((LEFT(_xlpm.r, 2) = "1:") + (LEFT(_xlpm.r, 2) = "3:")) &gt; 0, 0)), ""), IF(_xlpm.high_priority &lt;&gt; "", _xlpm.high_priority, IFERROR(INDEX(_xlpm.r, MATCH(TRUE, (_xlpm.r &lt;&gt; "") * (LEFT(_xlpm.r, 2) = "4:") &gt; 0, 0)), "")))))</f>
        <v/>
      </c>
      <c r="B7" s="22">
        <f t="array" ref="B7">_xlfn.MAP('Additional Images'!B7:B507, 'Additional Images'!B7:B507, _xlfn.LAMBDA(_xlpm.part, _xlpm.val, IF(_xlpm.part = "", "", _xlfn.LET(_xlpm.check1, IF(OR(ISNUMBER(SEARCH({","}, _xlpm.val))), "1:Please enter a single value with no commas for the Supplier Part Number column", ""), IF(LEN(_xlpm.check1) &gt; 0, _xlpm.check1, _xlfn.LET(_xlpm.check2, IF(OR(ISNUMBER(SEARCH({"&lt;","&gt;","^","Ø","•","‣","⁃","⁌","™","∙","⌀","◦"}, _xlpm.val))), "1:Supplier Part Number cannot contain special characters ([™Ø⌀•‣◦⁃⁌⁍∙&lt;&gt;])", ""), IF(LEN(_xlpm.check2) &gt; 0, _xlpm.check2, IF(AND(_xlpm.val = "", B$3="Required"), "3:Supplier Part Number - Value is required", ""))))))))</f>
        <v/>
      </c>
      <c r="C7" s="22">
        <f t="array" ref="C7">_xlfn.MAP('Additional Images'!B7:B507, 'Additional Images'!C7:C507, _xlfn.LAMBDA(_xlpm.part, _xlpm.val, IF(_xlpm.part = "", "", IF(AND(_xlpm.val = "", C$3="Required"), "3:Image File Name or URL - Value is required", ""))))</f>
        <v/>
      </c>
    </row>
  </sheetData>
  <sheetProtection selectLockedCells="0" selectUnlockedCells="0" sheet="1" objects="1" insertRows="1" insertHyperlinks="1" autoFilter="1" scenarios="1" formatColumns="1" deleteColumns="1" insertColumns="1" pivotTables="1" deleteRows="1" formatCells="1" formatRows="1" sort="1" password="9F08"/>
  <pageMargins left="0.7" right="0.7" top="0.75" bottom="0.75" header="0.3" footer="0.3"/>
</worksheet>
</file>

<file path=xl/worksheets/sheet15.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cols>
    <col width="25.7109375" customWidth="1" style="22" min="2" max="2"/>
    <col width="27.7109375" customWidth="1" style="22" min="3" max="3"/>
  </cols>
  <sheetData>
    <row r="1" hidden="1">
      <c r="B1" s="22" t="inlineStr">
        <is>
          <t>core::supplierPartNumber</t>
        </is>
      </c>
      <c r="C1" s="22" t="inlineStr">
        <is>
          <t>media::imageValue</t>
        </is>
      </c>
    </row>
    <row r="3">
      <c r="B3" s="31" t="inlineStr">
        <is>
          <t>Required</t>
        </is>
      </c>
      <c r="C3" s="31" t="inlineStr">
        <is>
          <t>Additional</t>
        </is>
      </c>
    </row>
    <row r="4" ht="50" customHeight="1">
      <c r="B4" s="19" t="inlineStr">
        <is>
          <t>Supplier Part Number</t>
        </is>
      </c>
      <c r="C4" s="19" t="inlineStr">
        <is>
          <t>Image File Name or URL</t>
        </is>
      </c>
    </row>
    <row r="5" ht="50" customHeight="1">
      <c r="B5" s="34" t="inlineStr">
        <is>
          <t>Must be less than 64 characters and must be a unique value (products cannot be added if they have the same part number as something you already have in your catalog). This is the supplier-specific value for the product as it appears on your Inventory Feed and Purchased Orders.</t>
        </is>
      </c>
      <c r="C5" s="34" t="inlineStr">
        <is>
          <t>Your first image will be set as the lead image for this listing, however, is subject to change upon Wayfair review. For each image uploaded, provide the file name with extension (e.g. PART_1.jpeg) or a direct public URL which leads to a single image (tip: to isolate the image, right click + select Open Image in New Tab). Elements like logos, buttons, etc will interfere with our ability to download the image. Do not exceed 20 images per product.</t>
        </is>
      </c>
    </row>
    <row r="6" ht="50" customHeight="1">
      <c r="B6" s="34" t="inlineStr">
        <is>
          <t>Text</t>
        </is>
      </c>
      <c r="C6" s="34" t="inlineStr">
        <is>
          <t>Text</t>
        </is>
      </c>
    </row>
    <row r="7">
      <c r="A7">
        <f t="array" ref="A7">_xlfn.BYROW(B7:D507, _xlfn.LAMBDA(_xlpm.r, _xlfn.LET(_xlpm.high_priority_idx, IFERROR(MATCH(TRUE, (_xlpm.r = "Error") + (_xlpm.r = "Required") &gt; 0, 0), 0), IF(_xlpm.high_priority_idx &gt; 0, _xlpm.high_priority_idx + 1, IFERROR(MATCH(1, (_xlpm.r = "Warning") * 1, 0) + 1, "")))))</f>
        <v/>
      </c>
      <c r="B7" s="22">
        <f t="array" ref="B7">_xlfn.MAP('Additional Images'!B7:B507, 'Additional Images'!B7:B507, 'Additional Images-WUO_ERR'!B7:B507, _xlfn.LAMBDA(_xlpm.part, _xlpm.val, _xlpm.error, IF(_xlpm.part = "", "", IF(LEN(_xlpm.error), _xlfn.SWITCH(IFERROR(_xlfn.TEXTBEFORE(_xlpm.error,":"), ""), "1", "Error", "2", "Disabled", "3", "Required", "4", "Warning", "Valid"), "Valid"))))</f>
        <v/>
      </c>
      <c r="C7" s="22">
        <f t="array" ref="C7">_xlfn.MAP('Additional Images'!B7:B507, 'Additional Images'!C7:C507, 'Additional Images-WUO_ERR'!C7:C507, _xlfn.LAMBDA(_xlpm.part, _xlpm.val, _xlpm.error, IF(_xlpm.part = "", "", IF(LEN(_xlpm.error), _xlfn.SWITCH(IFERROR(_xlfn.TEXTBEFORE(_xlpm.error,":"), ""), "1", "Error", "2", "Disabled", "3", "Required", "4", "Warning", "Valid"), "Valid"))))</f>
        <v/>
      </c>
    </row>
  </sheetData>
  <sheetProtection selectLockedCells="0" selectUnlockedCells="0" sheet="1" objects="1" insertRows="1" insertHyperlinks="1" autoFilter="1" scenarios="1" formatColumns="1" deleteColumns="1" insertColumns="1" pivotTables="1" deleteRows="1" formatCells="1" formatRows="1" sort="1" password="EA08"/>
  <pageMargins left="0.7" right="0.7" top="0.75" bottom="0.75" header="0.3" footer="0.3"/>
</worksheet>
</file>

<file path=xl/worksheets/sheet16.xml><?xml version="1.0" encoding="utf-8"?>
<worksheet xmlns="http://schemas.openxmlformats.org/spreadsheetml/2006/main">
  <sheetPr>
    <outlinePr summaryBelow="1" summaryRight="1"/>
    <pageSetUpPr/>
  </sheetPr>
  <dimension ref="A1:Z507"/>
  <sheetViews>
    <sheetView workbookViewId="0">
      <selection activeCell="A1" sqref="A1"/>
    </sheetView>
  </sheetViews>
  <sheetFormatPr baseColWidth="8" defaultRowHeight="15"/>
  <cols>
    <col width="35.7109375" customWidth="1" min="1" max="1"/>
    <col width="25.7109375" customWidth="1" style="22" min="2" max="2"/>
    <col width="27.7109375" customWidth="1" style="22" min="3" max="3"/>
    <col hidden="1" min="26" max="26"/>
  </cols>
  <sheetData>
    <row r="1" hidden="1">
      <c r="B1" s="22" t="inlineStr">
        <is>
          <t>core::supplierPartNumber</t>
        </is>
      </c>
      <c r="C1" s="22" t="inlineStr">
        <is>
          <t>media::videoValue</t>
        </is>
      </c>
    </row>
    <row r="2">
      <c r="B2" s="23" t="inlineStr">
        <is>
          <t>Basic Information</t>
        </is>
      </c>
      <c r="C2" s="29" t="inlineStr">
        <is>
          <t>Media</t>
        </is>
      </c>
    </row>
    <row r="3">
      <c r="B3" s="31" t="inlineStr">
        <is>
          <t>Required</t>
        </is>
      </c>
      <c r="C3" s="31" t="inlineStr">
        <is>
          <t>Additional</t>
        </is>
      </c>
    </row>
    <row r="4" ht="50" customHeight="1">
      <c r="A4" s="19" t="inlineStr">
        <is>
          <t>Errors</t>
        </is>
      </c>
      <c r="B4" s="19" t="inlineStr">
        <is>
          <t>Supplier Part Number</t>
        </is>
      </c>
      <c r="C4" s="19" t="inlineStr">
        <is>
          <t>Video File Name or URL</t>
        </is>
      </c>
    </row>
    <row r="5" ht="50" customHeight="1">
      <c r="A5" s="34" t="inlineStr">
        <is>
          <t>Displays the error status and message for the first error in the row, with a link to the corresponding cell.</t>
        </is>
      </c>
      <c r="B5" s="34" t="inlineStr">
        <is>
          <t>Must be less than 64 characters and must be a unique value (products cannot be added if they have the same part number as something you already have in your catalog). This is the supplier-specific value for the product as it appears on your Inventory Feed and Purchased Orders.</t>
        </is>
      </c>
      <c r="C5" s="34" t="inlineStr">
        <is>
          <t>Provide the video’s file name with extension for separate uploads or a direct public URL. Do not exceed 10 videos per product.</t>
        </is>
      </c>
    </row>
    <row r="6" ht="50" customHeight="1">
      <c r="A6" s="34" t="inlineStr">
        <is>
          <t>Read-Only</t>
        </is>
      </c>
      <c r="B6" s="34" t="inlineStr">
        <is>
          <t>Text</t>
        </is>
      </c>
      <c r="C6" s="34" t="inlineStr">
        <is>
          <t>Text</t>
        </is>
      </c>
    </row>
    <row r="7">
      <c r="A7" s="38">
        <f>IF('Additional Videos'!B7 = "", "", IF('Additional Videos-WUO_ERR'!A7 = "", "Validated", HYPERLINK("#" &amp; ADDRESS(7, 'Additional Videos-WUO_TRK'!A7),_xlfn.TEXTAFTER('Additional Videos-WUO_ERR'!A7, ":"))))</f>
        <v/>
      </c>
      <c r="Z7">
        <f t="array" ref="Z7">IF(B7:B507="", "", IFERROR(_xlfn.XLOOKUP(B7:B507, _xlfn.VSTACK('6 - TV Stands &amp; Enterta'!B7:B507), _xlfn.VSTACK('6 - TV Stands &amp; Enterta'!G7:G507)), ""))</f>
        <v/>
      </c>
    </row>
    <row r="8">
      <c r="A8" s="38">
        <f>IF('Additional Videos'!B8 = "", "", IF('Additional Videos-WUO_ERR'!A8 = "", "Validated", HYPERLINK("#" &amp; ADDRESS(8, 'Additional Videos-WUO_TRK'!A8),_xlfn.TEXTAFTER('Additional Videos-WUO_ERR'!A8, ":"))))</f>
        <v/>
      </c>
    </row>
    <row r="9">
      <c r="A9" s="38">
        <f>IF('Additional Videos'!B9 = "", "", IF('Additional Videos-WUO_ERR'!A9 = "", "Validated", HYPERLINK("#" &amp; ADDRESS(9, 'Additional Videos-WUO_TRK'!A9),_xlfn.TEXTAFTER('Additional Videos-WUO_ERR'!A9, ":"))))</f>
        <v/>
      </c>
    </row>
    <row r="10">
      <c r="A10" s="38">
        <f>IF('Additional Videos'!B10 = "", "", IF('Additional Videos-WUO_ERR'!A10 = "", "Validated", HYPERLINK("#" &amp; ADDRESS(10, 'Additional Videos-WUO_TRK'!A10),_xlfn.TEXTAFTER('Additional Videos-WUO_ERR'!A10, ":"))))</f>
        <v/>
      </c>
    </row>
    <row r="11">
      <c r="A11" s="38">
        <f>IF('Additional Videos'!B11 = "", "", IF('Additional Videos-WUO_ERR'!A11 = "", "Validated", HYPERLINK("#" &amp; ADDRESS(11, 'Additional Videos-WUO_TRK'!A11),_xlfn.TEXTAFTER('Additional Videos-WUO_ERR'!A11, ":"))))</f>
        <v/>
      </c>
    </row>
    <row r="12">
      <c r="A12" s="38">
        <f>IF('Additional Videos'!B12 = "", "", IF('Additional Videos-WUO_ERR'!A12 = "", "Validated", HYPERLINK("#" &amp; ADDRESS(12, 'Additional Videos-WUO_TRK'!A12),_xlfn.TEXTAFTER('Additional Videos-WUO_ERR'!A12, ":"))))</f>
        <v/>
      </c>
    </row>
    <row r="13">
      <c r="A13" s="38">
        <f>IF('Additional Videos'!B13 = "", "", IF('Additional Videos-WUO_ERR'!A13 = "", "Validated", HYPERLINK("#" &amp; ADDRESS(13, 'Additional Videos-WUO_TRK'!A13),_xlfn.TEXTAFTER('Additional Videos-WUO_ERR'!A13, ":"))))</f>
        <v/>
      </c>
    </row>
    <row r="14">
      <c r="A14" s="38">
        <f>IF('Additional Videos'!B14 = "", "", IF('Additional Videos-WUO_ERR'!A14 = "", "Validated", HYPERLINK("#" &amp; ADDRESS(14, 'Additional Videos-WUO_TRK'!A14),_xlfn.TEXTAFTER('Additional Videos-WUO_ERR'!A14, ":"))))</f>
        <v/>
      </c>
    </row>
    <row r="15">
      <c r="A15" s="38">
        <f>IF('Additional Videos'!B15 = "", "", IF('Additional Videos-WUO_ERR'!A15 = "", "Validated", HYPERLINK("#" &amp; ADDRESS(15, 'Additional Videos-WUO_TRK'!A15),_xlfn.TEXTAFTER('Additional Videos-WUO_ERR'!A15, ":"))))</f>
        <v/>
      </c>
    </row>
    <row r="16">
      <c r="A16" s="38">
        <f>IF('Additional Videos'!B16 = "", "", IF('Additional Videos-WUO_ERR'!A16 = "", "Validated", HYPERLINK("#" &amp; ADDRESS(16, 'Additional Videos-WUO_TRK'!A16),_xlfn.TEXTAFTER('Additional Videos-WUO_ERR'!A16, ":"))))</f>
        <v/>
      </c>
    </row>
    <row r="17">
      <c r="A17" s="38">
        <f>IF('Additional Videos'!B17 = "", "", IF('Additional Videos-WUO_ERR'!A17 = "", "Validated", HYPERLINK("#" &amp; ADDRESS(17, 'Additional Videos-WUO_TRK'!A17),_xlfn.TEXTAFTER('Additional Videos-WUO_ERR'!A17, ":"))))</f>
        <v/>
      </c>
    </row>
    <row r="18">
      <c r="A18" s="38">
        <f>IF('Additional Videos'!B18 = "", "", IF('Additional Videos-WUO_ERR'!A18 = "", "Validated", HYPERLINK("#" &amp; ADDRESS(18, 'Additional Videos-WUO_TRK'!A18),_xlfn.TEXTAFTER('Additional Videos-WUO_ERR'!A18, ":"))))</f>
        <v/>
      </c>
    </row>
    <row r="19">
      <c r="A19" s="38">
        <f>IF('Additional Videos'!B19 = "", "", IF('Additional Videos-WUO_ERR'!A19 = "", "Validated", HYPERLINK("#" &amp; ADDRESS(19, 'Additional Videos-WUO_TRK'!A19),_xlfn.TEXTAFTER('Additional Videos-WUO_ERR'!A19, ":"))))</f>
        <v/>
      </c>
    </row>
    <row r="20">
      <c r="A20" s="38">
        <f>IF('Additional Videos'!B20 = "", "", IF('Additional Videos-WUO_ERR'!A20 = "", "Validated", HYPERLINK("#" &amp; ADDRESS(20, 'Additional Videos-WUO_TRK'!A20),_xlfn.TEXTAFTER('Additional Videos-WUO_ERR'!A20, ":"))))</f>
        <v/>
      </c>
    </row>
    <row r="21">
      <c r="A21" s="38">
        <f>IF('Additional Videos'!B21 = "", "", IF('Additional Videos-WUO_ERR'!A21 = "", "Validated", HYPERLINK("#" &amp; ADDRESS(21, 'Additional Videos-WUO_TRK'!A21),_xlfn.TEXTAFTER('Additional Videos-WUO_ERR'!A21, ":"))))</f>
        <v/>
      </c>
    </row>
    <row r="22">
      <c r="A22" s="38">
        <f>IF('Additional Videos'!B22 = "", "", IF('Additional Videos-WUO_ERR'!A22 = "", "Validated", HYPERLINK("#" &amp; ADDRESS(22, 'Additional Videos-WUO_TRK'!A22),_xlfn.TEXTAFTER('Additional Videos-WUO_ERR'!A22, ":"))))</f>
        <v/>
      </c>
    </row>
    <row r="23">
      <c r="A23" s="38">
        <f>IF('Additional Videos'!B23 = "", "", IF('Additional Videos-WUO_ERR'!A23 = "", "Validated", HYPERLINK("#" &amp; ADDRESS(23, 'Additional Videos-WUO_TRK'!A23),_xlfn.TEXTAFTER('Additional Videos-WUO_ERR'!A23, ":"))))</f>
        <v/>
      </c>
    </row>
    <row r="24">
      <c r="A24" s="38">
        <f>IF('Additional Videos'!B24 = "", "", IF('Additional Videos-WUO_ERR'!A24 = "", "Validated", HYPERLINK("#" &amp; ADDRESS(24, 'Additional Videos-WUO_TRK'!A24),_xlfn.TEXTAFTER('Additional Videos-WUO_ERR'!A24, ":"))))</f>
        <v/>
      </c>
    </row>
    <row r="25">
      <c r="A25" s="38">
        <f>IF('Additional Videos'!B25 = "", "", IF('Additional Videos-WUO_ERR'!A25 = "", "Validated", HYPERLINK("#" &amp; ADDRESS(25, 'Additional Videos-WUO_TRK'!A25),_xlfn.TEXTAFTER('Additional Videos-WUO_ERR'!A25, ":"))))</f>
        <v/>
      </c>
    </row>
    <row r="26">
      <c r="A26" s="38">
        <f>IF('Additional Videos'!B26 = "", "", IF('Additional Videos-WUO_ERR'!A26 = "", "Validated", HYPERLINK("#" &amp; ADDRESS(26, 'Additional Videos-WUO_TRK'!A26),_xlfn.TEXTAFTER('Additional Videos-WUO_ERR'!A26, ":"))))</f>
        <v/>
      </c>
    </row>
    <row r="27">
      <c r="A27" s="38">
        <f>IF('Additional Videos'!B27 = "", "", IF('Additional Videos-WUO_ERR'!A27 = "", "Validated", HYPERLINK("#" &amp; ADDRESS(27, 'Additional Videos-WUO_TRK'!A27),_xlfn.TEXTAFTER('Additional Videos-WUO_ERR'!A27, ":"))))</f>
        <v/>
      </c>
    </row>
    <row r="28">
      <c r="A28" s="38">
        <f>IF('Additional Videos'!B28 = "", "", IF('Additional Videos-WUO_ERR'!A28 = "", "Validated", HYPERLINK("#" &amp; ADDRESS(28, 'Additional Videos-WUO_TRK'!A28),_xlfn.TEXTAFTER('Additional Videos-WUO_ERR'!A28, ":"))))</f>
        <v/>
      </c>
    </row>
    <row r="29">
      <c r="A29" s="38">
        <f>IF('Additional Videos'!B29 = "", "", IF('Additional Videos-WUO_ERR'!A29 = "", "Validated", HYPERLINK("#" &amp; ADDRESS(29, 'Additional Videos-WUO_TRK'!A29),_xlfn.TEXTAFTER('Additional Videos-WUO_ERR'!A29, ":"))))</f>
        <v/>
      </c>
    </row>
    <row r="30">
      <c r="A30" s="38">
        <f>IF('Additional Videos'!B30 = "", "", IF('Additional Videos-WUO_ERR'!A30 = "", "Validated", HYPERLINK("#" &amp; ADDRESS(30, 'Additional Videos-WUO_TRK'!A30),_xlfn.TEXTAFTER('Additional Videos-WUO_ERR'!A30, ":"))))</f>
        <v/>
      </c>
    </row>
    <row r="31">
      <c r="A31" s="38">
        <f>IF('Additional Videos'!B31 = "", "", IF('Additional Videos-WUO_ERR'!A31 = "", "Validated", HYPERLINK("#" &amp; ADDRESS(31, 'Additional Videos-WUO_TRK'!A31),_xlfn.TEXTAFTER('Additional Videos-WUO_ERR'!A31, ":"))))</f>
        <v/>
      </c>
    </row>
    <row r="32">
      <c r="A32" s="38">
        <f>IF('Additional Videos'!B32 = "", "", IF('Additional Videos-WUO_ERR'!A32 = "", "Validated", HYPERLINK("#" &amp; ADDRESS(32, 'Additional Videos-WUO_TRK'!A32),_xlfn.TEXTAFTER('Additional Videos-WUO_ERR'!A32, ":"))))</f>
        <v/>
      </c>
    </row>
    <row r="33">
      <c r="A33" s="38">
        <f>IF('Additional Videos'!B33 = "", "", IF('Additional Videos-WUO_ERR'!A33 = "", "Validated", HYPERLINK("#" &amp; ADDRESS(33, 'Additional Videos-WUO_TRK'!A33),_xlfn.TEXTAFTER('Additional Videos-WUO_ERR'!A33, ":"))))</f>
        <v/>
      </c>
    </row>
    <row r="34">
      <c r="A34" s="38">
        <f>IF('Additional Videos'!B34 = "", "", IF('Additional Videos-WUO_ERR'!A34 = "", "Validated", HYPERLINK("#" &amp; ADDRESS(34, 'Additional Videos-WUO_TRK'!A34),_xlfn.TEXTAFTER('Additional Videos-WUO_ERR'!A34, ":"))))</f>
        <v/>
      </c>
    </row>
    <row r="35">
      <c r="A35" s="38">
        <f>IF('Additional Videos'!B35 = "", "", IF('Additional Videos-WUO_ERR'!A35 = "", "Validated", HYPERLINK("#" &amp; ADDRESS(35, 'Additional Videos-WUO_TRK'!A35),_xlfn.TEXTAFTER('Additional Videos-WUO_ERR'!A35, ":"))))</f>
        <v/>
      </c>
    </row>
    <row r="36">
      <c r="A36" s="38">
        <f>IF('Additional Videos'!B36 = "", "", IF('Additional Videos-WUO_ERR'!A36 = "", "Validated", HYPERLINK("#" &amp; ADDRESS(36, 'Additional Videos-WUO_TRK'!A36),_xlfn.TEXTAFTER('Additional Videos-WUO_ERR'!A36, ":"))))</f>
        <v/>
      </c>
    </row>
    <row r="37">
      <c r="A37" s="38">
        <f>IF('Additional Videos'!B37 = "", "", IF('Additional Videos-WUO_ERR'!A37 = "", "Validated", HYPERLINK("#" &amp; ADDRESS(37, 'Additional Videos-WUO_TRK'!A37),_xlfn.TEXTAFTER('Additional Videos-WUO_ERR'!A37, ":"))))</f>
        <v/>
      </c>
    </row>
    <row r="38">
      <c r="A38" s="38">
        <f>IF('Additional Videos'!B38 = "", "", IF('Additional Videos-WUO_ERR'!A38 = "", "Validated", HYPERLINK("#" &amp; ADDRESS(38, 'Additional Videos-WUO_TRK'!A38),_xlfn.TEXTAFTER('Additional Videos-WUO_ERR'!A38, ":"))))</f>
        <v/>
      </c>
    </row>
    <row r="39">
      <c r="A39" s="38">
        <f>IF('Additional Videos'!B39 = "", "", IF('Additional Videos-WUO_ERR'!A39 = "", "Validated", HYPERLINK("#" &amp; ADDRESS(39, 'Additional Videos-WUO_TRK'!A39),_xlfn.TEXTAFTER('Additional Videos-WUO_ERR'!A39, ":"))))</f>
        <v/>
      </c>
    </row>
    <row r="40">
      <c r="A40" s="38">
        <f>IF('Additional Videos'!B40 = "", "", IF('Additional Videos-WUO_ERR'!A40 = "", "Validated", HYPERLINK("#" &amp; ADDRESS(40, 'Additional Videos-WUO_TRK'!A40),_xlfn.TEXTAFTER('Additional Videos-WUO_ERR'!A40, ":"))))</f>
        <v/>
      </c>
    </row>
    <row r="41">
      <c r="A41" s="38">
        <f>IF('Additional Videos'!B41 = "", "", IF('Additional Videos-WUO_ERR'!A41 = "", "Validated", HYPERLINK("#" &amp; ADDRESS(41, 'Additional Videos-WUO_TRK'!A41),_xlfn.TEXTAFTER('Additional Videos-WUO_ERR'!A41, ":"))))</f>
        <v/>
      </c>
    </row>
    <row r="42">
      <c r="A42" s="38">
        <f>IF('Additional Videos'!B42 = "", "", IF('Additional Videos-WUO_ERR'!A42 = "", "Validated", HYPERLINK("#" &amp; ADDRESS(42, 'Additional Videos-WUO_TRK'!A42),_xlfn.TEXTAFTER('Additional Videos-WUO_ERR'!A42, ":"))))</f>
        <v/>
      </c>
    </row>
    <row r="43">
      <c r="A43" s="38">
        <f>IF('Additional Videos'!B43 = "", "", IF('Additional Videos-WUO_ERR'!A43 = "", "Validated", HYPERLINK("#" &amp; ADDRESS(43, 'Additional Videos-WUO_TRK'!A43),_xlfn.TEXTAFTER('Additional Videos-WUO_ERR'!A43, ":"))))</f>
        <v/>
      </c>
    </row>
    <row r="44">
      <c r="A44" s="38">
        <f>IF('Additional Videos'!B44 = "", "", IF('Additional Videos-WUO_ERR'!A44 = "", "Validated", HYPERLINK("#" &amp; ADDRESS(44, 'Additional Videos-WUO_TRK'!A44),_xlfn.TEXTAFTER('Additional Videos-WUO_ERR'!A44, ":"))))</f>
        <v/>
      </c>
    </row>
    <row r="45">
      <c r="A45" s="38">
        <f>IF('Additional Videos'!B45 = "", "", IF('Additional Videos-WUO_ERR'!A45 = "", "Validated", HYPERLINK("#" &amp; ADDRESS(45, 'Additional Videos-WUO_TRK'!A45),_xlfn.TEXTAFTER('Additional Videos-WUO_ERR'!A45, ":"))))</f>
        <v/>
      </c>
    </row>
    <row r="46">
      <c r="A46" s="38">
        <f>IF('Additional Videos'!B46 = "", "", IF('Additional Videos-WUO_ERR'!A46 = "", "Validated", HYPERLINK("#" &amp; ADDRESS(46, 'Additional Videos-WUO_TRK'!A46),_xlfn.TEXTAFTER('Additional Videos-WUO_ERR'!A46, ":"))))</f>
        <v/>
      </c>
    </row>
    <row r="47">
      <c r="A47" s="38">
        <f>IF('Additional Videos'!B47 = "", "", IF('Additional Videos-WUO_ERR'!A47 = "", "Validated", HYPERLINK("#" &amp; ADDRESS(47, 'Additional Videos-WUO_TRK'!A47),_xlfn.TEXTAFTER('Additional Videos-WUO_ERR'!A47, ":"))))</f>
        <v/>
      </c>
    </row>
    <row r="48">
      <c r="A48" s="38">
        <f>IF('Additional Videos'!B48 = "", "", IF('Additional Videos-WUO_ERR'!A48 = "", "Validated", HYPERLINK("#" &amp; ADDRESS(48, 'Additional Videos-WUO_TRK'!A48),_xlfn.TEXTAFTER('Additional Videos-WUO_ERR'!A48, ":"))))</f>
        <v/>
      </c>
    </row>
    <row r="49">
      <c r="A49" s="38">
        <f>IF('Additional Videos'!B49 = "", "", IF('Additional Videos-WUO_ERR'!A49 = "", "Validated", HYPERLINK("#" &amp; ADDRESS(49, 'Additional Videos-WUO_TRK'!A49),_xlfn.TEXTAFTER('Additional Videos-WUO_ERR'!A49, ":"))))</f>
        <v/>
      </c>
    </row>
    <row r="50">
      <c r="A50" s="38">
        <f>IF('Additional Videos'!B50 = "", "", IF('Additional Videos-WUO_ERR'!A50 = "", "Validated", HYPERLINK("#" &amp; ADDRESS(50, 'Additional Videos-WUO_TRK'!A50),_xlfn.TEXTAFTER('Additional Videos-WUO_ERR'!A50, ":"))))</f>
        <v/>
      </c>
    </row>
    <row r="51">
      <c r="A51" s="38">
        <f>IF('Additional Videos'!B51 = "", "", IF('Additional Videos-WUO_ERR'!A51 = "", "Validated", HYPERLINK("#" &amp; ADDRESS(51, 'Additional Videos-WUO_TRK'!A51),_xlfn.TEXTAFTER('Additional Videos-WUO_ERR'!A51, ":"))))</f>
        <v/>
      </c>
    </row>
    <row r="52">
      <c r="A52" s="38">
        <f>IF('Additional Videos'!B52 = "", "", IF('Additional Videos-WUO_ERR'!A52 = "", "Validated", HYPERLINK("#" &amp; ADDRESS(52, 'Additional Videos-WUO_TRK'!A52),_xlfn.TEXTAFTER('Additional Videos-WUO_ERR'!A52, ":"))))</f>
        <v/>
      </c>
    </row>
    <row r="53">
      <c r="A53" s="38">
        <f>IF('Additional Videos'!B53 = "", "", IF('Additional Videos-WUO_ERR'!A53 = "", "Validated", HYPERLINK("#" &amp; ADDRESS(53, 'Additional Videos-WUO_TRK'!A53),_xlfn.TEXTAFTER('Additional Videos-WUO_ERR'!A53, ":"))))</f>
        <v/>
      </c>
    </row>
    <row r="54">
      <c r="A54" s="38">
        <f>IF('Additional Videos'!B54 = "", "", IF('Additional Videos-WUO_ERR'!A54 = "", "Validated", HYPERLINK("#" &amp; ADDRESS(54, 'Additional Videos-WUO_TRK'!A54),_xlfn.TEXTAFTER('Additional Videos-WUO_ERR'!A54, ":"))))</f>
        <v/>
      </c>
    </row>
    <row r="55">
      <c r="A55" s="38">
        <f>IF('Additional Videos'!B55 = "", "", IF('Additional Videos-WUO_ERR'!A55 = "", "Validated", HYPERLINK("#" &amp; ADDRESS(55, 'Additional Videos-WUO_TRK'!A55),_xlfn.TEXTAFTER('Additional Videos-WUO_ERR'!A55, ":"))))</f>
        <v/>
      </c>
    </row>
    <row r="56">
      <c r="A56" s="38">
        <f>IF('Additional Videos'!B56 = "", "", IF('Additional Videos-WUO_ERR'!A56 = "", "Validated", HYPERLINK("#" &amp; ADDRESS(56, 'Additional Videos-WUO_TRK'!A56),_xlfn.TEXTAFTER('Additional Videos-WUO_ERR'!A56, ":"))))</f>
        <v/>
      </c>
    </row>
    <row r="57">
      <c r="A57" s="38">
        <f>IF('Additional Videos'!B57 = "", "", IF('Additional Videos-WUO_ERR'!A57 = "", "Validated", HYPERLINK("#" &amp; ADDRESS(57, 'Additional Videos-WUO_TRK'!A57),_xlfn.TEXTAFTER('Additional Videos-WUO_ERR'!A57, ":"))))</f>
        <v/>
      </c>
    </row>
    <row r="58">
      <c r="A58" s="38">
        <f>IF('Additional Videos'!B58 = "", "", IF('Additional Videos-WUO_ERR'!A58 = "", "Validated", HYPERLINK("#" &amp; ADDRESS(58, 'Additional Videos-WUO_TRK'!A58),_xlfn.TEXTAFTER('Additional Videos-WUO_ERR'!A58, ":"))))</f>
        <v/>
      </c>
    </row>
    <row r="59">
      <c r="A59" s="38">
        <f>IF('Additional Videos'!B59 = "", "", IF('Additional Videos-WUO_ERR'!A59 = "", "Validated", HYPERLINK("#" &amp; ADDRESS(59, 'Additional Videos-WUO_TRK'!A59),_xlfn.TEXTAFTER('Additional Videos-WUO_ERR'!A59, ":"))))</f>
        <v/>
      </c>
    </row>
    <row r="60">
      <c r="A60" s="38">
        <f>IF('Additional Videos'!B60 = "", "", IF('Additional Videos-WUO_ERR'!A60 = "", "Validated", HYPERLINK("#" &amp; ADDRESS(60, 'Additional Videos-WUO_TRK'!A60),_xlfn.TEXTAFTER('Additional Videos-WUO_ERR'!A60, ":"))))</f>
        <v/>
      </c>
    </row>
    <row r="61">
      <c r="A61" s="38">
        <f>IF('Additional Videos'!B61 = "", "", IF('Additional Videos-WUO_ERR'!A61 = "", "Validated", HYPERLINK("#" &amp; ADDRESS(61, 'Additional Videos-WUO_TRK'!A61),_xlfn.TEXTAFTER('Additional Videos-WUO_ERR'!A61, ":"))))</f>
        <v/>
      </c>
    </row>
    <row r="62">
      <c r="A62" s="38">
        <f>IF('Additional Videos'!B62 = "", "", IF('Additional Videos-WUO_ERR'!A62 = "", "Validated", HYPERLINK("#" &amp; ADDRESS(62, 'Additional Videos-WUO_TRK'!A62),_xlfn.TEXTAFTER('Additional Videos-WUO_ERR'!A62, ":"))))</f>
        <v/>
      </c>
    </row>
    <row r="63">
      <c r="A63" s="38">
        <f>IF('Additional Videos'!B63 = "", "", IF('Additional Videos-WUO_ERR'!A63 = "", "Validated", HYPERLINK("#" &amp; ADDRESS(63, 'Additional Videos-WUO_TRK'!A63),_xlfn.TEXTAFTER('Additional Videos-WUO_ERR'!A63, ":"))))</f>
        <v/>
      </c>
    </row>
    <row r="64">
      <c r="A64" s="38">
        <f>IF('Additional Videos'!B64 = "", "", IF('Additional Videos-WUO_ERR'!A64 = "", "Validated", HYPERLINK("#" &amp; ADDRESS(64, 'Additional Videos-WUO_TRK'!A64),_xlfn.TEXTAFTER('Additional Videos-WUO_ERR'!A64, ":"))))</f>
        <v/>
      </c>
    </row>
    <row r="65">
      <c r="A65" s="38">
        <f>IF('Additional Videos'!B65 = "", "", IF('Additional Videos-WUO_ERR'!A65 = "", "Validated", HYPERLINK("#" &amp; ADDRESS(65, 'Additional Videos-WUO_TRK'!A65),_xlfn.TEXTAFTER('Additional Videos-WUO_ERR'!A65, ":"))))</f>
        <v/>
      </c>
    </row>
    <row r="66">
      <c r="A66" s="38">
        <f>IF('Additional Videos'!B66 = "", "", IF('Additional Videos-WUO_ERR'!A66 = "", "Validated", HYPERLINK("#" &amp; ADDRESS(66, 'Additional Videos-WUO_TRK'!A66),_xlfn.TEXTAFTER('Additional Videos-WUO_ERR'!A66, ":"))))</f>
        <v/>
      </c>
    </row>
    <row r="67">
      <c r="A67" s="38">
        <f>IF('Additional Videos'!B67 = "", "", IF('Additional Videos-WUO_ERR'!A67 = "", "Validated", HYPERLINK("#" &amp; ADDRESS(67, 'Additional Videos-WUO_TRK'!A67),_xlfn.TEXTAFTER('Additional Videos-WUO_ERR'!A67, ":"))))</f>
        <v/>
      </c>
    </row>
    <row r="68">
      <c r="A68" s="38">
        <f>IF('Additional Videos'!B68 = "", "", IF('Additional Videos-WUO_ERR'!A68 = "", "Validated", HYPERLINK("#" &amp; ADDRESS(68, 'Additional Videos-WUO_TRK'!A68),_xlfn.TEXTAFTER('Additional Videos-WUO_ERR'!A68, ":"))))</f>
        <v/>
      </c>
    </row>
    <row r="69">
      <c r="A69" s="38">
        <f>IF('Additional Videos'!B69 = "", "", IF('Additional Videos-WUO_ERR'!A69 = "", "Validated", HYPERLINK("#" &amp; ADDRESS(69, 'Additional Videos-WUO_TRK'!A69),_xlfn.TEXTAFTER('Additional Videos-WUO_ERR'!A69, ":"))))</f>
        <v/>
      </c>
    </row>
    <row r="70">
      <c r="A70" s="38">
        <f>IF('Additional Videos'!B70 = "", "", IF('Additional Videos-WUO_ERR'!A70 = "", "Validated", HYPERLINK("#" &amp; ADDRESS(70, 'Additional Videos-WUO_TRK'!A70),_xlfn.TEXTAFTER('Additional Videos-WUO_ERR'!A70, ":"))))</f>
        <v/>
      </c>
    </row>
    <row r="71">
      <c r="A71" s="38">
        <f>IF('Additional Videos'!B71 = "", "", IF('Additional Videos-WUO_ERR'!A71 = "", "Validated", HYPERLINK("#" &amp; ADDRESS(71, 'Additional Videos-WUO_TRK'!A71),_xlfn.TEXTAFTER('Additional Videos-WUO_ERR'!A71, ":"))))</f>
        <v/>
      </c>
    </row>
    <row r="72">
      <c r="A72" s="38">
        <f>IF('Additional Videos'!B72 = "", "", IF('Additional Videos-WUO_ERR'!A72 = "", "Validated", HYPERLINK("#" &amp; ADDRESS(72, 'Additional Videos-WUO_TRK'!A72),_xlfn.TEXTAFTER('Additional Videos-WUO_ERR'!A72, ":"))))</f>
        <v/>
      </c>
    </row>
    <row r="73">
      <c r="A73" s="38">
        <f>IF('Additional Videos'!B73 = "", "", IF('Additional Videos-WUO_ERR'!A73 = "", "Validated", HYPERLINK("#" &amp; ADDRESS(73, 'Additional Videos-WUO_TRK'!A73),_xlfn.TEXTAFTER('Additional Videos-WUO_ERR'!A73, ":"))))</f>
        <v/>
      </c>
    </row>
    <row r="74">
      <c r="A74" s="38">
        <f>IF('Additional Videos'!B74 = "", "", IF('Additional Videos-WUO_ERR'!A74 = "", "Validated", HYPERLINK("#" &amp; ADDRESS(74, 'Additional Videos-WUO_TRK'!A74),_xlfn.TEXTAFTER('Additional Videos-WUO_ERR'!A74, ":"))))</f>
        <v/>
      </c>
    </row>
    <row r="75">
      <c r="A75" s="38">
        <f>IF('Additional Videos'!B75 = "", "", IF('Additional Videos-WUO_ERR'!A75 = "", "Validated", HYPERLINK("#" &amp; ADDRESS(75, 'Additional Videos-WUO_TRK'!A75),_xlfn.TEXTAFTER('Additional Videos-WUO_ERR'!A75, ":"))))</f>
        <v/>
      </c>
    </row>
    <row r="76">
      <c r="A76" s="38">
        <f>IF('Additional Videos'!B76 = "", "", IF('Additional Videos-WUO_ERR'!A76 = "", "Validated", HYPERLINK("#" &amp; ADDRESS(76, 'Additional Videos-WUO_TRK'!A76),_xlfn.TEXTAFTER('Additional Videos-WUO_ERR'!A76, ":"))))</f>
        <v/>
      </c>
    </row>
    <row r="77">
      <c r="A77" s="38">
        <f>IF('Additional Videos'!B77 = "", "", IF('Additional Videos-WUO_ERR'!A77 = "", "Validated", HYPERLINK("#" &amp; ADDRESS(77, 'Additional Videos-WUO_TRK'!A77),_xlfn.TEXTAFTER('Additional Videos-WUO_ERR'!A77, ":"))))</f>
        <v/>
      </c>
    </row>
    <row r="78">
      <c r="A78" s="38">
        <f>IF('Additional Videos'!B78 = "", "", IF('Additional Videos-WUO_ERR'!A78 = "", "Validated", HYPERLINK("#" &amp; ADDRESS(78, 'Additional Videos-WUO_TRK'!A78),_xlfn.TEXTAFTER('Additional Videos-WUO_ERR'!A78, ":"))))</f>
        <v/>
      </c>
    </row>
    <row r="79">
      <c r="A79" s="38">
        <f>IF('Additional Videos'!B79 = "", "", IF('Additional Videos-WUO_ERR'!A79 = "", "Validated", HYPERLINK("#" &amp; ADDRESS(79, 'Additional Videos-WUO_TRK'!A79),_xlfn.TEXTAFTER('Additional Videos-WUO_ERR'!A79, ":"))))</f>
        <v/>
      </c>
    </row>
    <row r="80">
      <c r="A80" s="38">
        <f>IF('Additional Videos'!B80 = "", "", IF('Additional Videos-WUO_ERR'!A80 = "", "Validated", HYPERLINK("#" &amp; ADDRESS(80, 'Additional Videos-WUO_TRK'!A80),_xlfn.TEXTAFTER('Additional Videos-WUO_ERR'!A80, ":"))))</f>
        <v/>
      </c>
    </row>
    <row r="81">
      <c r="A81" s="38">
        <f>IF('Additional Videos'!B81 = "", "", IF('Additional Videos-WUO_ERR'!A81 = "", "Validated", HYPERLINK("#" &amp; ADDRESS(81, 'Additional Videos-WUO_TRK'!A81),_xlfn.TEXTAFTER('Additional Videos-WUO_ERR'!A81, ":"))))</f>
        <v/>
      </c>
    </row>
    <row r="82">
      <c r="A82" s="38">
        <f>IF('Additional Videos'!B82 = "", "", IF('Additional Videos-WUO_ERR'!A82 = "", "Validated", HYPERLINK("#" &amp; ADDRESS(82, 'Additional Videos-WUO_TRK'!A82),_xlfn.TEXTAFTER('Additional Videos-WUO_ERR'!A82, ":"))))</f>
        <v/>
      </c>
    </row>
    <row r="83">
      <c r="A83" s="38">
        <f>IF('Additional Videos'!B83 = "", "", IF('Additional Videos-WUO_ERR'!A83 = "", "Validated", HYPERLINK("#" &amp; ADDRESS(83, 'Additional Videos-WUO_TRK'!A83),_xlfn.TEXTAFTER('Additional Videos-WUO_ERR'!A83, ":"))))</f>
        <v/>
      </c>
    </row>
    <row r="84">
      <c r="A84" s="38">
        <f>IF('Additional Videos'!B84 = "", "", IF('Additional Videos-WUO_ERR'!A84 = "", "Validated", HYPERLINK("#" &amp; ADDRESS(84, 'Additional Videos-WUO_TRK'!A84),_xlfn.TEXTAFTER('Additional Videos-WUO_ERR'!A84, ":"))))</f>
        <v/>
      </c>
    </row>
    <row r="85">
      <c r="A85" s="38">
        <f>IF('Additional Videos'!B85 = "", "", IF('Additional Videos-WUO_ERR'!A85 = "", "Validated", HYPERLINK("#" &amp; ADDRESS(85, 'Additional Videos-WUO_TRK'!A85),_xlfn.TEXTAFTER('Additional Videos-WUO_ERR'!A85, ":"))))</f>
        <v/>
      </c>
    </row>
    <row r="86">
      <c r="A86" s="38">
        <f>IF('Additional Videos'!B86 = "", "", IF('Additional Videos-WUO_ERR'!A86 = "", "Validated", HYPERLINK("#" &amp; ADDRESS(86, 'Additional Videos-WUO_TRK'!A86),_xlfn.TEXTAFTER('Additional Videos-WUO_ERR'!A86, ":"))))</f>
        <v/>
      </c>
    </row>
    <row r="87">
      <c r="A87" s="38">
        <f>IF('Additional Videos'!B87 = "", "", IF('Additional Videos-WUO_ERR'!A87 = "", "Validated", HYPERLINK("#" &amp; ADDRESS(87, 'Additional Videos-WUO_TRK'!A87),_xlfn.TEXTAFTER('Additional Videos-WUO_ERR'!A87, ":"))))</f>
        <v/>
      </c>
    </row>
    <row r="88">
      <c r="A88" s="38">
        <f>IF('Additional Videos'!B88 = "", "", IF('Additional Videos-WUO_ERR'!A88 = "", "Validated", HYPERLINK("#" &amp; ADDRESS(88, 'Additional Videos-WUO_TRK'!A88),_xlfn.TEXTAFTER('Additional Videos-WUO_ERR'!A88, ":"))))</f>
        <v/>
      </c>
    </row>
    <row r="89">
      <c r="A89" s="38">
        <f>IF('Additional Videos'!B89 = "", "", IF('Additional Videos-WUO_ERR'!A89 = "", "Validated", HYPERLINK("#" &amp; ADDRESS(89, 'Additional Videos-WUO_TRK'!A89),_xlfn.TEXTAFTER('Additional Videos-WUO_ERR'!A89, ":"))))</f>
        <v/>
      </c>
    </row>
    <row r="90">
      <c r="A90" s="38">
        <f>IF('Additional Videos'!B90 = "", "", IF('Additional Videos-WUO_ERR'!A90 = "", "Validated", HYPERLINK("#" &amp; ADDRESS(90, 'Additional Videos-WUO_TRK'!A90),_xlfn.TEXTAFTER('Additional Videos-WUO_ERR'!A90, ":"))))</f>
        <v/>
      </c>
    </row>
    <row r="91">
      <c r="A91" s="38">
        <f>IF('Additional Videos'!B91 = "", "", IF('Additional Videos-WUO_ERR'!A91 = "", "Validated", HYPERLINK("#" &amp; ADDRESS(91, 'Additional Videos-WUO_TRK'!A91),_xlfn.TEXTAFTER('Additional Videos-WUO_ERR'!A91, ":"))))</f>
        <v/>
      </c>
    </row>
    <row r="92">
      <c r="A92" s="38">
        <f>IF('Additional Videos'!B92 = "", "", IF('Additional Videos-WUO_ERR'!A92 = "", "Validated", HYPERLINK("#" &amp; ADDRESS(92, 'Additional Videos-WUO_TRK'!A92),_xlfn.TEXTAFTER('Additional Videos-WUO_ERR'!A92, ":"))))</f>
        <v/>
      </c>
    </row>
    <row r="93">
      <c r="A93" s="38">
        <f>IF('Additional Videos'!B93 = "", "", IF('Additional Videos-WUO_ERR'!A93 = "", "Validated", HYPERLINK("#" &amp; ADDRESS(93, 'Additional Videos-WUO_TRK'!A93),_xlfn.TEXTAFTER('Additional Videos-WUO_ERR'!A93, ":"))))</f>
        <v/>
      </c>
    </row>
    <row r="94">
      <c r="A94" s="38">
        <f>IF('Additional Videos'!B94 = "", "", IF('Additional Videos-WUO_ERR'!A94 = "", "Validated", HYPERLINK("#" &amp; ADDRESS(94, 'Additional Videos-WUO_TRK'!A94),_xlfn.TEXTAFTER('Additional Videos-WUO_ERR'!A94, ":"))))</f>
        <v/>
      </c>
    </row>
    <row r="95">
      <c r="A95" s="38">
        <f>IF('Additional Videos'!B95 = "", "", IF('Additional Videos-WUO_ERR'!A95 = "", "Validated", HYPERLINK("#" &amp; ADDRESS(95, 'Additional Videos-WUO_TRK'!A95),_xlfn.TEXTAFTER('Additional Videos-WUO_ERR'!A95, ":"))))</f>
        <v/>
      </c>
    </row>
    <row r="96">
      <c r="A96" s="38">
        <f>IF('Additional Videos'!B96 = "", "", IF('Additional Videos-WUO_ERR'!A96 = "", "Validated", HYPERLINK("#" &amp; ADDRESS(96, 'Additional Videos-WUO_TRK'!A96),_xlfn.TEXTAFTER('Additional Videos-WUO_ERR'!A96, ":"))))</f>
        <v/>
      </c>
    </row>
    <row r="97">
      <c r="A97" s="38">
        <f>IF('Additional Videos'!B97 = "", "", IF('Additional Videos-WUO_ERR'!A97 = "", "Validated", HYPERLINK("#" &amp; ADDRESS(97, 'Additional Videos-WUO_TRK'!A97),_xlfn.TEXTAFTER('Additional Videos-WUO_ERR'!A97, ":"))))</f>
        <v/>
      </c>
    </row>
    <row r="98">
      <c r="A98" s="38">
        <f>IF('Additional Videos'!B98 = "", "", IF('Additional Videos-WUO_ERR'!A98 = "", "Validated", HYPERLINK("#" &amp; ADDRESS(98, 'Additional Videos-WUO_TRK'!A98),_xlfn.TEXTAFTER('Additional Videos-WUO_ERR'!A98, ":"))))</f>
        <v/>
      </c>
    </row>
    <row r="99">
      <c r="A99" s="38">
        <f>IF('Additional Videos'!B99 = "", "", IF('Additional Videos-WUO_ERR'!A99 = "", "Validated", HYPERLINK("#" &amp; ADDRESS(99, 'Additional Videos-WUO_TRK'!A99),_xlfn.TEXTAFTER('Additional Videos-WUO_ERR'!A99, ":"))))</f>
        <v/>
      </c>
    </row>
    <row r="100">
      <c r="A100" s="38">
        <f>IF('Additional Videos'!B100 = "", "", IF('Additional Videos-WUO_ERR'!A100 = "", "Validated", HYPERLINK("#" &amp; ADDRESS(100, 'Additional Videos-WUO_TRK'!A100),_xlfn.TEXTAFTER('Additional Videos-WUO_ERR'!A100, ":"))))</f>
        <v/>
      </c>
    </row>
    <row r="101">
      <c r="A101" s="38">
        <f>IF('Additional Videos'!B101 = "", "", IF('Additional Videos-WUO_ERR'!A101 = "", "Validated", HYPERLINK("#" &amp; ADDRESS(101, 'Additional Videos-WUO_TRK'!A101),_xlfn.TEXTAFTER('Additional Videos-WUO_ERR'!A101, ":"))))</f>
        <v/>
      </c>
    </row>
    <row r="102">
      <c r="A102" s="38">
        <f>IF('Additional Videos'!B102 = "", "", IF('Additional Videos-WUO_ERR'!A102 = "", "Validated", HYPERLINK("#" &amp; ADDRESS(102, 'Additional Videos-WUO_TRK'!A102),_xlfn.TEXTAFTER('Additional Videos-WUO_ERR'!A102, ":"))))</f>
        <v/>
      </c>
    </row>
    <row r="103">
      <c r="A103" s="38">
        <f>IF('Additional Videos'!B103 = "", "", IF('Additional Videos-WUO_ERR'!A103 = "", "Validated", HYPERLINK("#" &amp; ADDRESS(103, 'Additional Videos-WUO_TRK'!A103),_xlfn.TEXTAFTER('Additional Videos-WUO_ERR'!A103, ":"))))</f>
        <v/>
      </c>
    </row>
    <row r="104">
      <c r="A104" s="38">
        <f>IF('Additional Videos'!B104 = "", "", IF('Additional Videos-WUO_ERR'!A104 = "", "Validated", HYPERLINK("#" &amp; ADDRESS(104, 'Additional Videos-WUO_TRK'!A104),_xlfn.TEXTAFTER('Additional Videos-WUO_ERR'!A104, ":"))))</f>
        <v/>
      </c>
    </row>
    <row r="105">
      <c r="A105" s="38">
        <f>IF('Additional Videos'!B105 = "", "", IF('Additional Videos-WUO_ERR'!A105 = "", "Validated", HYPERLINK("#" &amp; ADDRESS(105, 'Additional Videos-WUO_TRK'!A105),_xlfn.TEXTAFTER('Additional Videos-WUO_ERR'!A105, ":"))))</f>
        <v/>
      </c>
    </row>
    <row r="106">
      <c r="A106" s="38">
        <f>IF('Additional Videos'!B106 = "", "", IF('Additional Videos-WUO_ERR'!A106 = "", "Validated", HYPERLINK("#" &amp; ADDRESS(106, 'Additional Videos-WUO_TRK'!A106),_xlfn.TEXTAFTER('Additional Videos-WUO_ERR'!A106, ":"))))</f>
        <v/>
      </c>
    </row>
    <row r="107">
      <c r="A107" s="38">
        <f>IF('Additional Videos'!B107 = "", "", IF('Additional Videos-WUO_ERR'!A107 = "", "Validated", HYPERLINK("#" &amp; ADDRESS(107, 'Additional Videos-WUO_TRK'!A107),_xlfn.TEXTAFTER('Additional Videos-WUO_ERR'!A107, ":"))))</f>
        <v/>
      </c>
    </row>
    <row r="108">
      <c r="A108" s="38">
        <f>IF('Additional Videos'!B108 = "", "", IF('Additional Videos-WUO_ERR'!A108 = "", "Validated", HYPERLINK("#" &amp; ADDRESS(108, 'Additional Videos-WUO_TRK'!A108),_xlfn.TEXTAFTER('Additional Videos-WUO_ERR'!A108, ":"))))</f>
        <v/>
      </c>
    </row>
    <row r="109">
      <c r="A109" s="38">
        <f>IF('Additional Videos'!B109 = "", "", IF('Additional Videos-WUO_ERR'!A109 = "", "Validated", HYPERLINK("#" &amp; ADDRESS(109, 'Additional Videos-WUO_TRK'!A109),_xlfn.TEXTAFTER('Additional Videos-WUO_ERR'!A109, ":"))))</f>
        <v/>
      </c>
    </row>
    <row r="110">
      <c r="A110" s="38">
        <f>IF('Additional Videos'!B110 = "", "", IF('Additional Videos-WUO_ERR'!A110 = "", "Validated", HYPERLINK("#" &amp; ADDRESS(110, 'Additional Videos-WUO_TRK'!A110),_xlfn.TEXTAFTER('Additional Videos-WUO_ERR'!A110, ":"))))</f>
        <v/>
      </c>
    </row>
    <row r="111">
      <c r="A111" s="38">
        <f>IF('Additional Videos'!B111 = "", "", IF('Additional Videos-WUO_ERR'!A111 = "", "Validated", HYPERLINK("#" &amp; ADDRESS(111, 'Additional Videos-WUO_TRK'!A111),_xlfn.TEXTAFTER('Additional Videos-WUO_ERR'!A111, ":"))))</f>
        <v/>
      </c>
    </row>
    <row r="112">
      <c r="A112" s="38">
        <f>IF('Additional Videos'!B112 = "", "", IF('Additional Videos-WUO_ERR'!A112 = "", "Validated", HYPERLINK("#" &amp; ADDRESS(112, 'Additional Videos-WUO_TRK'!A112),_xlfn.TEXTAFTER('Additional Videos-WUO_ERR'!A112, ":"))))</f>
        <v/>
      </c>
    </row>
    <row r="113">
      <c r="A113" s="38">
        <f>IF('Additional Videos'!B113 = "", "", IF('Additional Videos-WUO_ERR'!A113 = "", "Validated", HYPERLINK("#" &amp; ADDRESS(113, 'Additional Videos-WUO_TRK'!A113),_xlfn.TEXTAFTER('Additional Videos-WUO_ERR'!A113, ":"))))</f>
        <v/>
      </c>
    </row>
    <row r="114">
      <c r="A114" s="38">
        <f>IF('Additional Videos'!B114 = "", "", IF('Additional Videos-WUO_ERR'!A114 = "", "Validated", HYPERLINK("#" &amp; ADDRESS(114, 'Additional Videos-WUO_TRK'!A114),_xlfn.TEXTAFTER('Additional Videos-WUO_ERR'!A114, ":"))))</f>
        <v/>
      </c>
    </row>
    <row r="115">
      <c r="A115" s="38">
        <f>IF('Additional Videos'!B115 = "", "", IF('Additional Videos-WUO_ERR'!A115 = "", "Validated", HYPERLINK("#" &amp; ADDRESS(115, 'Additional Videos-WUO_TRK'!A115),_xlfn.TEXTAFTER('Additional Videos-WUO_ERR'!A115, ":"))))</f>
        <v/>
      </c>
    </row>
    <row r="116">
      <c r="A116" s="38">
        <f>IF('Additional Videos'!B116 = "", "", IF('Additional Videos-WUO_ERR'!A116 = "", "Validated", HYPERLINK("#" &amp; ADDRESS(116, 'Additional Videos-WUO_TRK'!A116),_xlfn.TEXTAFTER('Additional Videos-WUO_ERR'!A116, ":"))))</f>
        <v/>
      </c>
    </row>
    <row r="117">
      <c r="A117" s="38">
        <f>IF('Additional Videos'!B117 = "", "", IF('Additional Videos-WUO_ERR'!A117 = "", "Validated", HYPERLINK("#" &amp; ADDRESS(117, 'Additional Videos-WUO_TRK'!A117),_xlfn.TEXTAFTER('Additional Videos-WUO_ERR'!A117, ":"))))</f>
        <v/>
      </c>
    </row>
    <row r="118">
      <c r="A118" s="38">
        <f>IF('Additional Videos'!B118 = "", "", IF('Additional Videos-WUO_ERR'!A118 = "", "Validated", HYPERLINK("#" &amp; ADDRESS(118, 'Additional Videos-WUO_TRK'!A118),_xlfn.TEXTAFTER('Additional Videos-WUO_ERR'!A118, ":"))))</f>
        <v/>
      </c>
    </row>
    <row r="119">
      <c r="A119" s="38">
        <f>IF('Additional Videos'!B119 = "", "", IF('Additional Videos-WUO_ERR'!A119 = "", "Validated", HYPERLINK("#" &amp; ADDRESS(119, 'Additional Videos-WUO_TRK'!A119),_xlfn.TEXTAFTER('Additional Videos-WUO_ERR'!A119, ":"))))</f>
        <v/>
      </c>
    </row>
    <row r="120">
      <c r="A120" s="38">
        <f>IF('Additional Videos'!B120 = "", "", IF('Additional Videos-WUO_ERR'!A120 = "", "Validated", HYPERLINK("#" &amp; ADDRESS(120, 'Additional Videos-WUO_TRK'!A120),_xlfn.TEXTAFTER('Additional Videos-WUO_ERR'!A120, ":"))))</f>
        <v/>
      </c>
    </row>
    <row r="121">
      <c r="A121" s="38">
        <f>IF('Additional Videos'!B121 = "", "", IF('Additional Videos-WUO_ERR'!A121 = "", "Validated", HYPERLINK("#" &amp; ADDRESS(121, 'Additional Videos-WUO_TRK'!A121),_xlfn.TEXTAFTER('Additional Videos-WUO_ERR'!A121, ":"))))</f>
        <v/>
      </c>
    </row>
    <row r="122">
      <c r="A122" s="38">
        <f>IF('Additional Videos'!B122 = "", "", IF('Additional Videos-WUO_ERR'!A122 = "", "Validated", HYPERLINK("#" &amp; ADDRESS(122, 'Additional Videos-WUO_TRK'!A122),_xlfn.TEXTAFTER('Additional Videos-WUO_ERR'!A122, ":"))))</f>
        <v/>
      </c>
    </row>
    <row r="123">
      <c r="A123" s="38">
        <f>IF('Additional Videos'!B123 = "", "", IF('Additional Videos-WUO_ERR'!A123 = "", "Validated", HYPERLINK("#" &amp; ADDRESS(123, 'Additional Videos-WUO_TRK'!A123),_xlfn.TEXTAFTER('Additional Videos-WUO_ERR'!A123, ":"))))</f>
        <v/>
      </c>
    </row>
    <row r="124">
      <c r="A124" s="38">
        <f>IF('Additional Videos'!B124 = "", "", IF('Additional Videos-WUO_ERR'!A124 = "", "Validated", HYPERLINK("#" &amp; ADDRESS(124, 'Additional Videos-WUO_TRK'!A124),_xlfn.TEXTAFTER('Additional Videos-WUO_ERR'!A124, ":"))))</f>
        <v/>
      </c>
    </row>
    <row r="125">
      <c r="A125" s="38">
        <f>IF('Additional Videos'!B125 = "", "", IF('Additional Videos-WUO_ERR'!A125 = "", "Validated", HYPERLINK("#" &amp; ADDRESS(125, 'Additional Videos-WUO_TRK'!A125),_xlfn.TEXTAFTER('Additional Videos-WUO_ERR'!A125, ":"))))</f>
        <v/>
      </c>
    </row>
    <row r="126">
      <c r="A126" s="38">
        <f>IF('Additional Videos'!B126 = "", "", IF('Additional Videos-WUO_ERR'!A126 = "", "Validated", HYPERLINK("#" &amp; ADDRESS(126, 'Additional Videos-WUO_TRK'!A126),_xlfn.TEXTAFTER('Additional Videos-WUO_ERR'!A126, ":"))))</f>
        <v/>
      </c>
    </row>
    <row r="127">
      <c r="A127" s="38">
        <f>IF('Additional Videos'!B127 = "", "", IF('Additional Videos-WUO_ERR'!A127 = "", "Validated", HYPERLINK("#" &amp; ADDRESS(127, 'Additional Videos-WUO_TRK'!A127),_xlfn.TEXTAFTER('Additional Videos-WUO_ERR'!A127, ":"))))</f>
        <v/>
      </c>
    </row>
    <row r="128">
      <c r="A128" s="38">
        <f>IF('Additional Videos'!B128 = "", "", IF('Additional Videos-WUO_ERR'!A128 = "", "Validated", HYPERLINK("#" &amp; ADDRESS(128, 'Additional Videos-WUO_TRK'!A128),_xlfn.TEXTAFTER('Additional Videos-WUO_ERR'!A128, ":"))))</f>
        <v/>
      </c>
    </row>
    <row r="129">
      <c r="A129" s="38">
        <f>IF('Additional Videos'!B129 = "", "", IF('Additional Videos-WUO_ERR'!A129 = "", "Validated", HYPERLINK("#" &amp; ADDRESS(129, 'Additional Videos-WUO_TRK'!A129),_xlfn.TEXTAFTER('Additional Videos-WUO_ERR'!A129, ":"))))</f>
        <v/>
      </c>
    </row>
    <row r="130">
      <c r="A130" s="38">
        <f>IF('Additional Videos'!B130 = "", "", IF('Additional Videos-WUO_ERR'!A130 = "", "Validated", HYPERLINK("#" &amp; ADDRESS(130, 'Additional Videos-WUO_TRK'!A130),_xlfn.TEXTAFTER('Additional Videos-WUO_ERR'!A130, ":"))))</f>
        <v/>
      </c>
    </row>
    <row r="131">
      <c r="A131" s="38">
        <f>IF('Additional Videos'!B131 = "", "", IF('Additional Videos-WUO_ERR'!A131 = "", "Validated", HYPERLINK("#" &amp; ADDRESS(131, 'Additional Videos-WUO_TRK'!A131),_xlfn.TEXTAFTER('Additional Videos-WUO_ERR'!A131, ":"))))</f>
        <v/>
      </c>
    </row>
    <row r="132">
      <c r="A132" s="38">
        <f>IF('Additional Videos'!B132 = "", "", IF('Additional Videos-WUO_ERR'!A132 = "", "Validated", HYPERLINK("#" &amp; ADDRESS(132, 'Additional Videos-WUO_TRK'!A132),_xlfn.TEXTAFTER('Additional Videos-WUO_ERR'!A132, ":"))))</f>
        <v/>
      </c>
    </row>
    <row r="133">
      <c r="A133" s="38">
        <f>IF('Additional Videos'!B133 = "", "", IF('Additional Videos-WUO_ERR'!A133 = "", "Validated", HYPERLINK("#" &amp; ADDRESS(133, 'Additional Videos-WUO_TRK'!A133),_xlfn.TEXTAFTER('Additional Videos-WUO_ERR'!A133, ":"))))</f>
        <v/>
      </c>
    </row>
    <row r="134">
      <c r="A134" s="38">
        <f>IF('Additional Videos'!B134 = "", "", IF('Additional Videos-WUO_ERR'!A134 = "", "Validated", HYPERLINK("#" &amp; ADDRESS(134, 'Additional Videos-WUO_TRK'!A134),_xlfn.TEXTAFTER('Additional Videos-WUO_ERR'!A134, ":"))))</f>
        <v/>
      </c>
    </row>
    <row r="135">
      <c r="A135" s="38">
        <f>IF('Additional Videos'!B135 = "", "", IF('Additional Videos-WUO_ERR'!A135 = "", "Validated", HYPERLINK("#" &amp; ADDRESS(135, 'Additional Videos-WUO_TRK'!A135),_xlfn.TEXTAFTER('Additional Videos-WUO_ERR'!A135, ":"))))</f>
        <v/>
      </c>
    </row>
    <row r="136">
      <c r="A136" s="38">
        <f>IF('Additional Videos'!B136 = "", "", IF('Additional Videos-WUO_ERR'!A136 = "", "Validated", HYPERLINK("#" &amp; ADDRESS(136, 'Additional Videos-WUO_TRK'!A136),_xlfn.TEXTAFTER('Additional Videos-WUO_ERR'!A136, ":"))))</f>
        <v/>
      </c>
    </row>
    <row r="137">
      <c r="A137" s="38">
        <f>IF('Additional Videos'!B137 = "", "", IF('Additional Videos-WUO_ERR'!A137 = "", "Validated", HYPERLINK("#" &amp; ADDRESS(137, 'Additional Videos-WUO_TRK'!A137),_xlfn.TEXTAFTER('Additional Videos-WUO_ERR'!A137, ":"))))</f>
        <v/>
      </c>
    </row>
    <row r="138">
      <c r="A138" s="38">
        <f>IF('Additional Videos'!B138 = "", "", IF('Additional Videos-WUO_ERR'!A138 = "", "Validated", HYPERLINK("#" &amp; ADDRESS(138, 'Additional Videos-WUO_TRK'!A138),_xlfn.TEXTAFTER('Additional Videos-WUO_ERR'!A138, ":"))))</f>
        <v/>
      </c>
    </row>
    <row r="139">
      <c r="A139" s="38">
        <f>IF('Additional Videos'!B139 = "", "", IF('Additional Videos-WUO_ERR'!A139 = "", "Validated", HYPERLINK("#" &amp; ADDRESS(139, 'Additional Videos-WUO_TRK'!A139),_xlfn.TEXTAFTER('Additional Videos-WUO_ERR'!A139, ":"))))</f>
        <v/>
      </c>
    </row>
    <row r="140">
      <c r="A140" s="38">
        <f>IF('Additional Videos'!B140 = "", "", IF('Additional Videos-WUO_ERR'!A140 = "", "Validated", HYPERLINK("#" &amp; ADDRESS(140, 'Additional Videos-WUO_TRK'!A140),_xlfn.TEXTAFTER('Additional Videos-WUO_ERR'!A140, ":"))))</f>
        <v/>
      </c>
    </row>
    <row r="141">
      <c r="A141" s="38">
        <f>IF('Additional Videos'!B141 = "", "", IF('Additional Videos-WUO_ERR'!A141 = "", "Validated", HYPERLINK("#" &amp; ADDRESS(141, 'Additional Videos-WUO_TRK'!A141),_xlfn.TEXTAFTER('Additional Videos-WUO_ERR'!A141, ":"))))</f>
        <v/>
      </c>
    </row>
    <row r="142">
      <c r="A142" s="38">
        <f>IF('Additional Videos'!B142 = "", "", IF('Additional Videos-WUO_ERR'!A142 = "", "Validated", HYPERLINK("#" &amp; ADDRESS(142, 'Additional Videos-WUO_TRK'!A142),_xlfn.TEXTAFTER('Additional Videos-WUO_ERR'!A142, ":"))))</f>
        <v/>
      </c>
    </row>
    <row r="143">
      <c r="A143" s="38">
        <f>IF('Additional Videos'!B143 = "", "", IF('Additional Videos-WUO_ERR'!A143 = "", "Validated", HYPERLINK("#" &amp; ADDRESS(143, 'Additional Videos-WUO_TRK'!A143),_xlfn.TEXTAFTER('Additional Videos-WUO_ERR'!A143, ":"))))</f>
        <v/>
      </c>
    </row>
    <row r="144">
      <c r="A144" s="38">
        <f>IF('Additional Videos'!B144 = "", "", IF('Additional Videos-WUO_ERR'!A144 = "", "Validated", HYPERLINK("#" &amp; ADDRESS(144, 'Additional Videos-WUO_TRK'!A144),_xlfn.TEXTAFTER('Additional Videos-WUO_ERR'!A144, ":"))))</f>
        <v/>
      </c>
    </row>
    <row r="145">
      <c r="A145" s="38">
        <f>IF('Additional Videos'!B145 = "", "", IF('Additional Videos-WUO_ERR'!A145 = "", "Validated", HYPERLINK("#" &amp; ADDRESS(145, 'Additional Videos-WUO_TRK'!A145),_xlfn.TEXTAFTER('Additional Videos-WUO_ERR'!A145, ":"))))</f>
        <v/>
      </c>
    </row>
    <row r="146">
      <c r="A146" s="38">
        <f>IF('Additional Videos'!B146 = "", "", IF('Additional Videos-WUO_ERR'!A146 = "", "Validated", HYPERLINK("#" &amp; ADDRESS(146, 'Additional Videos-WUO_TRK'!A146),_xlfn.TEXTAFTER('Additional Videos-WUO_ERR'!A146, ":"))))</f>
        <v/>
      </c>
    </row>
    <row r="147">
      <c r="A147" s="38">
        <f>IF('Additional Videos'!B147 = "", "", IF('Additional Videos-WUO_ERR'!A147 = "", "Validated", HYPERLINK("#" &amp; ADDRESS(147, 'Additional Videos-WUO_TRK'!A147),_xlfn.TEXTAFTER('Additional Videos-WUO_ERR'!A147, ":"))))</f>
        <v/>
      </c>
    </row>
    <row r="148">
      <c r="A148" s="38">
        <f>IF('Additional Videos'!B148 = "", "", IF('Additional Videos-WUO_ERR'!A148 = "", "Validated", HYPERLINK("#" &amp; ADDRESS(148, 'Additional Videos-WUO_TRK'!A148),_xlfn.TEXTAFTER('Additional Videos-WUO_ERR'!A148, ":"))))</f>
        <v/>
      </c>
    </row>
    <row r="149">
      <c r="A149" s="38">
        <f>IF('Additional Videos'!B149 = "", "", IF('Additional Videos-WUO_ERR'!A149 = "", "Validated", HYPERLINK("#" &amp; ADDRESS(149, 'Additional Videos-WUO_TRK'!A149),_xlfn.TEXTAFTER('Additional Videos-WUO_ERR'!A149, ":"))))</f>
        <v/>
      </c>
    </row>
    <row r="150">
      <c r="A150" s="38">
        <f>IF('Additional Videos'!B150 = "", "", IF('Additional Videos-WUO_ERR'!A150 = "", "Validated", HYPERLINK("#" &amp; ADDRESS(150, 'Additional Videos-WUO_TRK'!A150),_xlfn.TEXTAFTER('Additional Videos-WUO_ERR'!A150, ":"))))</f>
        <v/>
      </c>
    </row>
    <row r="151">
      <c r="A151" s="38">
        <f>IF('Additional Videos'!B151 = "", "", IF('Additional Videos-WUO_ERR'!A151 = "", "Validated", HYPERLINK("#" &amp; ADDRESS(151, 'Additional Videos-WUO_TRK'!A151),_xlfn.TEXTAFTER('Additional Videos-WUO_ERR'!A151, ":"))))</f>
        <v/>
      </c>
    </row>
    <row r="152">
      <c r="A152" s="38">
        <f>IF('Additional Videos'!B152 = "", "", IF('Additional Videos-WUO_ERR'!A152 = "", "Validated", HYPERLINK("#" &amp; ADDRESS(152, 'Additional Videos-WUO_TRK'!A152),_xlfn.TEXTAFTER('Additional Videos-WUO_ERR'!A152, ":"))))</f>
        <v/>
      </c>
    </row>
    <row r="153">
      <c r="A153" s="38">
        <f>IF('Additional Videos'!B153 = "", "", IF('Additional Videos-WUO_ERR'!A153 = "", "Validated", HYPERLINK("#" &amp; ADDRESS(153, 'Additional Videos-WUO_TRK'!A153),_xlfn.TEXTAFTER('Additional Videos-WUO_ERR'!A153, ":"))))</f>
        <v/>
      </c>
    </row>
    <row r="154">
      <c r="A154" s="38">
        <f>IF('Additional Videos'!B154 = "", "", IF('Additional Videos-WUO_ERR'!A154 = "", "Validated", HYPERLINK("#" &amp; ADDRESS(154, 'Additional Videos-WUO_TRK'!A154),_xlfn.TEXTAFTER('Additional Videos-WUO_ERR'!A154, ":"))))</f>
        <v/>
      </c>
    </row>
    <row r="155">
      <c r="A155" s="38">
        <f>IF('Additional Videos'!B155 = "", "", IF('Additional Videos-WUO_ERR'!A155 = "", "Validated", HYPERLINK("#" &amp; ADDRESS(155, 'Additional Videos-WUO_TRK'!A155),_xlfn.TEXTAFTER('Additional Videos-WUO_ERR'!A155, ":"))))</f>
        <v/>
      </c>
    </row>
    <row r="156">
      <c r="A156" s="38">
        <f>IF('Additional Videos'!B156 = "", "", IF('Additional Videos-WUO_ERR'!A156 = "", "Validated", HYPERLINK("#" &amp; ADDRESS(156, 'Additional Videos-WUO_TRK'!A156),_xlfn.TEXTAFTER('Additional Videos-WUO_ERR'!A156, ":"))))</f>
        <v/>
      </c>
    </row>
    <row r="157">
      <c r="A157" s="38">
        <f>IF('Additional Videos'!B157 = "", "", IF('Additional Videos-WUO_ERR'!A157 = "", "Validated", HYPERLINK("#" &amp; ADDRESS(157, 'Additional Videos-WUO_TRK'!A157),_xlfn.TEXTAFTER('Additional Videos-WUO_ERR'!A157, ":"))))</f>
        <v/>
      </c>
    </row>
    <row r="158">
      <c r="A158" s="38">
        <f>IF('Additional Videos'!B158 = "", "", IF('Additional Videos-WUO_ERR'!A158 = "", "Validated", HYPERLINK("#" &amp; ADDRESS(158, 'Additional Videos-WUO_TRK'!A158),_xlfn.TEXTAFTER('Additional Videos-WUO_ERR'!A158, ":"))))</f>
        <v/>
      </c>
    </row>
    <row r="159">
      <c r="A159" s="38">
        <f>IF('Additional Videos'!B159 = "", "", IF('Additional Videos-WUO_ERR'!A159 = "", "Validated", HYPERLINK("#" &amp; ADDRESS(159, 'Additional Videos-WUO_TRK'!A159),_xlfn.TEXTAFTER('Additional Videos-WUO_ERR'!A159, ":"))))</f>
        <v/>
      </c>
    </row>
    <row r="160">
      <c r="A160" s="38">
        <f>IF('Additional Videos'!B160 = "", "", IF('Additional Videos-WUO_ERR'!A160 = "", "Validated", HYPERLINK("#" &amp; ADDRESS(160, 'Additional Videos-WUO_TRK'!A160),_xlfn.TEXTAFTER('Additional Videos-WUO_ERR'!A160, ":"))))</f>
        <v/>
      </c>
    </row>
    <row r="161">
      <c r="A161" s="38">
        <f>IF('Additional Videos'!B161 = "", "", IF('Additional Videos-WUO_ERR'!A161 = "", "Validated", HYPERLINK("#" &amp; ADDRESS(161, 'Additional Videos-WUO_TRK'!A161),_xlfn.TEXTAFTER('Additional Videos-WUO_ERR'!A161, ":"))))</f>
        <v/>
      </c>
    </row>
    <row r="162">
      <c r="A162" s="38">
        <f>IF('Additional Videos'!B162 = "", "", IF('Additional Videos-WUO_ERR'!A162 = "", "Validated", HYPERLINK("#" &amp; ADDRESS(162, 'Additional Videos-WUO_TRK'!A162),_xlfn.TEXTAFTER('Additional Videos-WUO_ERR'!A162, ":"))))</f>
        <v/>
      </c>
    </row>
    <row r="163">
      <c r="A163" s="38">
        <f>IF('Additional Videos'!B163 = "", "", IF('Additional Videos-WUO_ERR'!A163 = "", "Validated", HYPERLINK("#" &amp; ADDRESS(163, 'Additional Videos-WUO_TRK'!A163),_xlfn.TEXTAFTER('Additional Videos-WUO_ERR'!A163, ":"))))</f>
        <v/>
      </c>
    </row>
    <row r="164">
      <c r="A164" s="38">
        <f>IF('Additional Videos'!B164 = "", "", IF('Additional Videos-WUO_ERR'!A164 = "", "Validated", HYPERLINK("#" &amp; ADDRESS(164, 'Additional Videos-WUO_TRK'!A164),_xlfn.TEXTAFTER('Additional Videos-WUO_ERR'!A164, ":"))))</f>
        <v/>
      </c>
    </row>
    <row r="165">
      <c r="A165" s="38">
        <f>IF('Additional Videos'!B165 = "", "", IF('Additional Videos-WUO_ERR'!A165 = "", "Validated", HYPERLINK("#" &amp; ADDRESS(165, 'Additional Videos-WUO_TRK'!A165),_xlfn.TEXTAFTER('Additional Videos-WUO_ERR'!A165, ":"))))</f>
        <v/>
      </c>
    </row>
    <row r="166">
      <c r="A166" s="38">
        <f>IF('Additional Videos'!B166 = "", "", IF('Additional Videos-WUO_ERR'!A166 = "", "Validated", HYPERLINK("#" &amp; ADDRESS(166, 'Additional Videos-WUO_TRK'!A166),_xlfn.TEXTAFTER('Additional Videos-WUO_ERR'!A166, ":"))))</f>
        <v/>
      </c>
    </row>
    <row r="167">
      <c r="A167" s="38">
        <f>IF('Additional Videos'!B167 = "", "", IF('Additional Videos-WUO_ERR'!A167 = "", "Validated", HYPERLINK("#" &amp; ADDRESS(167, 'Additional Videos-WUO_TRK'!A167),_xlfn.TEXTAFTER('Additional Videos-WUO_ERR'!A167, ":"))))</f>
        <v/>
      </c>
    </row>
    <row r="168">
      <c r="A168" s="38">
        <f>IF('Additional Videos'!B168 = "", "", IF('Additional Videos-WUO_ERR'!A168 = "", "Validated", HYPERLINK("#" &amp; ADDRESS(168, 'Additional Videos-WUO_TRK'!A168),_xlfn.TEXTAFTER('Additional Videos-WUO_ERR'!A168, ":"))))</f>
        <v/>
      </c>
    </row>
    <row r="169">
      <c r="A169" s="38">
        <f>IF('Additional Videos'!B169 = "", "", IF('Additional Videos-WUO_ERR'!A169 = "", "Validated", HYPERLINK("#" &amp; ADDRESS(169, 'Additional Videos-WUO_TRK'!A169),_xlfn.TEXTAFTER('Additional Videos-WUO_ERR'!A169, ":"))))</f>
        <v/>
      </c>
    </row>
    <row r="170">
      <c r="A170" s="38">
        <f>IF('Additional Videos'!B170 = "", "", IF('Additional Videos-WUO_ERR'!A170 = "", "Validated", HYPERLINK("#" &amp; ADDRESS(170, 'Additional Videos-WUO_TRK'!A170),_xlfn.TEXTAFTER('Additional Videos-WUO_ERR'!A170, ":"))))</f>
        <v/>
      </c>
    </row>
    <row r="171">
      <c r="A171" s="38">
        <f>IF('Additional Videos'!B171 = "", "", IF('Additional Videos-WUO_ERR'!A171 = "", "Validated", HYPERLINK("#" &amp; ADDRESS(171, 'Additional Videos-WUO_TRK'!A171),_xlfn.TEXTAFTER('Additional Videos-WUO_ERR'!A171, ":"))))</f>
        <v/>
      </c>
    </row>
    <row r="172">
      <c r="A172" s="38">
        <f>IF('Additional Videos'!B172 = "", "", IF('Additional Videos-WUO_ERR'!A172 = "", "Validated", HYPERLINK("#" &amp; ADDRESS(172, 'Additional Videos-WUO_TRK'!A172),_xlfn.TEXTAFTER('Additional Videos-WUO_ERR'!A172, ":"))))</f>
        <v/>
      </c>
    </row>
    <row r="173">
      <c r="A173" s="38">
        <f>IF('Additional Videos'!B173 = "", "", IF('Additional Videos-WUO_ERR'!A173 = "", "Validated", HYPERLINK("#" &amp; ADDRESS(173, 'Additional Videos-WUO_TRK'!A173),_xlfn.TEXTAFTER('Additional Videos-WUO_ERR'!A173, ":"))))</f>
        <v/>
      </c>
    </row>
    <row r="174">
      <c r="A174" s="38">
        <f>IF('Additional Videos'!B174 = "", "", IF('Additional Videos-WUO_ERR'!A174 = "", "Validated", HYPERLINK("#" &amp; ADDRESS(174, 'Additional Videos-WUO_TRK'!A174),_xlfn.TEXTAFTER('Additional Videos-WUO_ERR'!A174, ":"))))</f>
        <v/>
      </c>
    </row>
    <row r="175">
      <c r="A175" s="38">
        <f>IF('Additional Videos'!B175 = "", "", IF('Additional Videos-WUO_ERR'!A175 = "", "Validated", HYPERLINK("#" &amp; ADDRESS(175, 'Additional Videos-WUO_TRK'!A175),_xlfn.TEXTAFTER('Additional Videos-WUO_ERR'!A175, ":"))))</f>
        <v/>
      </c>
    </row>
    <row r="176">
      <c r="A176" s="38">
        <f>IF('Additional Videos'!B176 = "", "", IF('Additional Videos-WUO_ERR'!A176 = "", "Validated", HYPERLINK("#" &amp; ADDRESS(176, 'Additional Videos-WUO_TRK'!A176),_xlfn.TEXTAFTER('Additional Videos-WUO_ERR'!A176, ":"))))</f>
        <v/>
      </c>
    </row>
    <row r="177">
      <c r="A177" s="38">
        <f>IF('Additional Videos'!B177 = "", "", IF('Additional Videos-WUO_ERR'!A177 = "", "Validated", HYPERLINK("#" &amp; ADDRESS(177, 'Additional Videos-WUO_TRK'!A177),_xlfn.TEXTAFTER('Additional Videos-WUO_ERR'!A177, ":"))))</f>
        <v/>
      </c>
    </row>
    <row r="178">
      <c r="A178" s="38">
        <f>IF('Additional Videos'!B178 = "", "", IF('Additional Videos-WUO_ERR'!A178 = "", "Validated", HYPERLINK("#" &amp; ADDRESS(178, 'Additional Videos-WUO_TRK'!A178),_xlfn.TEXTAFTER('Additional Videos-WUO_ERR'!A178, ":"))))</f>
        <v/>
      </c>
    </row>
    <row r="179">
      <c r="A179" s="38">
        <f>IF('Additional Videos'!B179 = "", "", IF('Additional Videos-WUO_ERR'!A179 = "", "Validated", HYPERLINK("#" &amp; ADDRESS(179, 'Additional Videos-WUO_TRK'!A179),_xlfn.TEXTAFTER('Additional Videos-WUO_ERR'!A179, ":"))))</f>
        <v/>
      </c>
    </row>
    <row r="180">
      <c r="A180" s="38">
        <f>IF('Additional Videos'!B180 = "", "", IF('Additional Videos-WUO_ERR'!A180 = "", "Validated", HYPERLINK("#" &amp; ADDRESS(180, 'Additional Videos-WUO_TRK'!A180),_xlfn.TEXTAFTER('Additional Videos-WUO_ERR'!A180, ":"))))</f>
        <v/>
      </c>
    </row>
    <row r="181">
      <c r="A181" s="38">
        <f>IF('Additional Videos'!B181 = "", "", IF('Additional Videos-WUO_ERR'!A181 = "", "Validated", HYPERLINK("#" &amp; ADDRESS(181, 'Additional Videos-WUO_TRK'!A181),_xlfn.TEXTAFTER('Additional Videos-WUO_ERR'!A181, ":"))))</f>
        <v/>
      </c>
    </row>
    <row r="182">
      <c r="A182" s="38">
        <f>IF('Additional Videos'!B182 = "", "", IF('Additional Videos-WUO_ERR'!A182 = "", "Validated", HYPERLINK("#" &amp; ADDRESS(182, 'Additional Videos-WUO_TRK'!A182),_xlfn.TEXTAFTER('Additional Videos-WUO_ERR'!A182, ":"))))</f>
        <v/>
      </c>
    </row>
    <row r="183">
      <c r="A183" s="38">
        <f>IF('Additional Videos'!B183 = "", "", IF('Additional Videos-WUO_ERR'!A183 = "", "Validated", HYPERLINK("#" &amp; ADDRESS(183, 'Additional Videos-WUO_TRK'!A183),_xlfn.TEXTAFTER('Additional Videos-WUO_ERR'!A183, ":"))))</f>
        <v/>
      </c>
    </row>
    <row r="184">
      <c r="A184" s="38">
        <f>IF('Additional Videos'!B184 = "", "", IF('Additional Videos-WUO_ERR'!A184 = "", "Validated", HYPERLINK("#" &amp; ADDRESS(184, 'Additional Videos-WUO_TRK'!A184),_xlfn.TEXTAFTER('Additional Videos-WUO_ERR'!A184, ":"))))</f>
        <v/>
      </c>
    </row>
    <row r="185">
      <c r="A185" s="38">
        <f>IF('Additional Videos'!B185 = "", "", IF('Additional Videos-WUO_ERR'!A185 = "", "Validated", HYPERLINK("#" &amp; ADDRESS(185, 'Additional Videos-WUO_TRK'!A185),_xlfn.TEXTAFTER('Additional Videos-WUO_ERR'!A185, ":"))))</f>
        <v/>
      </c>
    </row>
    <row r="186">
      <c r="A186" s="38">
        <f>IF('Additional Videos'!B186 = "", "", IF('Additional Videos-WUO_ERR'!A186 = "", "Validated", HYPERLINK("#" &amp; ADDRESS(186, 'Additional Videos-WUO_TRK'!A186),_xlfn.TEXTAFTER('Additional Videos-WUO_ERR'!A186, ":"))))</f>
        <v/>
      </c>
    </row>
    <row r="187">
      <c r="A187" s="38">
        <f>IF('Additional Videos'!B187 = "", "", IF('Additional Videos-WUO_ERR'!A187 = "", "Validated", HYPERLINK("#" &amp; ADDRESS(187, 'Additional Videos-WUO_TRK'!A187),_xlfn.TEXTAFTER('Additional Videos-WUO_ERR'!A187, ":"))))</f>
        <v/>
      </c>
    </row>
    <row r="188">
      <c r="A188" s="38">
        <f>IF('Additional Videos'!B188 = "", "", IF('Additional Videos-WUO_ERR'!A188 = "", "Validated", HYPERLINK("#" &amp; ADDRESS(188, 'Additional Videos-WUO_TRK'!A188),_xlfn.TEXTAFTER('Additional Videos-WUO_ERR'!A188, ":"))))</f>
        <v/>
      </c>
    </row>
    <row r="189">
      <c r="A189" s="38">
        <f>IF('Additional Videos'!B189 = "", "", IF('Additional Videos-WUO_ERR'!A189 = "", "Validated", HYPERLINK("#" &amp; ADDRESS(189, 'Additional Videos-WUO_TRK'!A189),_xlfn.TEXTAFTER('Additional Videos-WUO_ERR'!A189, ":"))))</f>
        <v/>
      </c>
    </row>
    <row r="190">
      <c r="A190" s="38">
        <f>IF('Additional Videos'!B190 = "", "", IF('Additional Videos-WUO_ERR'!A190 = "", "Validated", HYPERLINK("#" &amp; ADDRESS(190, 'Additional Videos-WUO_TRK'!A190),_xlfn.TEXTAFTER('Additional Videos-WUO_ERR'!A190, ":"))))</f>
        <v/>
      </c>
    </row>
    <row r="191">
      <c r="A191" s="38">
        <f>IF('Additional Videos'!B191 = "", "", IF('Additional Videos-WUO_ERR'!A191 = "", "Validated", HYPERLINK("#" &amp; ADDRESS(191, 'Additional Videos-WUO_TRK'!A191),_xlfn.TEXTAFTER('Additional Videos-WUO_ERR'!A191, ":"))))</f>
        <v/>
      </c>
    </row>
    <row r="192">
      <c r="A192" s="38">
        <f>IF('Additional Videos'!B192 = "", "", IF('Additional Videos-WUO_ERR'!A192 = "", "Validated", HYPERLINK("#" &amp; ADDRESS(192, 'Additional Videos-WUO_TRK'!A192),_xlfn.TEXTAFTER('Additional Videos-WUO_ERR'!A192, ":"))))</f>
        <v/>
      </c>
    </row>
    <row r="193">
      <c r="A193" s="38">
        <f>IF('Additional Videos'!B193 = "", "", IF('Additional Videos-WUO_ERR'!A193 = "", "Validated", HYPERLINK("#" &amp; ADDRESS(193, 'Additional Videos-WUO_TRK'!A193),_xlfn.TEXTAFTER('Additional Videos-WUO_ERR'!A193, ":"))))</f>
        <v/>
      </c>
    </row>
    <row r="194">
      <c r="A194" s="38">
        <f>IF('Additional Videos'!B194 = "", "", IF('Additional Videos-WUO_ERR'!A194 = "", "Validated", HYPERLINK("#" &amp; ADDRESS(194, 'Additional Videos-WUO_TRK'!A194),_xlfn.TEXTAFTER('Additional Videos-WUO_ERR'!A194, ":"))))</f>
        <v/>
      </c>
    </row>
    <row r="195">
      <c r="A195" s="38">
        <f>IF('Additional Videos'!B195 = "", "", IF('Additional Videos-WUO_ERR'!A195 = "", "Validated", HYPERLINK("#" &amp; ADDRESS(195, 'Additional Videos-WUO_TRK'!A195),_xlfn.TEXTAFTER('Additional Videos-WUO_ERR'!A195, ":"))))</f>
        <v/>
      </c>
    </row>
    <row r="196">
      <c r="A196" s="38">
        <f>IF('Additional Videos'!B196 = "", "", IF('Additional Videos-WUO_ERR'!A196 = "", "Validated", HYPERLINK("#" &amp; ADDRESS(196, 'Additional Videos-WUO_TRK'!A196),_xlfn.TEXTAFTER('Additional Videos-WUO_ERR'!A196, ":"))))</f>
        <v/>
      </c>
    </row>
    <row r="197">
      <c r="A197" s="38">
        <f>IF('Additional Videos'!B197 = "", "", IF('Additional Videos-WUO_ERR'!A197 = "", "Validated", HYPERLINK("#" &amp; ADDRESS(197, 'Additional Videos-WUO_TRK'!A197),_xlfn.TEXTAFTER('Additional Videos-WUO_ERR'!A197, ":"))))</f>
        <v/>
      </c>
    </row>
    <row r="198">
      <c r="A198" s="38">
        <f>IF('Additional Videos'!B198 = "", "", IF('Additional Videos-WUO_ERR'!A198 = "", "Validated", HYPERLINK("#" &amp; ADDRESS(198, 'Additional Videos-WUO_TRK'!A198),_xlfn.TEXTAFTER('Additional Videos-WUO_ERR'!A198, ":"))))</f>
        <v/>
      </c>
    </row>
    <row r="199">
      <c r="A199" s="38">
        <f>IF('Additional Videos'!B199 = "", "", IF('Additional Videos-WUO_ERR'!A199 = "", "Validated", HYPERLINK("#" &amp; ADDRESS(199, 'Additional Videos-WUO_TRK'!A199),_xlfn.TEXTAFTER('Additional Videos-WUO_ERR'!A199, ":"))))</f>
        <v/>
      </c>
    </row>
    <row r="200">
      <c r="A200" s="38">
        <f>IF('Additional Videos'!B200 = "", "", IF('Additional Videos-WUO_ERR'!A200 = "", "Validated", HYPERLINK("#" &amp; ADDRESS(200, 'Additional Videos-WUO_TRK'!A200),_xlfn.TEXTAFTER('Additional Videos-WUO_ERR'!A200, ":"))))</f>
        <v/>
      </c>
    </row>
    <row r="201">
      <c r="A201" s="38">
        <f>IF('Additional Videos'!B201 = "", "", IF('Additional Videos-WUO_ERR'!A201 = "", "Validated", HYPERLINK("#" &amp; ADDRESS(201, 'Additional Videos-WUO_TRK'!A201),_xlfn.TEXTAFTER('Additional Videos-WUO_ERR'!A201, ":"))))</f>
        <v/>
      </c>
    </row>
    <row r="202">
      <c r="A202" s="38">
        <f>IF('Additional Videos'!B202 = "", "", IF('Additional Videos-WUO_ERR'!A202 = "", "Validated", HYPERLINK("#" &amp; ADDRESS(202, 'Additional Videos-WUO_TRK'!A202),_xlfn.TEXTAFTER('Additional Videos-WUO_ERR'!A202, ":"))))</f>
        <v/>
      </c>
    </row>
    <row r="203">
      <c r="A203" s="38">
        <f>IF('Additional Videos'!B203 = "", "", IF('Additional Videos-WUO_ERR'!A203 = "", "Validated", HYPERLINK("#" &amp; ADDRESS(203, 'Additional Videos-WUO_TRK'!A203),_xlfn.TEXTAFTER('Additional Videos-WUO_ERR'!A203, ":"))))</f>
        <v/>
      </c>
    </row>
    <row r="204">
      <c r="A204" s="38">
        <f>IF('Additional Videos'!B204 = "", "", IF('Additional Videos-WUO_ERR'!A204 = "", "Validated", HYPERLINK("#" &amp; ADDRESS(204, 'Additional Videos-WUO_TRK'!A204),_xlfn.TEXTAFTER('Additional Videos-WUO_ERR'!A204, ":"))))</f>
        <v/>
      </c>
    </row>
    <row r="205">
      <c r="A205" s="38">
        <f>IF('Additional Videos'!B205 = "", "", IF('Additional Videos-WUO_ERR'!A205 = "", "Validated", HYPERLINK("#" &amp; ADDRESS(205, 'Additional Videos-WUO_TRK'!A205),_xlfn.TEXTAFTER('Additional Videos-WUO_ERR'!A205, ":"))))</f>
        <v/>
      </c>
    </row>
    <row r="206">
      <c r="A206" s="38">
        <f>IF('Additional Videos'!B206 = "", "", IF('Additional Videos-WUO_ERR'!A206 = "", "Validated", HYPERLINK("#" &amp; ADDRESS(206, 'Additional Videos-WUO_TRK'!A206),_xlfn.TEXTAFTER('Additional Videos-WUO_ERR'!A206, ":"))))</f>
        <v/>
      </c>
    </row>
    <row r="207">
      <c r="A207" s="38">
        <f>IF('Additional Videos'!B207 = "", "", IF('Additional Videos-WUO_ERR'!A207 = "", "Validated", HYPERLINK("#" &amp; ADDRESS(207, 'Additional Videos-WUO_TRK'!A207),_xlfn.TEXTAFTER('Additional Videos-WUO_ERR'!A207, ":"))))</f>
        <v/>
      </c>
    </row>
    <row r="208">
      <c r="A208" s="38">
        <f>IF('Additional Videos'!B208 = "", "", IF('Additional Videos-WUO_ERR'!A208 = "", "Validated", HYPERLINK("#" &amp; ADDRESS(208, 'Additional Videos-WUO_TRK'!A208),_xlfn.TEXTAFTER('Additional Videos-WUO_ERR'!A208, ":"))))</f>
        <v/>
      </c>
    </row>
    <row r="209">
      <c r="A209" s="38">
        <f>IF('Additional Videos'!B209 = "", "", IF('Additional Videos-WUO_ERR'!A209 = "", "Validated", HYPERLINK("#" &amp; ADDRESS(209, 'Additional Videos-WUO_TRK'!A209),_xlfn.TEXTAFTER('Additional Videos-WUO_ERR'!A209, ":"))))</f>
        <v/>
      </c>
    </row>
    <row r="210">
      <c r="A210" s="38">
        <f>IF('Additional Videos'!B210 = "", "", IF('Additional Videos-WUO_ERR'!A210 = "", "Validated", HYPERLINK("#" &amp; ADDRESS(210, 'Additional Videos-WUO_TRK'!A210),_xlfn.TEXTAFTER('Additional Videos-WUO_ERR'!A210, ":"))))</f>
        <v/>
      </c>
    </row>
    <row r="211">
      <c r="A211" s="38">
        <f>IF('Additional Videos'!B211 = "", "", IF('Additional Videos-WUO_ERR'!A211 = "", "Validated", HYPERLINK("#" &amp; ADDRESS(211, 'Additional Videos-WUO_TRK'!A211),_xlfn.TEXTAFTER('Additional Videos-WUO_ERR'!A211, ":"))))</f>
        <v/>
      </c>
    </row>
    <row r="212">
      <c r="A212" s="38">
        <f>IF('Additional Videos'!B212 = "", "", IF('Additional Videos-WUO_ERR'!A212 = "", "Validated", HYPERLINK("#" &amp; ADDRESS(212, 'Additional Videos-WUO_TRK'!A212),_xlfn.TEXTAFTER('Additional Videos-WUO_ERR'!A212, ":"))))</f>
        <v/>
      </c>
    </row>
    <row r="213">
      <c r="A213" s="38">
        <f>IF('Additional Videos'!B213 = "", "", IF('Additional Videos-WUO_ERR'!A213 = "", "Validated", HYPERLINK("#" &amp; ADDRESS(213, 'Additional Videos-WUO_TRK'!A213),_xlfn.TEXTAFTER('Additional Videos-WUO_ERR'!A213, ":"))))</f>
        <v/>
      </c>
    </row>
    <row r="214">
      <c r="A214" s="38">
        <f>IF('Additional Videos'!B214 = "", "", IF('Additional Videos-WUO_ERR'!A214 = "", "Validated", HYPERLINK("#" &amp; ADDRESS(214, 'Additional Videos-WUO_TRK'!A214),_xlfn.TEXTAFTER('Additional Videos-WUO_ERR'!A214, ":"))))</f>
        <v/>
      </c>
    </row>
    <row r="215">
      <c r="A215" s="38">
        <f>IF('Additional Videos'!B215 = "", "", IF('Additional Videos-WUO_ERR'!A215 = "", "Validated", HYPERLINK("#" &amp; ADDRESS(215, 'Additional Videos-WUO_TRK'!A215),_xlfn.TEXTAFTER('Additional Videos-WUO_ERR'!A215, ":"))))</f>
        <v/>
      </c>
    </row>
    <row r="216">
      <c r="A216" s="38">
        <f>IF('Additional Videos'!B216 = "", "", IF('Additional Videos-WUO_ERR'!A216 = "", "Validated", HYPERLINK("#" &amp; ADDRESS(216, 'Additional Videos-WUO_TRK'!A216),_xlfn.TEXTAFTER('Additional Videos-WUO_ERR'!A216, ":"))))</f>
        <v/>
      </c>
    </row>
    <row r="217">
      <c r="A217" s="38">
        <f>IF('Additional Videos'!B217 = "", "", IF('Additional Videos-WUO_ERR'!A217 = "", "Validated", HYPERLINK("#" &amp; ADDRESS(217, 'Additional Videos-WUO_TRK'!A217),_xlfn.TEXTAFTER('Additional Videos-WUO_ERR'!A217, ":"))))</f>
        <v/>
      </c>
    </row>
    <row r="218">
      <c r="A218" s="38">
        <f>IF('Additional Videos'!B218 = "", "", IF('Additional Videos-WUO_ERR'!A218 = "", "Validated", HYPERLINK("#" &amp; ADDRESS(218, 'Additional Videos-WUO_TRK'!A218),_xlfn.TEXTAFTER('Additional Videos-WUO_ERR'!A218, ":"))))</f>
        <v/>
      </c>
    </row>
    <row r="219">
      <c r="A219" s="38">
        <f>IF('Additional Videos'!B219 = "", "", IF('Additional Videos-WUO_ERR'!A219 = "", "Validated", HYPERLINK("#" &amp; ADDRESS(219, 'Additional Videos-WUO_TRK'!A219),_xlfn.TEXTAFTER('Additional Videos-WUO_ERR'!A219, ":"))))</f>
        <v/>
      </c>
    </row>
    <row r="220">
      <c r="A220" s="38">
        <f>IF('Additional Videos'!B220 = "", "", IF('Additional Videos-WUO_ERR'!A220 = "", "Validated", HYPERLINK("#" &amp; ADDRESS(220, 'Additional Videos-WUO_TRK'!A220),_xlfn.TEXTAFTER('Additional Videos-WUO_ERR'!A220, ":"))))</f>
        <v/>
      </c>
    </row>
    <row r="221">
      <c r="A221" s="38">
        <f>IF('Additional Videos'!B221 = "", "", IF('Additional Videos-WUO_ERR'!A221 = "", "Validated", HYPERLINK("#" &amp; ADDRESS(221, 'Additional Videos-WUO_TRK'!A221),_xlfn.TEXTAFTER('Additional Videos-WUO_ERR'!A221, ":"))))</f>
        <v/>
      </c>
    </row>
    <row r="222">
      <c r="A222" s="38">
        <f>IF('Additional Videos'!B222 = "", "", IF('Additional Videos-WUO_ERR'!A222 = "", "Validated", HYPERLINK("#" &amp; ADDRESS(222, 'Additional Videos-WUO_TRK'!A222),_xlfn.TEXTAFTER('Additional Videos-WUO_ERR'!A222, ":"))))</f>
        <v/>
      </c>
    </row>
    <row r="223">
      <c r="A223" s="38">
        <f>IF('Additional Videos'!B223 = "", "", IF('Additional Videos-WUO_ERR'!A223 = "", "Validated", HYPERLINK("#" &amp; ADDRESS(223, 'Additional Videos-WUO_TRK'!A223),_xlfn.TEXTAFTER('Additional Videos-WUO_ERR'!A223, ":"))))</f>
        <v/>
      </c>
    </row>
    <row r="224">
      <c r="A224" s="38">
        <f>IF('Additional Videos'!B224 = "", "", IF('Additional Videos-WUO_ERR'!A224 = "", "Validated", HYPERLINK("#" &amp; ADDRESS(224, 'Additional Videos-WUO_TRK'!A224),_xlfn.TEXTAFTER('Additional Videos-WUO_ERR'!A224, ":"))))</f>
        <v/>
      </c>
    </row>
    <row r="225">
      <c r="A225" s="38">
        <f>IF('Additional Videos'!B225 = "", "", IF('Additional Videos-WUO_ERR'!A225 = "", "Validated", HYPERLINK("#" &amp; ADDRESS(225, 'Additional Videos-WUO_TRK'!A225),_xlfn.TEXTAFTER('Additional Videos-WUO_ERR'!A225, ":"))))</f>
        <v/>
      </c>
    </row>
    <row r="226">
      <c r="A226" s="38">
        <f>IF('Additional Videos'!B226 = "", "", IF('Additional Videos-WUO_ERR'!A226 = "", "Validated", HYPERLINK("#" &amp; ADDRESS(226, 'Additional Videos-WUO_TRK'!A226),_xlfn.TEXTAFTER('Additional Videos-WUO_ERR'!A226, ":"))))</f>
        <v/>
      </c>
    </row>
    <row r="227">
      <c r="A227" s="38">
        <f>IF('Additional Videos'!B227 = "", "", IF('Additional Videos-WUO_ERR'!A227 = "", "Validated", HYPERLINK("#" &amp; ADDRESS(227, 'Additional Videos-WUO_TRK'!A227),_xlfn.TEXTAFTER('Additional Videos-WUO_ERR'!A227, ":"))))</f>
        <v/>
      </c>
    </row>
    <row r="228">
      <c r="A228" s="38">
        <f>IF('Additional Videos'!B228 = "", "", IF('Additional Videos-WUO_ERR'!A228 = "", "Validated", HYPERLINK("#" &amp; ADDRESS(228, 'Additional Videos-WUO_TRK'!A228),_xlfn.TEXTAFTER('Additional Videos-WUO_ERR'!A228, ":"))))</f>
        <v/>
      </c>
    </row>
    <row r="229">
      <c r="A229" s="38">
        <f>IF('Additional Videos'!B229 = "", "", IF('Additional Videos-WUO_ERR'!A229 = "", "Validated", HYPERLINK("#" &amp; ADDRESS(229, 'Additional Videos-WUO_TRK'!A229),_xlfn.TEXTAFTER('Additional Videos-WUO_ERR'!A229, ":"))))</f>
        <v/>
      </c>
    </row>
    <row r="230">
      <c r="A230" s="38">
        <f>IF('Additional Videos'!B230 = "", "", IF('Additional Videos-WUO_ERR'!A230 = "", "Validated", HYPERLINK("#" &amp; ADDRESS(230, 'Additional Videos-WUO_TRK'!A230),_xlfn.TEXTAFTER('Additional Videos-WUO_ERR'!A230, ":"))))</f>
        <v/>
      </c>
    </row>
    <row r="231">
      <c r="A231" s="38">
        <f>IF('Additional Videos'!B231 = "", "", IF('Additional Videos-WUO_ERR'!A231 = "", "Validated", HYPERLINK("#" &amp; ADDRESS(231, 'Additional Videos-WUO_TRK'!A231),_xlfn.TEXTAFTER('Additional Videos-WUO_ERR'!A231, ":"))))</f>
        <v/>
      </c>
    </row>
    <row r="232">
      <c r="A232" s="38">
        <f>IF('Additional Videos'!B232 = "", "", IF('Additional Videos-WUO_ERR'!A232 = "", "Validated", HYPERLINK("#" &amp; ADDRESS(232, 'Additional Videos-WUO_TRK'!A232),_xlfn.TEXTAFTER('Additional Videos-WUO_ERR'!A232, ":"))))</f>
        <v/>
      </c>
    </row>
    <row r="233">
      <c r="A233" s="38">
        <f>IF('Additional Videos'!B233 = "", "", IF('Additional Videos-WUO_ERR'!A233 = "", "Validated", HYPERLINK("#" &amp; ADDRESS(233, 'Additional Videos-WUO_TRK'!A233),_xlfn.TEXTAFTER('Additional Videos-WUO_ERR'!A233, ":"))))</f>
        <v/>
      </c>
    </row>
    <row r="234">
      <c r="A234" s="38">
        <f>IF('Additional Videos'!B234 = "", "", IF('Additional Videos-WUO_ERR'!A234 = "", "Validated", HYPERLINK("#" &amp; ADDRESS(234, 'Additional Videos-WUO_TRK'!A234),_xlfn.TEXTAFTER('Additional Videos-WUO_ERR'!A234, ":"))))</f>
        <v/>
      </c>
    </row>
    <row r="235">
      <c r="A235" s="38">
        <f>IF('Additional Videos'!B235 = "", "", IF('Additional Videos-WUO_ERR'!A235 = "", "Validated", HYPERLINK("#" &amp; ADDRESS(235, 'Additional Videos-WUO_TRK'!A235),_xlfn.TEXTAFTER('Additional Videos-WUO_ERR'!A235, ":"))))</f>
        <v/>
      </c>
    </row>
    <row r="236">
      <c r="A236" s="38">
        <f>IF('Additional Videos'!B236 = "", "", IF('Additional Videos-WUO_ERR'!A236 = "", "Validated", HYPERLINK("#" &amp; ADDRESS(236, 'Additional Videos-WUO_TRK'!A236),_xlfn.TEXTAFTER('Additional Videos-WUO_ERR'!A236, ":"))))</f>
        <v/>
      </c>
    </row>
    <row r="237">
      <c r="A237" s="38">
        <f>IF('Additional Videos'!B237 = "", "", IF('Additional Videos-WUO_ERR'!A237 = "", "Validated", HYPERLINK("#" &amp; ADDRESS(237, 'Additional Videos-WUO_TRK'!A237),_xlfn.TEXTAFTER('Additional Videos-WUO_ERR'!A237, ":"))))</f>
        <v/>
      </c>
    </row>
    <row r="238">
      <c r="A238" s="38">
        <f>IF('Additional Videos'!B238 = "", "", IF('Additional Videos-WUO_ERR'!A238 = "", "Validated", HYPERLINK("#" &amp; ADDRESS(238, 'Additional Videos-WUO_TRK'!A238),_xlfn.TEXTAFTER('Additional Videos-WUO_ERR'!A238, ":"))))</f>
        <v/>
      </c>
    </row>
    <row r="239">
      <c r="A239" s="38">
        <f>IF('Additional Videos'!B239 = "", "", IF('Additional Videos-WUO_ERR'!A239 = "", "Validated", HYPERLINK("#" &amp; ADDRESS(239, 'Additional Videos-WUO_TRK'!A239),_xlfn.TEXTAFTER('Additional Videos-WUO_ERR'!A239, ":"))))</f>
        <v/>
      </c>
    </row>
    <row r="240">
      <c r="A240" s="38">
        <f>IF('Additional Videos'!B240 = "", "", IF('Additional Videos-WUO_ERR'!A240 = "", "Validated", HYPERLINK("#" &amp; ADDRESS(240, 'Additional Videos-WUO_TRK'!A240),_xlfn.TEXTAFTER('Additional Videos-WUO_ERR'!A240, ":"))))</f>
        <v/>
      </c>
    </row>
    <row r="241">
      <c r="A241" s="38">
        <f>IF('Additional Videos'!B241 = "", "", IF('Additional Videos-WUO_ERR'!A241 = "", "Validated", HYPERLINK("#" &amp; ADDRESS(241, 'Additional Videos-WUO_TRK'!A241),_xlfn.TEXTAFTER('Additional Videos-WUO_ERR'!A241, ":"))))</f>
        <v/>
      </c>
    </row>
    <row r="242">
      <c r="A242" s="38">
        <f>IF('Additional Videos'!B242 = "", "", IF('Additional Videos-WUO_ERR'!A242 = "", "Validated", HYPERLINK("#" &amp; ADDRESS(242, 'Additional Videos-WUO_TRK'!A242),_xlfn.TEXTAFTER('Additional Videos-WUO_ERR'!A242, ":"))))</f>
        <v/>
      </c>
    </row>
    <row r="243">
      <c r="A243" s="38">
        <f>IF('Additional Videos'!B243 = "", "", IF('Additional Videos-WUO_ERR'!A243 = "", "Validated", HYPERLINK("#" &amp; ADDRESS(243, 'Additional Videos-WUO_TRK'!A243),_xlfn.TEXTAFTER('Additional Videos-WUO_ERR'!A243, ":"))))</f>
        <v/>
      </c>
    </row>
    <row r="244">
      <c r="A244" s="38">
        <f>IF('Additional Videos'!B244 = "", "", IF('Additional Videos-WUO_ERR'!A244 = "", "Validated", HYPERLINK("#" &amp; ADDRESS(244, 'Additional Videos-WUO_TRK'!A244),_xlfn.TEXTAFTER('Additional Videos-WUO_ERR'!A244, ":"))))</f>
        <v/>
      </c>
    </row>
    <row r="245">
      <c r="A245" s="38">
        <f>IF('Additional Videos'!B245 = "", "", IF('Additional Videos-WUO_ERR'!A245 = "", "Validated", HYPERLINK("#" &amp; ADDRESS(245, 'Additional Videos-WUO_TRK'!A245),_xlfn.TEXTAFTER('Additional Videos-WUO_ERR'!A245, ":"))))</f>
        <v/>
      </c>
    </row>
    <row r="246">
      <c r="A246" s="38">
        <f>IF('Additional Videos'!B246 = "", "", IF('Additional Videos-WUO_ERR'!A246 = "", "Validated", HYPERLINK("#" &amp; ADDRESS(246, 'Additional Videos-WUO_TRK'!A246),_xlfn.TEXTAFTER('Additional Videos-WUO_ERR'!A246, ":"))))</f>
        <v/>
      </c>
    </row>
    <row r="247">
      <c r="A247" s="38">
        <f>IF('Additional Videos'!B247 = "", "", IF('Additional Videos-WUO_ERR'!A247 = "", "Validated", HYPERLINK("#" &amp; ADDRESS(247, 'Additional Videos-WUO_TRK'!A247),_xlfn.TEXTAFTER('Additional Videos-WUO_ERR'!A247, ":"))))</f>
        <v/>
      </c>
    </row>
    <row r="248">
      <c r="A248" s="38">
        <f>IF('Additional Videos'!B248 = "", "", IF('Additional Videos-WUO_ERR'!A248 = "", "Validated", HYPERLINK("#" &amp; ADDRESS(248, 'Additional Videos-WUO_TRK'!A248),_xlfn.TEXTAFTER('Additional Videos-WUO_ERR'!A248, ":"))))</f>
        <v/>
      </c>
    </row>
    <row r="249">
      <c r="A249" s="38">
        <f>IF('Additional Videos'!B249 = "", "", IF('Additional Videos-WUO_ERR'!A249 = "", "Validated", HYPERLINK("#" &amp; ADDRESS(249, 'Additional Videos-WUO_TRK'!A249),_xlfn.TEXTAFTER('Additional Videos-WUO_ERR'!A249, ":"))))</f>
        <v/>
      </c>
    </row>
    <row r="250">
      <c r="A250" s="38">
        <f>IF('Additional Videos'!B250 = "", "", IF('Additional Videos-WUO_ERR'!A250 = "", "Validated", HYPERLINK("#" &amp; ADDRESS(250, 'Additional Videos-WUO_TRK'!A250),_xlfn.TEXTAFTER('Additional Videos-WUO_ERR'!A250, ":"))))</f>
        <v/>
      </c>
    </row>
    <row r="251">
      <c r="A251" s="38">
        <f>IF('Additional Videos'!B251 = "", "", IF('Additional Videos-WUO_ERR'!A251 = "", "Validated", HYPERLINK("#" &amp; ADDRESS(251, 'Additional Videos-WUO_TRK'!A251),_xlfn.TEXTAFTER('Additional Videos-WUO_ERR'!A251, ":"))))</f>
        <v/>
      </c>
    </row>
    <row r="252">
      <c r="A252" s="38">
        <f>IF('Additional Videos'!B252 = "", "", IF('Additional Videos-WUO_ERR'!A252 = "", "Validated", HYPERLINK("#" &amp; ADDRESS(252, 'Additional Videos-WUO_TRK'!A252),_xlfn.TEXTAFTER('Additional Videos-WUO_ERR'!A252, ":"))))</f>
        <v/>
      </c>
    </row>
    <row r="253">
      <c r="A253" s="38">
        <f>IF('Additional Videos'!B253 = "", "", IF('Additional Videos-WUO_ERR'!A253 = "", "Validated", HYPERLINK("#" &amp; ADDRESS(253, 'Additional Videos-WUO_TRK'!A253),_xlfn.TEXTAFTER('Additional Videos-WUO_ERR'!A253, ":"))))</f>
        <v/>
      </c>
    </row>
    <row r="254">
      <c r="A254" s="38">
        <f>IF('Additional Videos'!B254 = "", "", IF('Additional Videos-WUO_ERR'!A254 = "", "Validated", HYPERLINK("#" &amp; ADDRESS(254, 'Additional Videos-WUO_TRK'!A254),_xlfn.TEXTAFTER('Additional Videos-WUO_ERR'!A254, ":"))))</f>
        <v/>
      </c>
    </row>
    <row r="255">
      <c r="A255" s="38">
        <f>IF('Additional Videos'!B255 = "", "", IF('Additional Videos-WUO_ERR'!A255 = "", "Validated", HYPERLINK("#" &amp; ADDRESS(255, 'Additional Videos-WUO_TRK'!A255),_xlfn.TEXTAFTER('Additional Videos-WUO_ERR'!A255, ":"))))</f>
        <v/>
      </c>
    </row>
    <row r="256">
      <c r="A256" s="38">
        <f>IF('Additional Videos'!B256 = "", "", IF('Additional Videos-WUO_ERR'!A256 = "", "Validated", HYPERLINK("#" &amp; ADDRESS(256, 'Additional Videos-WUO_TRK'!A256),_xlfn.TEXTAFTER('Additional Videos-WUO_ERR'!A256, ":"))))</f>
        <v/>
      </c>
    </row>
    <row r="257">
      <c r="A257" s="38">
        <f>IF('Additional Videos'!B257 = "", "", IF('Additional Videos-WUO_ERR'!A257 = "", "Validated", HYPERLINK("#" &amp; ADDRESS(257, 'Additional Videos-WUO_TRK'!A257),_xlfn.TEXTAFTER('Additional Videos-WUO_ERR'!A257, ":"))))</f>
        <v/>
      </c>
    </row>
    <row r="258">
      <c r="A258" s="38">
        <f>IF('Additional Videos'!B258 = "", "", IF('Additional Videos-WUO_ERR'!A258 = "", "Validated", HYPERLINK("#" &amp; ADDRESS(258, 'Additional Videos-WUO_TRK'!A258),_xlfn.TEXTAFTER('Additional Videos-WUO_ERR'!A258, ":"))))</f>
        <v/>
      </c>
    </row>
    <row r="259">
      <c r="A259" s="38">
        <f>IF('Additional Videos'!B259 = "", "", IF('Additional Videos-WUO_ERR'!A259 = "", "Validated", HYPERLINK("#" &amp; ADDRESS(259, 'Additional Videos-WUO_TRK'!A259),_xlfn.TEXTAFTER('Additional Videos-WUO_ERR'!A259, ":"))))</f>
        <v/>
      </c>
    </row>
    <row r="260">
      <c r="A260" s="38">
        <f>IF('Additional Videos'!B260 = "", "", IF('Additional Videos-WUO_ERR'!A260 = "", "Validated", HYPERLINK("#" &amp; ADDRESS(260, 'Additional Videos-WUO_TRK'!A260),_xlfn.TEXTAFTER('Additional Videos-WUO_ERR'!A260, ":"))))</f>
        <v/>
      </c>
    </row>
    <row r="261">
      <c r="A261" s="38">
        <f>IF('Additional Videos'!B261 = "", "", IF('Additional Videos-WUO_ERR'!A261 = "", "Validated", HYPERLINK("#" &amp; ADDRESS(261, 'Additional Videos-WUO_TRK'!A261),_xlfn.TEXTAFTER('Additional Videos-WUO_ERR'!A261, ":"))))</f>
        <v/>
      </c>
    </row>
    <row r="262">
      <c r="A262" s="38">
        <f>IF('Additional Videos'!B262 = "", "", IF('Additional Videos-WUO_ERR'!A262 = "", "Validated", HYPERLINK("#" &amp; ADDRESS(262, 'Additional Videos-WUO_TRK'!A262),_xlfn.TEXTAFTER('Additional Videos-WUO_ERR'!A262, ":"))))</f>
        <v/>
      </c>
    </row>
    <row r="263">
      <c r="A263" s="38">
        <f>IF('Additional Videos'!B263 = "", "", IF('Additional Videos-WUO_ERR'!A263 = "", "Validated", HYPERLINK("#" &amp; ADDRESS(263, 'Additional Videos-WUO_TRK'!A263),_xlfn.TEXTAFTER('Additional Videos-WUO_ERR'!A263, ":"))))</f>
        <v/>
      </c>
    </row>
    <row r="264">
      <c r="A264" s="38">
        <f>IF('Additional Videos'!B264 = "", "", IF('Additional Videos-WUO_ERR'!A264 = "", "Validated", HYPERLINK("#" &amp; ADDRESS(264, 'Additional Videos-WUO_TRK'!A264),_xlfn.TEXTAFTER('Additional Videos-WUO_ERR'!A264, ":"))))</f>
        <v/>
      </c>
    </row>
    <row r="265">
      <c r="A265" s="38">
        <f>IF('Additional Videos'!B265 = "", "", IF('Additional Videos-WUO_ERR'!A265 = "", "Validated", HYPERLINK("#" &amp; ADDRESS(265, 'Additional Videos-WUO_TRK'!A265),_xlfn.TEXTAFTER('Additional Videos-WUO_ERR'!A265, ":"))))</f>
        <v/>
      </c>
    </row>
    <row r="266">
      <c r="A266" s="38">
        <f>IF('Additional Videos'!B266 = "", "", IF('Additional Videos-WUO_ERR'!A266 = "", "Validated", HYPERLINK("#" &amp; ADDRESS(266, 'Additional Videos-WUO_TRK'!A266),_xlfn.TEXTAFTER('Additional Videos-WUO_ERR'!A266, ":"))))</f>
        <v/>
      </c>
    </row>
    <row r="267">
      <c r="A267" s="38">
        <f>IF('Additional Videos'!B267 = "", "", IF('Additional Videos-WUO_ERR'!A267 = "", "Validated", HYPERLINK("#" &amp; ADDRESS(267, 'Additional Videos-WUO_TRK'!A267),_xlfn.TEXTAFTER('Additional Videos-WUO_ERR'!A267, ":"))))</f>
        <v/>
      </c>
    </row>
    <row r="268">
      <c r="A268" s="38">
        <f>IF('Additional Videos'!B268 = "", "", IF('Additional Videos-WUO_ERR'!A268 = "", "Validated", HYPERLINK("#" &amp; ADDRESS(268, 'Additional Videos-WUO_TRK'!A268),_xlfn.TEXTAFTER('Additional Videos-WUO_ERR'!A268, ":"))))</f>
        <v/>
      </c>
    </row>
    <row r="269">
      <c r="A269" s="38">
        <f>IF('Additional Videos'!B269 = "", "", IF('Additional Videos-WUO_ERR'!A269 = "", "Validated", HYPERLINK("#" &amp; ADDRESS(269, 'Additional Videos-WUO_TRK'!A269),_xlfn.TEXTAFTER('Additional Videos-WUO_ERR'!A269, ":"))))</f>
        <v/>
      </c>
    </row>
    <row r="270">
      <c r="A270" s="38">
        <f>IF('Additional Videos'!B270 = "", "", IF('Additional Videos-WUO_ERR'!A270 = "", "Validated", HYPERLINK("#" &amp; ADDRESS(270, 'Additional Videos-WUO_TRK'!A270),_xlfn.TEXTAFTER('Additional Videos-WUO_ERR'!A270, ":"))))</f>
        <v/>
      </c>
    </row>
    <row r="271">
      <c r="A271" s="38">
        <f>IF('Additional Videos'!B271 = "", "", IF('Additional Videos-WUO_ERR'!A271 = "", "Validated", HYPERLINK("#" &amp; ADDRESS(271, 'Additional Videos-WUO_TRK'!A271),_xlfn.TEXTAFTER('Additional Videos-WUO_ERR'!A271, ":"))))</f>
        <v/>
      </c>
    </row>
    <row r="272">
      <c r="A272" s="38">
        <f>IF('Additional Videos'!B272 = "", "", IF('Additional Videos-WUO_ERR'!A272 = "", "Validated", HYPERLINK("#" &amp; ADDRESS(272, 'Additional Videos-WUO_TRK'!A272),_xlfn.TEXTAFTER('Additional Videos-WUO_ERR'!A272, ":"))))</f>
        <v/>
      </c>
    </row>
    <row r="273">
      <c r="A273" s="38">
        <f>IF('Additional Videos'!B273 = "", "", IF('Additional Videos-WUO_ERR'!A273 = "", "Validated", HYPERLINK("#" &amp; ADDRESS(273, 'Additional Videos-WUO_TRK'!A273),_xlfn.TEXTAFTER('Additional Videos-WUO_ERR'!A273, ":"))))</f>
        <v/>
      </c>
    </row>
    <row r="274">
      <c r="A274" s="38">
        <f>IF('Additional Videos'!B274 = "", "", IF('Additional Videos-WUO_ERR'!A274 = "", "Validated", HYPERLINK("#" &amp; ADDRESS(274, 'Additional Videos-WUO_TRK'!A274),_xlfn.TEXTAFTER('Additional Videos-WUO_ERR'!A274, ":"))))</f>
        <v/>
      </c>
    </row>
    <row r="275">
      <c r="A275" s="38">
        <f>IF('Additional Videos'!B275 = "", "", IF('Additional Videos-WUO_ERR'!A275 = "", "Validated", HYPERLINK("#" &amp; ADDRESS(275, 'Additional Videos-WUO_TRK'!A275),_xlfn.TEXTAFTER('Additional Videos-WUO_ERR'!A275, ":"))))</f>
        <v/>
      </c>
    </row>
    <row r="276">
      <c r="A276" s="38">
        <f>IF('Additional Videos'!B276 = "", "", IF('Additional Videos-WUO_ERR'!A276 = "", "Validated", HYPERLINK("#" &amp; ADDRESS(276, 'Additional Videos-WUO_TRK'!A276),_xlfn.TEXTAFTER('Additional Videos-WUO_ERR'!A276, ":"))))</f>
        <v/>
      </c>
    </row>
    <row r="277">
      <c r="A277" s="38">
        <f>IF('Additional Videos'!B277 = "", "", IF('Additional Videos-WUO_ERR'!A277 = "", "Validated", HYPERLINK("#" &amp; ADDRESS(277, 'Additional Videos-WUO_TRK'!A277),_xlfn.TEXTAFTER('Additional Videos-WUO_ERR'!A277, ":"))))</f>
        <v/>
      </c>
    </row>
    <row r="278">
      <c r="A278" s="38">
        <f>IF('Additional Videos'!B278 = "", "", IF('Additional Videos-WUO_ERR'!A278 = "", "Validated", HYPERLINK("#" &amp; ADDRESS(278, 'Additional Videos-WUO_TRK'!A278),_xlfn.TEXTAFTER('Additional Videos-WUO_ERR'!A278, ":"))))</f>
        <v/>
      </c>
    </row>
    <row r="279">
      <c r="A279" s="38">
        <f>IF('Additional Videos'!B279 = "", "", IF('Additional Videos-WUO_ERR'!A279 = "", "Validated", HYPERLINK("#" &amp; ADDRESS(279, 'Additional Videos-WUO_TRK'!A279),_xlfn.TEXTAFTER('Additional Videos-WUO_ERR'!A279, ":"))))</f>
        <v/>
      </c>
    </row>
    <row r="280">
      <c r="A280" s="38">
        <f>IF('Additional Videos'!B280 = "", "", IF('Additional Videos-WUO_ERR'!A280 = "", "Validated", HYPERLINK("#" &amp; ADDRESS(280, 'Additional Videos-WUO_TRK'!A280),_xlfn.TEXTAFTER('Additional Videos-WUO_ERR'!A280, ":"))))</f>
        <v/>
      </c>
    </row>
    <row r="281">
      <c r="A281" s="38">
        <f>IF('Additional Videos'!B281 = "", "", IF('Additional Videos-WUO_ERR'!A281 = "", "Validated", HYPERLINK("#" &amp; ADDRESS(281, 'Additional Videos-WUO_TRK'!A281),_xlfn.TEXTAFTER('Additional Videos-WUO_ERR'!A281, ":"))))</f>
        <v/>
      </c>
    </row>
    <row r="282">
      <c r="A282" s="38">
        <f>IF('Additional Videos'!B282 = "", "", IF('Additional Videos-WUO_ERR'!A282 = "", "Validated", HYPERLINK("#" &amp; ADDRESS(282, 'Additional Videos-WUO_TRK'!A282),_xlfn.TEXTAFTER('Additional Videos-WUO_ERR'!A282, ":"))))</f>
        <v/>
      </c>
    </row>
    <row r="283">
      <c r="A283" s="38">
        <f>IF('Additional Videos'!B283 = "", "", IF('Additional Videos-WUO_ERR'!A283 = "", "Validated", HYPERLINK("#" &amp; ADDRESS(283, 'Additional Videos-WUO_TRK'!A283),_xlfn.TEXTAFTER('Additional Videos-WUO_ERR'!A283, ":"))))</f>
        <v/>
      </c>
    </row>
    <row r="284">
      <c r="A284" s="38">
        <f>IF('Additional Videos'!B284 = "", "", IF('Additional Videos-WUO_ERR'!A284 = "", "Validated", HYPERLINK("#" &amp; ADDRESS(284, 'Additional Videos-WUO_TRK'!A284),_xlfn.TEXTAFTER('Additional Videos-WUO_ERR'!A284, ":"))))</f>
        <v/>
      </c>
    </row>
    <row r="285">
      <c r="A285" s="38">
        <f>IF('Additional Videos'!B285 = "", "", IF('Additional Videos-WUO_ERR'!A285 = "", "Validated", HYPERLINK("#" &amp; ADDRESS(285, 'Additional Videos-WUO_TRK'!A285),_xlfn.TEXTAFTER('Additional Videos-WUO_ERR'!A285, ":"))))</f>
        <v/>
      </c>
    </row>
    <row r="286">
      <c r="A286" s="38">
        <f>IF('Additional Videos'!B286 = "", "", IF('Additional Videos-WUO_ERR'!A286 = "", "Validated", HYPERLINK("#" &amp; ADDRESS(286, 'Additional Videos-WUO_TRK'!A286),_xlfn.TEXTAFTER('Additional Videos-WUO_ERR'!A286, ":"))))</f>
        <v/>
      </c>
    </row>
    <row r="287">
      <c r="A287" s="38">
        <f>IF('Additional Videos'!B287 = "", "", IF('Additional Videos-WUO_ERR'!A287 = "", "Validated", HYPERLINK("#" &amp; ADDRESS(287, 'Additional Videos-WUO_TRK'!A287),_xlfn.TEXTAFTER('Additional Videos-WUO_ERR'!A287, ":"))))</f>
        <v/>
      </c>
    </row>
    <row r="288">
      <c r="A288" s="38">
        <f>IF('Additional Videos'!B288 = "", "", IF('Additional Videos-WUO_ERR'!A288 = "", "Validated", HYPERLINK("#" &amp; ADDRESS(288, 'Additional Videos-WUO_TRK'!A288),_xlfn.TEXTAFTER('Additional Videos-WUO_ERR'!A288, ":"))))</f>
        <v/>
      </c>
    </row>
    <row r="289">
      <c r="A289" s="38">
        <f>IF('Additional Videos'!B289 = "", "", IF('Additional Videos-WUO_ERR'!A289 = "", "Validated", HYPERLINK("#" &amp; ADDRESS(289, 'Additional Videos-WUO_TRK'!A289),_xlfn.TEXTAFTER('Additional Videos-WUO_ERR'!A289, ":"))))</f>
        <v/>
      </c>
    </row>
    <row r="290">
      <c r="A290" s="38">
        <f>IF('Additional Videos'!B290 = "", "", IF('Additional Videos-WUO_ERR'!A290 = "", "Validated", HYPERLINK("#" &amp; ADDRESS(290, 'Additional Videos-WUO_TRK'!A290),_xlfn.TEXTAFTER('Additional Videos-WUO_ERR'!A290, ":"))))</f>
        <v/>
      </c>
    </row>
    <row r="291">
      <c r="A291" s="38">
        <f>IF('Additional Videos'!B291 = "", "", IF('Additional Videos-WUO_ERR'!A291 = "", "Validated", HYPERLINK("#" &amp; ADDRESS(291, 'Additional Videos-WUO_TRK'!A291),_xlfn.TEXTAFTER('Additional Videos-WUO_ERR'!A291, ":"))))</f>
        <v/>
      </c>
    </row>
    <row r="292">
      <c r="A292" s="38">
        <f>IF('Additional Videos'!B292 = "", "", IF('Additional Videos-WUO_ERR'!A292 = "", "Validated", HYPERLINK("#" &amp; ADDRESS(292, 'Additional Videos-WUO_TRK'!A292),_xlfn.TEXTAFTER('Additional Videos-WUO_ERR'!A292, ":"))))</f>
        <v/>
      </c>
    </row>
    <row r="293">
      <c r="A293" s="38">
        <f>IF('Additional Videos'!B293 = "", "", IF('Additional Videos-WUO_ERR'!A293 = "", "Validated", HYPERLINK("#" &amp; ADDRESS(293, 'Additional Videos-WUO_TRK'!A293),_xlfn.TEXTAFTER('Additional Videos-WUO_ERR'!A293, ":"))))</f>
        <v/>
      </c>
    </row>
    <row r="294">
      <c r="A294" s="38">
        <f>IF('Additional Videos'!B294 = "", "", IF('Additional Videos-WUO_ERR'!A294 = "", "Validated", HYPERLINK("#" &amp; ADDRESS(294, 'Additional Videos-WUO_TRK'!A294),_xlfn.TEXTAFTER('Additional Videos-WUO_ERR'!A294, ":"))))</f>
        <v/>
      </c>
    </row>
    <row r="295">
      <c r="A295" s="38">
        <f>IF('Additional Videos'!B295 = "", "", IF('Additional Videos-WUO_ERR'!A295 = "", "Validated", HYPERLINK("#" &amp; ADDRESS(295, 'Additional Videos-WUO_TRK'!A295),_xlfn.TEXTAFTER('Additional Videos-WUO_ERR'!A295, ":"))))</f>
        <v/>
      </c>
    </row>
    <row r="296">
      <c r="A296" s="38">
        <f>IF('Additional Videos'!B296 = "", "", IF('Additional Videos-WUO_ERR'!A296 = "", "Validated", HYPERLINK("#" &amp; ADDRESS(296, 'Additional Videos-WUO_TRK'!A296),_xlfn.TEXTAFTER('Additional Videos-WUO_ERR'!A296, ":"))))</f>
        <v/>
      </c>
    </row>
    <row r="297">
      <c r="A297" s="38">
        <f>IF('Additional Videos'!B297 = "", "", IF('Additional Videos-WUO_ERR'!A297 = "", "Validated", HYPERLINK("#" &amp; ADDRESS(297, 'Additional Videos-WUO_TRK'!A297),_xlfn.TEXTAFTER('Additional Videos-WUO_ERR'!A297, ":"))))</f>
        <v/>
      </c>
    </row>
    <row r="298">
      <c r="A298" s="38">
        <f>IF('Additional Videos'!B298 = "", "", IF('Additional Videos-WUO_ERR'!A298 = "", "Validated", HYPERLINK("#" &amp; ADDRESS(298, 'Additional Videos-WUO_TRK'!A298),_xlfn.TEXTAFTER('Additional Videos-WUO_ERR'!A298, ":"))))</f>
        <v/>
      </c>
    </row>
    <row r="299">
      <c r="A299" s="38">
        <f>IF('Additional Videos'!B299 = "", "", IF('Additional Videos-WUO_ERR'!A299 = "", "Validated", HYPERLINK("#" &amp; ADDRESS(299, 'Additional Videos-WUO_TRK'!A299),_xlfn.TEXTAFTER('Additional Videos-WUO_ERR'!A299, ":"))))</f>
        <v/>
      </c>
    </row>
    <row r="300">
      <c r="A300" s="38">
        <f>IF('Additional Videos'!B300 = "", "", IF('Additional Videos-WUO_ERR'!A300 = "", "Validated", HYPERLINK("#" &amp; ADDRESS(300, 'Additional Videos-WUO_TRK'!A300),_xlfn.TEXTAFTER('Additional Videos-WUO_ERR'!A300, ":"))))</f>
        <v/>
      </c>
    </row>
    <row r="301">
      <c r="A301" s="38">
        <f>IF('Additional Videos'!B301 = "", "", IF('Additional Videos-WUO_ERR'!A301 = "", "Validated", HYPERLINK("#" &amp; ADDRESS(301, 'Additional Videos-WUO_TRK'!A301),_xlfn.TEXTAFTER('Additional Videos-WUO_ERR'!A301, ":"))))</f>
        <v/>
      </c>
    </row>
    <row r="302">
      <c r="A302" s="38">
        <f>IF('Additional Videos'!B302 = "", "", IF('Additional Videos-WUO_ERR'!A302 = "", "Validated", HYPERLINK("#" &amp; ADDRESS(302, 'Additional Videos-WUO_TRK'!A302),_xlfn.TEXTAFTER('Additional Videos-WUO_ERR'!A302, ":"))))</f>
        <v/>
      </c>
    </row>
    <row r="303">
      <c r="A303" s="38">
        <f>IF('Additional Videos'!B303 = "", "", IF('Additional Videos-WUO_ERR'!A303 = "", "Validated", HYPERLINK("#" &amp; ADDRESS(303, 'Additional Videos-WUO_TRK'!A303),_xlfn.TEXTAFTER('Additional Videos-WUO_ERR'!A303, ":"))))</f>
        <v/>
      </c>
    </row>
    <row r="304">
      <c r="A304" s="38">
        <f>IF('Additional Videos'!B304 = "", "", IF('Additional Videos-WUO_ERR'!A304 = "", "Validated", HYPERLINK("#" &amp; ADDRESS(304, 'Additional Videos-WUO_TRK'!A304),_xlfn.TEXTAFTER('Additional Videos-WUO_ERR'!A304, ":"))))</f>
        <v/>
      </c>
    </row>
    <row r="305">
      <c r="A305" s="38">
        <f>IF('Additional Videos'!B305 = "", "", IF('Additional Videos-WUO_ERR'!A305 = "", "Validated", HYPERLINK("#" &amp; ADDRESS(305, 'Additional Videos-WUO_TRK'!A305),_xlfn.TEXTAFTER('Additional Videos-WUO_ERR'!A305, ":"))))</f>
        <v/>
      </c>
    </row>
    <row r="306">
      <c r="A306" s="38">
        <f>IF('Additional Videos'!B306 = "", "", IF('Additional Videos-WUO_ERR'!A306 = "", "Validated", HYPERLINK("#" &amp; ADDRESS(306, 'Additional Videos-WUO_TRK'!A306),_xlfn.TEXTAFTER('Additional Videos-WUO_ERR'!A306, ":"))))</f>
        <v/>
      </c>
    </row>
    <row r="307">
      <c r="A307" s="38">
        <f>IF('Additional Videos'!B307 = "", "", IF('Additional Videos-WUO_ERR'!A307 = "", "Validated", HYPERLINK("#" &amp; ADDRESS(307, 'Additional Videos-WUO_TRK'!A307),_xlfn.TEXTAFTER('Additional Videos-WUO_ERR'!A307, ":"))))</f>
        <v/>
      </c>
    </row>
    <row r="308">
      <c r="A308" s="38">
        <f>IF('Additional Videos'!B308 = "", "", IF('Additional Videos-WUO_ERR'!A308 = "", "Validated", HYPERLINK("#" &amp; ADDRESS(308, 'Additional Videos-WUO_TRK'!A308),_xlfn.TEXTAFTER('Additional Videos-WUO_ERR'!A308, ":"))))</f>
        <v/>
      </c>
    </row>
    <row r="309">
      <c r="A309" s="38">
        <f>IF('Additional Videos'!B309 = "", "", IF('Additional Videos-WUO_ERR'!A309 = "", "Validated", HYPERLINK("#" &amp; ADDRESS(309, 'Additional Videos-WUO_TRK'!A309),_xlfn.TEXTAFTER('Additional Videos-WUO_ERR'!A309, ":"))))</f>
        <v/>
      </c>
    </row>
    <row r="310">
      <c r="A310" s="38">
        <f>IF('Additional Videos'!B310 = "", "", IF('Additional Videos-WUO_ERR'!A310 = "", "Validated", HYPERLINK("#" &amp; ADDRESS(310, 'Additional Videos-WUO_TRK'!A310),_xlfn.TEXTAFTER('Additional Videos-WUO_ERR'!A310, ":"))))</f>
        <v/>
      </c>
    </row>
    <row r="311">
      <c r="A311" s="38">
        <f>IF('Additional Videos'!B311 = "", "", IF('Additional Videos-WUO_ERR'!A311 = "", "Validated", HYPERLINK("#" &amp; ADDRESS(311, 'Additional Videos-WUO_TRK'!A311),_xlfn.TEXTAFTER('Additional Videos-WUO_ERR'!A311, ":"))))</f>
        <v/>
      </c>
    </row>
    <row r="312">
      <c r="A312" s="38">
        <f>IF('Additional Videos'!B312 = "", "", IF('Additional Videos-WUO_ERR'!A312 = "", "Validated", HYPERLINK("#" &amp; ADDRESS(312, 'Additional Videos-WUO_TRK'!A312),_xlfn.TEXTAFTER('Additional Videos-WUO_ERR'!A312, ":"))))</f>
        <v/>
      </c>
    </row>
    <row r="313">
      <c r="A313" s="38">
        <f>IF('Additional Videos'!B313 = "", "", IF('Additional Videos-WUO_ERR'!A313 = "", "Validated", HYPERLINK("#" &amp; ADDRESS(313, 'Additional Videos-WUO_TRK'!A313),_xlfn.TEXTAFTER('Additional Videos-WUO_ERR'!A313, ":"))))</f>
        <v/>
      </c>
    </row>
    <row r="314">
      <c r="A314" s="38">
        <f>IF('Additional Videos'!B314 = "", "", IF('Additional Videos-WUO_ERR'!A314 = "", "Validated", HYPERLINK("#" &amp; ADDRESS(314, 'Additional Videos-WUO_TRK'!A314),_xlfn.TEXTAFTER('Additional Videos-WUO_ERR'!A314, ":"))))</f>
        <v/>
      </c>
    </row>
    <row r="315">
      <c r="A315" s="38">
        <f>IF('Additional Videos'!B315 = "", "", IF('Additional Videos-WUO_ERR'!A315 = "", "Validated", HYPERLINK("#" &amp; ADDRESS(315, 'Additional Videos-WUO_TRK'!A315),_xlfn.TEXTAFTER('Additional Videos-WUO_ERR'!A315, ":"))))</f>
        <v/>
      </c>
    </row>
    <row r="316">
      <c r="A316" s="38">
        <f>IF('Additional Videos'!B316 = "", "", IF('Additional Videos-WUO_ERR'!A316 = "", "Validated", HYPERLINK("#" &amp; ADDRESS(316, 'Additional Videos-WUO_TRK'!A316),_xlfn.TEXTAFTER('Additional Videos-WUO_ERR'!A316, ":"))))</f>
        <v/>
      </c>
    </row>
    <row r="317">
      <c r="A317" s="38">
        <f>IF('Additional Videos'!B317 = "", "", IF('Additional Videos-WUO_ERR'!A317 = "", "Validated", HYPERLINK("#" &amp; ADDRESS(317, 'Additional Videos-WUO_TRK'!A317),_xlfn.TEXTAFTER('Additional Videos-WUO_ERR'!A317, ":"))))</f>
        <v/>
      </c>
    </row>
    <row r="318">
      <c r="A318" s="38">
        <f>IF('Additional Videos'!B318 = "", "", IF('Additional Videos-WUO_ERR'!A318 = "", "Validated", HYPERLINK("#" &amp; ADDRESS(318, 'Additional Videos-WUO_TRK'!A318),_xlfn.TEXTAFTER('Additional Videos-WUO_ERR'!A318, ":"))))</f>
        <v/>
      </c>
    </row>
    <row r="319">
      <c r="A319" s="38">
        <f>IF('Additional Videos'!B319 = "", "", IF('Additional Videos-WUO_ERR'!A319 = "", "Validated", HYPERLINK("#" &amp; ADDRESS(319, 'Additional Videos-WUO_TRK'!A319),_xlfn.TEXTAFTER('Additional Videos-WUO_ERR'!A319, ":"))))</f>
        <v/>
      </c>
    </row>
    <row r="320">
      <c r="A320" s="38">
        <f>IF('Additional Videos'!B320 = "", "", IF('Additional Videos-WUO_ERR'!A320 = "", "Validated", HYPERLINK("#" &amp; ADDRESS(320, 'Additional Videos-WUO_TRK'!A320),_xlfn.TEXTAFTER('Additional Videos-WUO_ERR'!A320, ":"))))</f>
        <v/>
      </c>
    </row>
    <row r="321">
      <c r="A321" s="38">
        <f>IF('Additional Videos'!B321 = "", "", IF('Additional Videos-WUO_ERR'!A321 = "", "Validated", HYPERLINK("#" &amp; ADDRESS(321, 'Additional Videos-WUO_TRK'!A321),_xlfn.TEXTAFTER('Additional Videos-WUO_ERR'!A321, ":"))))</f>
        <v/>
      </c>
    </row>
    <row r="322">
      <c r="A322" s="38">
        <f>IF('Additional Videos'!B322 = "", "", IF('Additional Videos-WUO_ERR'!A322 = "", "Validated", HYPERLINK("#" &amp; ADDRESS(322, 'Additional Videos-WUO_TRK'!A322),_xlfn.TEXTAFTER('Additional Videos-WUO_ERR'!A322, ":"))))</f>
        <v/>
      </c>
    </row>
    <row r="323">
      <c r="A323" s="38">
        <f>IF('Additional Videos'!B323 = "", "", IF('Additional Videos-WUO_ERR'!A323 = "", "Validated", HYPERLINK("#" &amp; ADDRESS(323, 'Additional Videos-WUO_TRK'!A323),_xlfn.TEXTAFTER('Additional Videos-WUO_ERR'!A323, ":"))))</f>
        <v/>
      </c>
    </row>
    <row r="324">
      <c r="A324" s="38">
        <f>IF('Additional Videos'!B324 = "", "", IF('Additional Videos-WUO_ERR'!A324 = "", "Validated", HYPERLINK("#" &amp; ADDRESS(324, 'Additional Videos-WUO_TRK'!A324),_xlfn.TEXTAFTER('Additional Videos-WUO_ERR'!A324, ":"))))</f>
        <v/>
      </c>
    </row>
    <row r="325">
      <c r="A325" s="38">
        <f>IF('Additional Videos'!B325 = "", "", IF('Additional Videos-WUO_ERR'!A325 = "", "Validated", HYPERLINK("#" &amp; ADDRESS(325, 'Additional Videos-WUO_TRK'!A325),_xlfn.TEXTAFTER('Additional Videos-WUO_ERR'!A325, ":"))))</f>
        <v/>
      </c>
    </row>
    <row r="326">
      <c r="A326" s="38">
        <f>IF('Additional Videos'!B326 = "", "", IF('Additional Videos-WUO_ERR'!A326 = "", "Validated", HYPERLINK("#" &amp; ADDRESS(326, 'Additional Videos-WUO_TRK'!A326),_xlfn.TEXTAFTER('Additional Videos-WUO_ERR'!A326, ":"))))</f>
        <v/>
      </c>
    </row>
    <row r="327">
      <c r="A327" s="38">
        <f>IF('Additional Videos'!B327 = "", "", IF('Additional Videos-WUO_ERR'!A327 = "", "Validated", HYPERLINK("#" &amp; ADDRESS(327, 'Additional Videos-WUO_TRK'!A327),_xlfn.TEXTAFTER('Additional Videos-WUO_ERR'!A327, ":"))))</f>
        <v/>
      </c>
    </row>
    <row r="328">
      <c r="A328" s="38">
        <f>IF('Additional Videos'!B328 = "", "", IF('Additional Videos-WUO_ERR'!A328 = "", "Validated", HYPERLINK("#" &amp; ADDRESS(328, 'Additional Videos-WUO_TRK'!A328),_xlfn.TEXTAFTER('Additional Videos-WUO_ERR'!A328, ":"))))</f>
        <v/>
      </c>
    </row>
    <row r="329">
      <c r="A329" s="38">
        <f>IF('Additional Videos'!B329 = "", "", IF('Additional Videos-WUO_ERR'!A329 = "", "Validated", HYPERLINK("#" &amp; ADDRESS(329, 'Additional Videos-WUO_TRK'!A329),_xlfn.TEXTAFTER('Additional Videos-WUO_ERR'!A329, ":"))))</f>
        <v/>
      </c>
    </row>
    <row r="330">
      <c r="A330" s="38">
        <f>IF('Additional Videos'!B330 = "", "", IF('Additional Videos-WUO_ERR'!A330 = "", "Validated", HYPERLINK("#" &amp; ADDRESS(330, 'Additional Videos-WUO_TRK'!A330),_xlfn.TEXTAFTER('Additional Videos-WUO_ERR'!A330, ":"))))</f>
        <v/>
      </c>
    </row>
    <row r="331">
      <c r="A331" s="38">
        <f>IF('Additional Videos'!B331 = "", "", IF('Additional Videos-WUO_ERR'!A331 = "", "Validated", HYPERLINK("#" &amp; ADDRESS(331, 'Additional Videos-WUO_TRK'!A331),_xlfn.TEXTAFTER('Additional Videos-WUO_ERR'!A331, ":"))))</f>
        <v/>
      </c>
    </row>
    <row r="332">
      <c r="A332" s="38">
        <f>IF('Additional Videos'!B332 = "", "", IF('Additional Videos-WUO_ERR'!A332 = "", "Validated", HYPERLINK("#" &amp; ADDRESS(332, 'Additional Videos-WUO_TRK'!A332),_xlfn.TEXTAFTER('Additional Videos-WUO_ERR'!A332, ":"))))</f>
        <v/>
      </c>
    </row>
    <row r="333">
      <c r="A333" s="38">
        <f>IF('Additional Videos'!B333 = "", "", IF('Additional Videos-WUO_ERR'!A333 = "", "Validated", HYPERLINK("#" &amp; ADDRESS(333, 'Additional Videos-WUO_TRK'!A333),_xlfn.TEXTAFTER('Additional Videos-WUO_ERR'!A333, ":"))))</f>
        <v/>
      </c>
    </row>
    <row r="334">
      <c r="A334" s="38">
        <f>IF('Additional Videos'!B334 = "", "", IF('Additional Videos-WUO_ERR'!A334 = "", "Validated", HYPERLINK("#" &amp; ADDRESS(334, 'Additional Videos-WUO_TRK'!A334),_xlfn.TEXTAFTER('Additional Videos-WUO_ERR'!A334, ":"))))</f>
        <v/>
      </c>
    </row>
    <row r="335">
      <c r="A335" s="38">
        <f>IF('Additional Videos'!B335 = "", "", IF('Additional Videos-WUO_ERR'!A335 = "", "Validated", HYPERLINK("#" &amp; ADDRESS(335, 'Additional Videos-WUO_TRK'!A335),_xlfn.TEXTAFTER('Additional Videos-WUO_ERR'!A335, ":"))))</f>
        <v/>
      </c>
    </row>
    <row r="336">
      <c r="A336" s="38">
        <f>IF('Additional Videos'!B336 = "", "", IF('Additional Videos-WUO_ERR'!A336 = "", "Validated", HYPERLINK("#" &amp; ADDRESS(336, 'Additional Videos-WUO_TRK'!A336),_xlfn.TEXTAFTER('Additional Videos-WUO_ERR'!A336, ":"))))</f>
        <v/>
      </c>
    </row>
    <row r="337">
      <c r="A337" s="38">
        <f>IF('Additional Videos'!B337 = "", "", IF('Additional Videos-WUO_ERR'!A337 = "", "Validated", HYPERLINK("#" &amp; ADDRESS(337, 'Additional Videos-WUO_TRK'!A337),_xlfn.TEXTAFTER('Additional Videos-WUO_ERR'!A337, ":"))))</f>
        <v/>
      </c>
    </row>
    <row r="338">
      <c r="A338" s="38">
        <f>IF('Additional Videos'!B338 = "", "", IF('Additional Videos-WUO_ERR'!A338 = "", "Validated", HYPERLINK("#" &amp; ADDRESS(338, 'Additional Videos-WUO_TRK'!A338),_xlfn.TEXTAFTER('Additional Videos-WUO_ERR'!A338, ":"))))</f>
        <v/>
      </c>
    </row>
    <row r="339">
      <c r="A339" s="38">
        <f>IF('Additional Videos'!B339 = "", "", IF('Additional Videos-WUO_ERR'!A339 = "", "Validated", HYPERLINK("#" &amp; ADDRESS(339, 'Additional Videos-WUO_TRK'!A339),_xlfn.TEXTAFTER('Additional Videos-WUO_ERR'!A339, ":"))))</f>
        <v/>
      </c>
    </row>
    <row r="340">
      <c r="A340" s="38">
        <f>IF('Additional Videos'!B340 = "", "", IF('Additional Videos-WUO_ERR'!A340 = "", "Validated", HYPERLINK("#" &amp; ADDRESS(340, 'Additional Videos-WUO_TRK'!A340),_xlfn.TEXTAFTER('Additional Videos-WUO_ERR'!A340, ":"))))</f>
        <v/>
      </c>
    </row>
    <row r="341">
      <c r="A341" s="38">
        <f>IF('Additional Videos'!B341 = "", "", IF('Additional Videos-WUO_ERR'!A341 = "", "Validated", HYPERLINK("#" &amp; ADDRESS(341, 'Additional Videos-WUO_TRK'!A341),_xlfn.TEXTAFTER('Additional Videos-WUO_ERR'!A341, ":"))))</f>
        <v/>
      </c>
    </row>
    <row r="342">
      <c r="A342" s="38">
        <f>IF('Additional Videos'!B342 = "", "", IF('Additional Videos-WUO_ERR'!A342 = "", "Validated", HYPERLINK("#" &amp; ADDRESS(342, 'Additional Videos-WUO_TRK'!A342),_xlfn.TEXTAFTER('Additional Videos-WUO_ERR'!A342, ":"))))</f>
        <v/>
      </c>
    </row>
    <row r="343">
      <c r="A343" s="38">
        <f>IF('Additional Videos'!B343 = "", "", IF('Additional Videos-WUO_ERR'!A343 = "", "Validated", HYPERLINK("#" &amp; ADDRESS(343, 'Additional Videos-WUO_TRK'!A343),_xlfn.TEXTAFTER('Additional Videos-WUO_ERR'!A343, ":"))))</f>
        <v/>
      </c>
    </row>
    <row r="344">
      <c r="A344" s="38">
        <f>IF('Additional Videos'!B344 = "", "", IF('Additional Videos-WUO_ERR'!A344 = "", "Validated", HYPERLINK("#" &amp; ADDRESS(344, 'Additional Videos-WUO_TRK'!A344),_xlfn.TEXTAFTER('Additional Videos-WUO_ERR'!A344, ":"))))</f>
        <v/>
      </c>
    </row>
    <row r="345">
      <c r="A345" s="38">
        <f>IF('Additional Videos'!B345 = "", "", IF('Additional Videos-WUO_ERR'!A345 = "", "Validated", HYPERLINK("#" &amp; ADDRESS(345, 'Additional Videos-WUO_TRK'!A345),_xlfn.TEXTAFTER('Additional Videos-WUO_ERR'!A345, ":"))))</f>
        <v/>
      </c>
    </row>
    <row r="346">
      <c r="A346" s="38">
        <f>IF('Additional Videos'!B346 = "", "", IF('Additional Videos-WUO_ERR'!A346 = "", "Validated", HYPERLINK("#" &amp; ADDRESS(346, 'Additional Videos-WUO_TRK'!A346),_xlfn.TEXTAFTER('Additional Videos-WUO_ERR'!A346, ":"))))</f>
        <v/>
      </c>
    </row>
    <row r="347">
      <c r="A347" s="38">
        <f>IF('Additional Videos'!B347 = "", "", IF('Additional Videos-WUO_ERR'!A347 = "", "Validated", HYPERLINK("#" &amp; ADDRESS(347, 'Additional Videos-WUO_TRK'!A347),_xlfn.TEXTAFTER('Additional Videos-WUO_ERR'!A347, ":"))))</f>
        <v/>
      </c>
    </row>
    <row r="348">
      <c r="A348" s="38">
        <f>IF('Additional Videos'!B348 = "", "", IF('Additional Videos-WUO_ERR'!A348 = "", "Validated", HYPERLINK("#" &amp; ADDRESS(348, 'Additional Videos-WUO_TRK'!A348),_xlfn.TEXTAFTER('Additional Videos-WUO_ERR'!A348, ":"))))</f>
        <v/>
      </c>
    </row>
    <row r="349">
      <c r="A349" s="38">
        <f>IF('Additional Videos'!B349 = "", "", IF('Additional Videos-WUO_ERR'!A349 = "", "Validated", HYPERLINK("#" &amp; ADDRESS(349, 'Additional Videos-WUO_TRK'!A349),_xlfn.TEXTAFTER('Additional Videos-WUO_ERR'!A349, ":"))))</f>
        <v/>
      </c>
    </row>
    <row r="350">
      <c r="A350" s="38">
        <f>IF('Additional Videos'!B350 = "", "", IF('Additional Videos-WUO_ERR'!A350 = "", "Validated", HYPERLINK("#" &amp; ADDRESS(350, 'Additional Videos-WUO_TRK'!A350),_xlfn.TEXTAFTER('Additional Videos-WUO_ERR'!A350, ":"))))</f>
        <v/>
      </c>
    </row>
    <row r="351">
      <c r="A351" s="38">
        <f>IF('Additional Videos'!B351 = "", "", IF('Additional Videos-WUO_ERR'!A351 = "", "Validated", HYPERLINK("#" &amp; ADDRESS(351, 'Additional Videos-WUO_TRK'!A351),_xlfn.TEXTAFTER('Additional Videos-WUO_ERR'!A351, ":"))))</f>
        <v/>
      </c>
    </row>
    <row r="352">
      <c r="A352" s="38">
        <f>IF('Additional Videos'!B352 = "", "", IF('Additional Videos-WUO_ERR'!A352 = "", "Validated", HYPERLINK("#" &amp; ADDRESS(352, 'Additional Videos-WUO_TRK'!A352),_xlfn.TEXTAFTER('Additional Videos-WUO_ERR'!A352, ":"))))</f>
        <v/>
      </c>
    </row>
    <row r="353">
      <c r="A353" s="38">
        <f>IF('Additional Videos'!B353 = "", "", IF('Additional Videos-WUO_ERR'!A353 = "", "Validated", HYPERLINK("#" &amp; ADDRESS(353, 'Additional Videos-WUO_TRK'!A353),_xlfn.TEXTAFTER('Additional Videos-WUO_ERR'!A353, ":"))))</f>
        <v/>
      </c>
    </row>
    <row r="354">
      <c r="A354" s="38">
        <f>IF('Additional Videos'!B354 = "", "", IF('Additional Videos-WUO_ERR'!A354 = "", "Validated", HYPERLINK("#" &amp; ADDRESS(354, 'Additional Videos-WUO_TRK'!A354),_xlfn.TEXTAFTER('Additional Videos-WUO_ERR'!A354, ":"))))</f>
        <v/>
      </c>
    </row>
    <row r="355">
      <c r="A355" s="38">
        <f>IF('Additional Videos'!B355 = "", "", IF('Additional Videos-WUO_ERR'!A355 = "", "Validated", HYPERLINK("#" &amp; ADDRESS(355, 'Additional Videos-WUO_TRK'!A355),_xlfn.TEXTAFTER('Additional Videos-WUO_ERR'!A355, ":"))))</f>
        <v/>
      </c>
    </row>
    <row r="356">
      <c r="A356" s="38">
        <f>IF('Additional Videos'!B356 = "", "", IF('Additional Videos-WUO_ERR'!A356 = "", "Validated", HYPERLINK("#" &amp; ADDRESS(356, 'Additional Videos-WUO_TRK'!A356),_xlfn.TEXTAFTER('Additional Videos-WUO_ERR'!A356, ":"))))</f>
        <v/>
      </c>
    </row>
    <row r="357">
      <c r="A357" s="38">
        <f>IF('Additional Videos'!B357 = "", "", IF('Additional Videos-WUO_ERR'!A357 = "", "Validated", HYPERLINK("#" &amp; ADDRESS(357, 'Additional Videos-WUO_TRK'!A357),_xlfn.TEXTAFTER('Additional Videos-WUO_ERR'!A357, ":"))))</f>
        <v/>
      </c>
    </row>
    <row r="358">
      <c r="A358" s="38">
        <f>IF('Additional Videos'!B358 = "", "", IF('Additional Videos-WUO_ERR'!A358 = "", "Validated", HYPERLINK("#" &amp; ADDRESS(358, 'Additional Videos-WUO_TRK'!A358),_xlfn.TEXTAFTER('Additional Videos-WUO_ERR'!A358, ":"))))</f>
        <v/>
      </c>
    </row>
    <row r="359">
      <c r="A359" s="38">
        <f>IF('Additional Videos'!B359 = "", "", IF('Additional Videos-WUO_ERR'!A359 = "", "Validated", HYPERLINK("#" &amp; ADDRESS(359, 'Additional Videos-WUO_TRK'!A359),_xlfn.TEXTAFTER('Additional Videos-WUO_ERR'!A359, ":"))))</f>
        <v/>
      </c>
    </row>
    <row r="360">
      <c r="A360" s="38">
        <f>IF('Additional Videos'!B360 = "", "", IF('Additional Videos-WUO_ERR'!A360 = "", "Validated", HYPERLINK("#" &amp; ADDRESS(360, 'Additional Videos-WUO_TRK'!A360),_xlfn.TEXTAFTER('Additional Videos-WUO_ERR'!A360, ":"))))</f>
        <v/>
      </c>
    </row>
    <row r="361">
      <c r="A361" s="38">
        <f>IF('Additional Videos'!B361 = "", "", IF('Additional Videos-WUO_ERR'!A361 = "", "Validated", HYPERLINK("#" &amp; ADDRESS(361, 'Additional Videos-WUO_TRK'!A361),_xlfn.TEXTAFTER('Additional Videos-WUO_ERR'!A361, ":"))))</f>
        <v/>
      </c>
    </row>
    <row r="362">
      <c r="A362" s="38">
        <f>IF('Additional Videos'!B362 = "", "", IF('Additional Videos-WUO_ERR'!A362 = "", "Validated", HYPERLINK("#" &amp; ADDRESS(362, 'Additional Videos-WUO_TRK'!A362),_xlfn.TEXTAFTER('Additional Videos-WUO_ERR'!A362, ":"))))</f>
        <v/>
      </c>
    </row>
    <row r="363">
      <c r="A363" s="38">
        <f>IF('Additional Videos'!B363 = "", "", IF('Additional Videos-WUO_ERR'!A363 = "", "Validated", HYPERLINK("#" &amp; ADDRESS(363, 'Additional Videos-WUO_TRK'!A363),_xlfn.TEXTAFTER('Additional Videos-WUO_ERR'!A363, ":"))))</f>
        <v/>
      </c>
    </row>
    <row r="364">
      <c r="A364" s="38">
        <f>IF('Additional Videos'!B364 = "", "", IF('Additional Videos-WUO_ERR'!A364 = "", "Validated", HYPERLINK("#" &amp; ADDRESS(364, 'Additional Videos-WUO_TRK'!A364),_xlfn.TEXTAFTER('Additional Videos-WUO_ERR'!A364, ":"))))</f>
        <v/>
      </c>
    </row>
    <row r="365">
      <c r="A365" s="38">
        <f>IF('Additional Videos'!B365 = "", "", IF('Additional Videos-WUO_ERR'!A365 = "", "Validated", HYPERLINK("#" &amp; ADDRESS(365, 'Additional Videos-WUO_TRK'!A365),_xlfn.TEXTAFTER('Additional Videos-WUO_ERR'!A365, ":"))))</f>
        <v/>
      </c>
    </row>
    <row r="366">
      <c r="A366" s="38">
        <f>IF('Additional Videos'!B366 = "", "", IF('Additional Videos-WUO_ERR'!A366 = "", "Validated", HYPERLINK("#" &amp; ADDRESS(366, 'Additional Videos-WUO_TRK'!A366),_xlfn.TEXTAFTER('Additional Videos-WUO_ERR'!A366, ":"))))</f>
        <v/>
      </c>
    </row>
    <row r="367">
      <c r="A367" s="38">
        <f>IF('Additional Videos'!B367 = "", "", IF('Additional Videos-WUO_ERR'!A367 = "", "Validated", HYPERLINK("#" &amp; ADDRESS(367, 'Additional Videos-WUO_TRK'!A367),_xlfn.TEXTAFTER('Additional Videos-WUO_ERR'!A367, ":"))))</f>
        <v/>
      </c>
    </row>
    <row r="368">
      <c r="A368" s="38">
        <f>IF('Additional Videos'!B368 = "", "", IF('Additional Videos-WUO_ERR'!A368 = "", "Validated", HYPERLINK("#" &amp; ADDRESS(368, 'Additional Videos-WUO_TRK'!A368),_xlfn.TEXTAFTER('Additional Videos-WUO_ERR'!A368, ":"))))</f>
        <v/>
      </c>
    </row>
    <row r="369">
      <c r="A369" s="38">
        <f>IF('Additional Videos'!B369 = "", "", IF('Additional Videos-WUO_ERR'!A369 = "", "Validated", HYPERLINK("#" &amp; ADDRESS(369, 'Additional Videos-WUO_TRK'!A369),_xlfn.TEXTAFTER('Additional Videos-WUO_ERR'!A369, ":"))))</f>
        <v/>
      </c>
    </row>
    <row r="370">
      <c r="A370" s="38">
        <f>IF('Additional Videos'!B370 = "", "", IF('Additional Videos-WUO_ERR'!A370 = "", "Validated", HYPERLINK("#" &amp; ADDRESS(370, 'Additional Videos-WUO_TRK'!A370),_xlfn.TEXTAFTER('Additional Videos-WUO_ERR'!A370, ":"))))</f>
        <v/>
      </c>
    </row>
    <row r="371">
      <c r="A371" s="38">
        <f>IF('Additional Videos'!B371 = "", "", IF('Additional Videos-WUO_ERR'!A371 = "", "Validated", HYPERLINK("#" &amp; ADDRESS(371, 'Additional Videos-WUO_TRK'!A371),_xlfn.TEXTAFTER('Additional Videos-WUO_ERR'!A371, ":"))))</f>
        <v/>
      </c>
    </row>
    <row r="372">
      <c r="A372" s="38">
        <f>IF('Additional Videos'!B372 = "", "", IF('Additional Videos-WUO_ERR'!A372 = "", "Validated", HYPERLINK("#" &amp; ADDRESS(372, 'Additional Videos-WUO_TRK'!A372),_xlfn.TEXTAFTER('Additional Videos-WUO_ERR'!A372, ":"))))</f>
        <v/>
      </c>
    </row>
    <row r="373">
      <c r="A373" s="38">
        <f>IF('Additional Videos'!B373 = "", "", IF('Additional Videos-WUO_ERR'!A373 = "", "Validated", HYPERLINK("#" &amp; ADDRESS(373, 'Additional Videos-WUO_TRK'!A373),_xlfn.TEXTAFTER('Additional Videos-WUO_ERR'!A373, ":"))))</f>
        <v/>
      </c>
    </row>
    <row r="374">
      <c r="A374" s="38">
        <f>IF('Additional Videos'!B374 = "", "", IF('Additional Videos-WUO_ERR'!A374 = "", "Validated", HYPERLINK("#" &amp; ADDRESS(374, 'Additional Videos-WUO_TRK'!A374),_xlfn.TEXTAFTER('Additional Videos-WUO_ERR'!A374, ":"))))</f>
        <v/>
      </c>
    </row>
    <row r="375">
      <c r="A375" s="38">
        <f>IF('Additional Videos'!B375 = "", "", IF('Additional Videos-WUO_ERR'!A375 = "", "Validated", HYPERLINK("#" &amp; ADDRESS(375, 'Additional Videos-WUO_TRK'!A375),_xlfn.TEXTAFTER('Additional Videos-WUO_ERR'!A375, ":"))))</f>
        <v/>
      </c>
    </row>
    <row r="376">
      <c r="A376" s="38">
        <f>IF('Additional Videos'!B376 = "", "", IF('Additional Videos-WUO_ERR'!A376 = "", "Validated", HYPERLINK("#" &amp; ADDRESS(376, 'Additional Videos-WUO_TRK'!A376),_xlfn.TEXTAFTER('Additional Videos-WUO_ERR'!A376, ":"))))</f>
        <v/>
      </c>
    </row>
    <row r="377">
      <c r="A377" s="38">
        <f>IF('Additional Videos'!B377 = "", "", IF('Additional Videos-WUO_ERR'!A377 = "", "Validated", HYPERLINK("#" &amp; ADDRESS(377, 'Additional Videos-WUO_TRK'!A377),_xlfn.TEXTAFTER('Additional Videos-WUO_ERR'!A377, ":"))))</f>
        <v/>
      </c>
    </row>
    <row r="378">
      <c r="A378" s="38">
        <f>IF('Additional Videos'!B378 = "", "", IF('Additional Videos-WUO_ERR'!A378 = "", "Validated", HYPERLINK("#" &amp; ADDRESS(378, 'Additional Videos-WUO_TRK'!A378),_xlfn.TEXTAFTER('Additional Videos-WUO_ERR'!A378, ":"))))</f>
        <v/>
      </c>
    </row>
    <row r="379">
      <c r="A379" s="38">
        <f>IF('Additional Videos'!B379 = "", "", IF('Additional Videos-WUO_ERR'!A379 = "", "Validated", HYPERLINK("#" &amp; ADDRESS(379, 'Additional Videos-WUO_TRK'!A379),_xlfn.TEXTAFTER('Additional Videos-WUO_ERR'!A379, ":"))))</f>
        <v/>
      </c>
    </row>
    <row r="380">
      <c r="A380" s="38">
        <f>IF('Additional Videos'!B380 = "", "", IF('Additional Videos-WUO_ERR'!A380 = "", "Validated", HYPERLINK("#" &amp; ADDRESS(380, 'Additional Videos-WUO_TRK'!A380),_xlfn.TEXTAFTER('Additional Videos-WUO_ERR'!A380, ":"))))</f>
        <v/>
      </c>
    </row>
    <row r="381">
      <c r="A381" s="38">
        <f>IF('Additional Videos'!B381 = "", "", IF('Additional Videos-WUO_ERR'!A381 = "", "Validated", HYPERLINK("#" &amp; ADDRESS(381, 'Additional Videos-WUO_TRK'!A381),_xlfn.TEXTAFTER('Additional Videos-WUO_ERR'!A381, ":"))))</f>
        <v/>
      </c>
    </row>
    <row r="382">
      <c r="A382" s="38">
        <f>IF('Additional Videos'!B382 = "", "", IF('Additional Videos-WUO_ERR'!A382 = "", "Validated", HYPERLINK("#" &amp; ADDRESS(382, 'Additional Videos-WUO_TRK'!A382),_xlfn.TEXTAFTER('Additional Videos-WUO_ERR'!A382, ":"))))</f>
        <v/>
      </c>
    </row>
    <row r="383">
      <c r="A383" s="38">
        <f>IF('Additional Videos'!B383 = "", "", IF('Additional Videos-WUO_ERR'!A383 = "", "Validated", HYPERLINK("#" &amp; ADDRESS(383, 'Additional Videos-WUO_TRK'!A383),_xlfn.TEXTAFTER('Additional Videos-WUO_ERR'!A383, ":"))))</f>
        <v/>
      </c>
    </row>
    <row r="384">
      <c r="A384" s="38">
        <f>IF('Additional Videos'!B384 = "", "", IF('Additional Videos-WUO_ERR'!A384 = "", "Validated", HYPERLINK("#" &amp; ADDRESS(384, 'Additional Videos-WUO_TRK'!A384),_xlfn.TEXTAFTER('Additional Videos-WUO_ERR'!A384, ":"))))</f>
        <v/>
      </c>
    </row>
    <row r="385">
      <c r="A385" s="38">
        <f>IF('Additional Videos'!B385 = "", "", IF('Additional Videos-WUO_ERR'!A385 = "", "Validated", HYPERLINK("#" &amp; ADDRESS(385, 'Additional Videos-WUO_TRK'!A385),_xlfn.TEXTAFTER('Additional Videos-WUO_ERR'!A385, ":"))))</f>
        <v/>
      </c>
    </row>
    <row r="386">
      <c r="A386" s="38">
        <f>IF('Additional Videos'!B386 = "", "", IF('Additional Videos-WUO_ERR'!A386 = "", "Validated", HYPERLINK("#" &amp; ADDRESS(386, 'Additional Videos-WUO_TRK'!A386),_xlfn.TEXTAFTER('Additional Videos-WUO_ERR'!A386, ":"))))</f>
        <v/>
      </c>
    </row>
    <row r="387">
      <c r="A387" s="38">
        <f>IF('Additional Videos'!B387 = "", "", IF('Additional Videos-WUO_ERR'!A387 = "", "Validated", HYPERLINK("#" &amp; ADDRESS(387, 'Additional Videos-WUO_TRK'!A387),_xlfn.TEXTAFTER('Additional Videos-WUO_ERR'!A387, ":"))))</f>
        <v/>
      </c>
    </row>
    <row r="388">
      <c r="A388" s="38">
        <f>IF('Additional Videos'!B388 = "", "", IF('Additional Videos-WUO_ERR'!A388 = "", "Validated", HYPERLINK("#" &amp; ADDRESS(388, 'Additional Videos-WUO_TRK'!A388),_xlfn.TEXTAFTER('Additional Videos-WUO_ERR'!A388, ":"))))</f>
        <v/>
      </c>
    </row>
    <row r="389">
      <c r="A389" s="38">
        <f>IF('Additional Videos'!B389 = "", "", IF('Additional Videos-WUO_ERR'!A389 = "", "Validated", HYPERLINK("#" &amp; ADDRESS(389, 'Additional Videos-WUO_TRK'!A389),_xlfn.TEXTAFTER('Additional Videos-WUO_ERR'!A389, ":"))))</f>
        <v/>
      </c>
    </row>
    <row r="390">
      <c r="A390" s="38">
        <f>IF('Additional Videos'!B390 = "", "", IF('Additional Videos-WUO_ERR'!A390 = "", "Validated", HYPERLINK("#" &amp; ADDRESS(390, 'Additional Videos-WUO_TRK'!A390),_xlfn.TEXTAFTER('Additional Videos-WUO_ERR'!A390, ":"))))</f>
        <v/>
      </c>
    </row>
    <row r="391">
      <c r="A391" s="38">
        <f>IF('Additional Videos'!B391 = "", "", IF('Additional Videos-WUO_ERR'!A391 = "", "Validated", HYPERLINK("#" &amp; ADDRESS(391, 'Additional Videos-WUO_TRK'!A391),_xlfn.TEXTAFTER('Additional Videos-WUO_ERR'!A391, ":"))))</f>
        <v/>
      </c>
    </row>
    <row r="392">
      <c r="A392" s="38">
        <f>IF('Additional Videos'!B392 = "", "", IF('Additional Videos-WUO_ERR'!A392 = "", "Validated", HYPERLINK("#" &amp; ADDRESS(392, 'Additional Videos-WUO_TRK'!A392),_xlfn.TEXTAFTER('Additional Videos-WUO_ERR'!A392, ":"))))</f>
        <v/>
      </c>
    </row>
    <row r="393">
      <c r="A393" s="38">
        <f>IF('Additional Videos'!B393 = "", "", IF('Additional Videos-WUO_ERR'!A393 = "", "Validated", HYPERLINK("#" &amp; ADDRESS(393, 'Additional Videos-WUO_TRK'!A393),_xlfn.TEXTAFTER('Additional Videos-WUO_ERR'!A393, ":"))))</f>
        <v/>
      </c>
    </row>
    <row r="394">
      <c r="A394" s="38">
        <f>IF('Additional Videos'!B394 = "", "", IF('Additional Videos-WUO_ERR'!A394 = "", "Validated", HYPERLINK("#" &amp; ADDRESS(394, 'Additional Videos-WUO_TRK'!A394),_xlfn.TEXTAFTER('Additional Videos-WUO_ERR'!A394, ":"))))</f>
        <v/>
      </c>
    </row>
    <row r="395">
      <c r="A395" s="38">
        <f>IF('Additional Videos'!B395 = "", "", IF('Additional Videos-WUO_ERR'!A395 = "", "Validated", HYPERLINK("#" &amp; ADDRESS(395, 'Additional Videos-WUO_TRK'!A395),_xlfn.TEXTAFTER('Additional Videos-WUO_ERR'!A395, ":"))))</f>
        <v/>
      </c>
    </row>
    <row r="396">
      <c r="A396" s="38">
        <f>IF('Additional Videos'!B396 = "", "", IF('Additional Videos-WUO_ERR'!A396 = "", "Validated", HYPERLINK("#" &amp; ADDRESS(396, 'Additional Videos-WUO_TRK'!A396),_xlfn.TEXTAFTER('Additional Videos-WUO_ERR'!A396, ":"))))</f>
        <v/>
      </c>
    </row>
    <row r="397">
      <c r="A397" s="38">
        <f>IF('Additional Videos'!B397 = "", "", IF('Additional Videos-WUO_ERR'!A397 = "", "Validated", HYPERLINK("#" &amp; ADDRESS(397, 'Additional Videos-WUO_TRK'!A397),_xlfn.TEXTAFTER('Additional Videos-WUO_ERR'!A397, ":"))))</f>
        <v/>
      </c>
    </row>
    <row r="398">
      <c r="A398" s="38">
        <f>IF('Additional Videos'!B398 = "", "", IF('Additional Videos-WUO_ERR'!A398 = "", "Validated", HYPERLINK("#" &amp; ADDRESS(398, 'Additional Videos-WUO_TRK'!A398),_xlfn.TEXTAFTER('Additional Videos-WUO_ERR'!A398, ":"))))</f>
        <v/>
      </c>
    </row>
    <row r="399">
      <c r="A399" s="38">
        <f>IF('Additional Videos'!B399 = "", "", IF('Additional Videos-WUO_ERR'!A399 = "", "Validated", HYPERLINK("#" &amp; ADDRESS(399, 'Additional Videos-WUO_TRK'!A399),_xlfn.TEXTAFTER('Additional Videos-WUO_ERR'!A399, ":"))))</f>
        <v/>
      </c>
    </row>
    <row r="400">
      <c r="A400" s="38">
        <f>IF('Additional Videos'!B400 = "", "", IF('Additional Videos-WUO_ERR'!A400 = "", "Validated", HYPERLINK("#" &amp; ADDRESS(400, 'Additional Videos-WUO_TRK'!A400),_xlfn.TEXTAFTER('Additional Videos-WUO_ERR'!A400, ":"))))</f>
        <v/>
      </c>
    </row>
    <row r="401">
      <c r="A401" s="38">
        <f>IF('Additional Videos'!B401 = "", "", IF('Additional Videos-WUO_ERR'!A401 = "", "Validated", HYPERLINK("#" &amp; ADDRESS(401, 'Additional Videos-WUO_TRK'!A401),_xlfn.TEXTAFTER('Additional Videos-WUO_ERR'!A401, ":"))))</f>
        <v/>
      </c>
    </row>
    <row r="402">
      <c r="A402" s="38">
        <f>IF('Additional Videos'!B402 = "", "", IF('Additional Videos-WUO_ERR'!A402 = "", "Validated", HYPERLINK("#" &amp; ADDRESS(402, 'Additional Videos-WUO_TRK'!A402),_xlfn.TEXTAFTER('Additional Videos-WUO_ERR'!A402, ":"))))</f>
        <v/>
      </c>
    </row>
    <row r="403">
      <c r="A403" s="38">
        <f>IF('Additional Videos'!B403 = "", "", IF('Additional Videos-WUO_ERR'!A403 = "", "Validated", HYPERLINK("#" &amp; ADDRESS(403, 'Additional Videos-WUO_TRK'!A403),_xlfn.TEXTAFTER('Additional Videos-WUO_ERR'!A403, ":"))))</f>
        <v/>
      </c>
    </row>
    <row r="404">
      <c r="A404" s="38">
        <f>IF('Additional Videos'!B404 = "", "", IF('Additional Videos-WUO_ERR'!A404 = "", "Validated", HYPERLINK("#" &amp; ADDRESS(404, 'Additional Videos-WUO_TRK'!A404),_xlfn.TEXTAFTER('Additional Videos-WUO_ERR'!A404, ":"))))</f>
        <v/>
      </c>
    </row>
    <row r="405">
      <c r="A405" s="38">
        <f>IF('Additional Videos'!B405 = "", "", IF('Additional Videos-WUO_ERR'!A405 = "", "Validated", HYPERLINK("#" &amp; ADDRESS(405, 'Additional Videos-WUO_TRK'!A405),_xlfn.TEXTAFTER('Additional Videos-WUO_ERR'!A405, ":"))))</f>
        <v/>
      </c>
    </row>
    <row r="406">
      <c r="A406" s="38">
        <f>IF('Additional Videos'!B406 = "", "", IF('Additional Videos-WUO_ERR'!A406 = "", "Validated", HYPERLINK("#" &amp; ADDRESS(406, 'Additional Videos-WUO_TRK'!A406),_xlfn.TEXTAFTER('Additional Videos-WUO_ERR'!A406, ":"))))</f>
        <v/>
      </c>
    </row>
    <row r="407">
      <c r="A407" s="38">
        <f>IF('Additional Videos'!B407 = "", "", IF('Additional Videos-WUO_ERR'!A407 = "", "Validated", HYPERLINK("#" &amp; ADDRESS(407, 'Additional Videos-WUO_TRK'!A407),_xlfn.TEXTAFTER('Additional Videos-WUO_ERR'!A407, ":"))))</f>
        <v/>
      </c>
    </row>
    <row r="408">
      <c r="A408" s="38">
        <f>IF('Additional Videos'!B408 = "", "", IF('Additional Videos-WUO_ERR'!A408 = "", "Validated", HYPERLINK("#" &amp; ADDRESS(408, 'Additional Videos-WUO_TRK'!A408),_xlfn.TEXTAFTER('Additional Videos-WUO_ERR'!A408, ":"))))</f>
        <v/>
      </c>
    </row>
    <row r="409">
      <c r="A409" s="38">
        <f>IF('Additional Videos'!B409 = "", "", IF('Additional Videos-WUO_ERR'!A409 = "", "Validated", HYPERLINK("#" &amp; ADDRESS(409, 'Additional Videos-WUO_TRK'!A409),_xlfn.TEXTAFTER('Additional Videos-WUO_ERR'!A409, ":"))))</f>
        <v/>
      </c>
    </row>
    <row r="410">
      <c r="A410" s="38">
        <f>IF('Additional Videos'!B410 = "", "", IF('Additional Videos-WUO_ERR'!A410 = "", "Validated", HYPERLINK("#" &amp; ADDRESS(410, 'Additional Videos-WUO_TRK'!A410),_xlfn.TEXTAFTER('Additional Videos-WUO_ERR'!A410, ":"))))</f>
        <v/>
      </c>
    </row>
    <row r="411">
      <c r="A411" s="38">
        <f>IF('Additional Videos'!B411 = "", "", IF('Additional Videos-WUO_ERR'!A411 = "", "Validated", HYPERLINK("#" &amp; ADDRESS(411, 'Additional Videos-WUO_TRK'!A411),_xlfn.TEXTAFTER('Additional Videos-WUO_ERR'!A411, ":"))))</f>
        <v/>
      </c>
    </row>
    <row r="412">
      <c r="A412" s="38">
        <f>IF('Additional Videos'!B412 = "", "", IF('Additional Videos-WUO_ERR'!A412 = "", "Validated", HYPERLINK("#" &amp; ADDRESS(412, 'Additional Videos-WUO_TRK'!A412),_xlfn.TEXTAFTER('Additional Videos-WUO_ERR'!A412, ":"))))</f>
        <v/>
      </c>
    </row>
    <row r="413">
      <c r="A413" s="38">
        <f>IF('Additional Videos'!B413 = "", "", IF('Additional Videos-WUO_ERR'!A413 = "", "Validated", HYPERLINK("#" &amp; ADDRESS(413, 'Additional Videos-WUO_TRK'!A413),_xlfn.TEXTAFTER('Additional Videos-WUO_ERR'!A413, ":"))))</f>
        <v/>
      </c>
    </row>
    <row r="414">
      <c r="A414" s="38">
        <f>IF('Additional Videos'!B414 = "", "", IF('Additional Videos-WUO_ERR'!A414 = "", "Validated", HYPERLINK("#" &amp; ADDRESS(414, 'Additional Videos-WUO_TRK'!A414),_xlfn.TEXTAFTER('Additional Videos-WUO_ERR'!A414, ":"))))</f>
        <v/>
      </c>
    </row>
    <row r="415">
      <c r="A415" s="38">
        <f>IF('Additional Videos'!B415 = "", "", IF('Additional Videos-WUO_ERR'!A415 = "", "Validated", HYPERLINK("#" &amp; ADDRESS(415, 'Additional Videos-WUO_TRK'!A415),_xlfn.TEXTAFTER('Additional Videos-WUO_ERR'!A415, ":"))))</f>
        <v/>
      </c>
    </row>
    <row r="416">
      <c r="A416" s="38">
        <f>IF('Additional Videos'!B416 = "", "", IF('Additional Videos-WUO_ERR'!A416 = "", "Validated", HYPERLINK("#" &amp; ADDRESS(416, 'Additional Videos-WUO_TRK'!A416),_xlfn.TEXTAFTER('Additional Videos-WUO_ERR'!A416, ":"))))</f>
        <v/>
      </c>
    </row>
    <row r="417">
      <c r="A417" s="38">
        <f>IF('Additional Videos'!B417 = "", "", IF('Additional Videos-WUO_ERR'!A417 = "", "Validated", HYPERLINK("#" &amp; ADDRESS(417, 'Additional Videos-WUO_TRK'!A417),_xlfn.TEXTAFTER('Additional Videos-WUO_ERR'!A417, ":"))))</f>
        <v/>
      </c>
    </row>
    <row r="418">
      <c r="A418" s="38">
        <f>IF('Additional Videos'!B418 = "", "", IF('Additional Videos-WUO_ERR'!A418 = "", "Validated", HYPERLINK("#" &amp; ADDRESS(418, 'Additional Videos-WUO_TRK'!A418),_xlfn.TEXTAFTER('Additional Videos-WUO_ERR'!A418, ":"))))</f>
        <v/>
      </c>
    </row>
    <row r="419">
      <c r="A419" s="38">
        <f>IF('Additional Videos'!B419 = "", "", IF('Additional Videos-WUO_ERR'!A419 = "", "Validated", HYPERLINK("#" &amp; ADDRESS(419, 'Additional Videos-WUO_TRK'!A419),_xlfn.TEXTAFTER('Additional Videos-WUO_ERR'!A419, ":"))))</f>
        <v/>
      </c>
    </row>
    <row r="420">
      <c r="A420" s="38">
        <f>IF('Additional Videos'!B420 = "", "", IF('Additional Videos-WUO_ERR'!A420 = "", "Validated", HYPERLINK("#" &amp; ADDRESS(420, 'Additional Videos-WUO_TRK'!A420),_xlfn.TEXTAFTER('Additional Videos-WUO_ERR'!A420, ":"))))</f>
        <v/>
      </c>
    </row>
    <row r="421">
      <c r="A421" s="38">
        <f>IF('Additional Videos'!B421 = "", "", IF('Additional Videos-WUO_ERR'!A421 = "", "Validated", HYPERLINK("#" &amp; ADDRESS(421, 'Additional Videos-WUO_TRK'!A421),_xlfn.TEXTAFTER('Additional Videos-WUO_ERR'!A421, ":"))))</f>
        <v/>
      </c>
    </row>
    <row r="422">
      <c r="A422" s="38">
        <f>IF('Additional Videos'!B422 = "", "", IF('Additional Videos-WUO_ERR'!A422 = "", "Validated", HYPERLINK("#" &amp; ADDRESS(422, 'Additional Videos-WUO_TRK'!A422),_xlfn.TEXTAFTER('Additional Videos-WUO_ERR'!A422, ":"))))</f>
        <v/>
      </c>
    </row>
    <row r="423">
      <c r="A423" s="38">
        <f>IF('Additional Videos'!B423 = "", "", IF('Additional Videos-WUO_ERR'!A423 = "", "Validated", HYPERLINK("#" &amp; ADDRESS(423, 'Additional Videos-WUO_TRK'!A423),_xlfn.TEXTAFTER('Additional Videos-WUO_ERR'!A423, ":"))))</f>
        <v/>
      </c>
    </row>
    <row r="424">
      <c r="A424" s="38">
        <f>IF('Additional Videos'!B424 = "", "", IF('Additional Videos-WUO_ERR'!A424 = "", "Validated", HYPERLINK("#" &amp; ADDRESS(424, 'Additional Videos-WUO_TRK'!A424),_xlfn.TEXTAFTER('Additional Videos-WUO_ERR'!A424, ":"))))</f>
        <v/>
      </c>
    </row>
    <row r="425">
      <c r="A425" s="38">
        <f>IF('Additional Videos'!B425 = "", "", IF('Additional Videos-WUO_ERR'!A425 = "", "Validated", HYPERLINK("#" &amp; ADDRESS(425, 'Additional Videos-WUO_TRK'!A425),_xlfn.TEXTAFTER('Additional Videos-WUO_ERR'!A425, ":"))))</f>
        <v/>
      </c>
    </row>
    <row r="426">
      <c r="A426" s="38">
        <f>IF('Additional Videos'!B426 = "", "", IF('Additional Videos-WUO_ERR'!A426 = "", "Validated", HYPERLINK("#" &amp; ADDRESS(426, 'Additional Videos-WUO_TRK'!A426),_xlfn.TEXTAFTER('Additional Videos-WUO_ERR'!A426, ":"))))</f>
        <v/>
      </c>
    </row>
    <row r="427">
      <c r="A427" s="38">
        <f>IF('Additional Videos'!B427 = "", "", IF('Additional Videos-WUO_ERR'!A427 = "", "Validated", HYPERLINK("#" &amp; ADDRESS(427, 'Additional Videos-WUO_TRK'!A427),_xlfn.TEXTAFTER('Additional Videos-WUO_ERR'!A427, ":"))))</f>
        <v/>
      </c>
    </row>
    <row r="428">
      <c r="A428" s="38">
        <f>IF('Additional Videos'!B428 = "", "", IF('Additional Videos-WUO_ERR'!A428 = "", "Validated", HYPERLINK("#" &amp; ADDRESS(428, 'Additional Videos-WUO_TRK'!A428),_xlfn.TEXTAFTER('Additional Videos-WUO_ERR'!A428, ":"))))</f>
        <v/>
      </c>
    </row>
    <row r="429">
      <c r="A429" s="38">
        <f>IF('Additional Videos'!B429 = "", "", IF('Additional Videos-WUO_ERR'!A429 = "", "Validated", HYPERLINK("#" &amp; ADDRESS(429, 'Additional Videos-WUO_TRK'!A429),_xlfn.TEXTAFTER('Additional Videos-WUO_ERR'!A429, ":"))))</f>
        <v/>
      </c>
    </row>
    <row r="430">
      <c r="A430" s="38">
        <f>IF('Additional Videos'!B430 = "", "", IF('Additional Videos-WUO_ERR'!A430 = "", "Validated", HYPERLINK("#" &amp; ADDRESS(430, 'Additional Videos-WUO_TRK'!A430),_xlfn.TEXTAFTER('Additional Videos-WUO_ERR'!A430, ":"))))</f>
        <v/>
      </c>
    </row>
    <row r="431">
      <c r="A431" s="38">
        <f>IF('Additional Videos'!B431 = "", "", IF('Additional Videos-WUO_ERR'!A431 = "", "Validated", HYPERLINK("#" &amp; ADDRESS(431, 'Additional Videos-WUO_TRK'!A431),_xlfn.TEXTAFTER('Additional Videos-WUO_ERR'!A431, ":"))))</f>
        <v/>
      </c>
    </row>
    <row r="432">
      <c r="A432" s="38">
        <f>IF('Additional Videos'!B432 = "", "", IF('Additional Videos-WUO_ERR'!A432 = "", "Validated", HYPERLINK("#" &amp; ADDRESS(432, 'Additional Videos-WUO_TRK'!A432),_xlfn.TEXTAFTER('Additional Videos-WUO_ERR'!A432, ":"))))</f>
        <v/>
      </c>
    </row>
    <row r="433">
      <c r="A433" s="38">
        <f>IF('Additional Videos'!B433 = "", "", IF('Additional Videos-WUO_ERR'!A433 = "", "Validated", HYPERLINK("#" &amp; ADDRESS(433, 'Additional Videos-WUO_TRK'!A433),_xlfn.TEXTAFTER('Additional Videos-WUO_ERR'!A433, ":"))))</f>
        <v/>
      </c>
    </row>
    <row r="434">
      <c r="A434" s="38">
        <f>IF('Additional Videos'!B434 = "", "", IF('Additional Videos-WUO_ERR'!A434 = "", "Validated", HYPERLINK("#" &amp; ADDRESS(434, 'Additional Videos-WUO_TRK'!A434),_xlfn.TEXTAFTER('Additional Videos-WUO_ERR'!A434, ":"))))</f>
        <v/>
      </c>
    </row>
    <row r="435">
      <c r="A435" s="38">
        <f>IF('Additional Videos'!B435 = "", "", IF('Additional Videos-WUO_ERR'!A435 = "", "Validated", HYPERLINK("#" &amp; ADDRESS(435, 'Additional Videos-WUO_TRK'!A435),_xlfn.TEXTAFTER('Additional Videos-WUO_ERR'!A435, ":"))))</f>
        <v/>
      </c>
    </row>
    <row r="436">
      <c r="A436" s="38">
        <f>IF('Additional Videos'!B436 = "", "", IF('Additional Videos-WUO_ERR'!A436 = "", "Validated", HYPERLINK("#" &amp; ADDRESS(436, 'Additional Videos-WUO_TRK'!A436),_xlfn.TEXTAFTER('Additional Videos-WUO_ERR'!A436, ":"))))</f>
        <v/>
      </c>
    </row>
    <row r="437">
      <c r="A437" s="38">
        <f>IF('Additional Videos'!B437 = "", "", IF('Additional Videos-WUO_ERR'!A437 = "", "Validated", HYPERLINK("#" &amp; ADDRESS(437, 'Additional Videos-WUO_TRK'!A437),_xlfn.TEXTAFTER('Additional Videos-WUO_ERR'!A437, ":"))))</f>
        <v/>
      </c>
    </row>
    <row r="438">
      <c r="A438" s="38">
        <f>IF('Additional Videos'!B438 = "", "", IF('Additional Videos-WUO_ERR'!A438 = "", "Validated", HYPERLINK("#" &amp; ADDRESS(438, 'Additional Videos-WUO_TRK'!A438),_xlfn.TEXTAFTER('Additional Videos-WUO_ERR'!A438, ":"))))</f>
        <v/>
      </c>
    </row>
    <row r="439">
      <c r="A439" s="38">
        <f>IF('Additional Videos'!B439 = "", "", IF('Additional Videos-WUO_ERR'!A439 = "", "Validated", HYPERLINK("#" &amp; ADDRESS(439, 'Additional Videos-WUO_TRK'!A439),_xlfn.TEXTAFTER('Additional Videos-WUO_ERR'!A439, ":"))))</f>
        <v/>
      </c>
    </row>
    <row r="440">
      <c r="A440" s="38">
        <f>IF('Additional Videos'!B440 = "", "", IF('Additional Videos-WUO_ERR'!A440 = "", "Validated", HYPERLINK("#" &amp; ADDRESS(440, 'Additional Videos-WUO_TRK'!A440),_xlfn.TEXTAFTER('Additional Videos-WUO_ERR'!A440, ":"))))</f>
        <v/>
      </c>
    </row>
    <row r="441">
      <c r="A441" s="38">
        <f>IF('Additional Videos'!B441 = "", "", IF('Additional Videos-WUO_ERR'!A441 = "", "Validated", HYPERLINK("#" &amp; ADDRESS(441, 'Additional Videos-WUO_TRK'!A441),_xlfn.TEXTAFTER('Additional Videos-WUO_ERR'!A441, ":"))))</f>
        <v/>
      </c>
    </row>
    <row r="442">
      <c r="A442" s="38">
        <f>IF('Additional Videos'!B442 = "", "", IF('Additional Videos-WUO_ERR'!A442 = "", "Validated", HYPERLINK("#" &amp; ADDRESS(442, 'Additional Videos-WUO_TRK'!A442),_xlfn.TEXTAFTER('Additional Videos-WUO_ERR'!A442, ":"))))</f>
        <v/>
      </c>
    </row>
    <row r="443">
      <c r="A443" s="38">
        <f>IF('Additional Videos'!B443 = "", "", IF('Additional Videos-WUO_ERR'!A443 = "", "Validated", HYPERLINK("#" &amp; ADDRESS(443, 'Additional Videos-WUO_TRK'!A443),_xlfn.TEXTAFTER('Additional Videos-WUO_ERR'!A443, ":"))))</f>
        <v/>
      </c>
    </row>
    <row r="444">
      <c r="A444" s="38">
        <f>IF('Additional Videos'!B444 = "", "", IF('Additional Videos-WUO_ERR'!A444 = "", "Validated", HYPERLINK("#" &amp; ADDRESS(444, 'Additional Videos-WUO_TRK'!A444),_xlfn.TEXTAFTER('Additional Videos-WUO_ERR'!A444, ":"))))</f>
        <v/>
      </c>
    </row>
    <row r="445">
      <c r="A445" s="38">
        <f>IF('Additional Videos'!B445 = "", "", IF('Additional Videos-WUO_ERR'!A445 = "", "Validated", HYPERLINK("#" &amp; ADDRESS(445, 'Additional Videos-WUO_TRK'!A445),_xlfn.TEXTAFTER('Additional Videos-WUO_ERR'!A445, ":"))))</f>
        <v/>
      </c>
    </row>
    <row r="446">
      <c r="A446" s="38">
        <f>IF('Additional Videos'!B446 = "", "", IF('Additional Videos-WUO_ERR'!A446 = "", "Validated", HYPERLINK("#" &amp; ADDRESS(446, 'Additional Videos-WUO_TRK'!A446),_xlfn.TEXTAFTER('Additional Videos-WUO_ERR'!A446, ":"))))</f>
        <v/>
      </c>
    </row>
    <row r="447">
      <c r="A447" s="38">
        <f>IF('Additional Videos'!B447 = "", "", IF('Additional Videos-WUO_ERR'!A447 = "", "Validated", HYPERLINK("#" &amp; ADDRESS(447, 'Additional Videos-WUO_TRK'!A447),_xlfn.TEXTAFTER('Additional Videos-WUO_ERR'!A447, ":"))))</f>
        <v/>
      </c>
    </row>
    <row r="448">
      <c r="A448" s="38">
        <f>IF('Additional Videos'!B448 = "", "", IF('Additional Videos-WUO_ERR'!A448 = "", "Validated", HYPERLINK("#" &amp; ADDRESS(448, 'Additional Videos-WUO_TRK'!A448),_xlfn.TEXTAFTER('Additional Videos-WUO_ERR'!A448, ":"))))</f>
        <v/>
      </c>
    </row>
    <row r="449">
      <c r="A449" s="38">
        <f>IF('Additional Videos'!B449 = "", "", IF('Additional Videos-WUO_ERR'!A449 = "", "Validated", HYPERLINK("#" &amp; ADDRESS(449, 'Additional Videos-WUO_TRK'!A449),_xlfn.TEXTAFTER('Additional Videos-WUO_ERR'!A449, ":"))))</f>
        <v/>
      </c>
    </row>
    <row r="450">
      <c r="A450" s="38">
        <f>IF('Additional Videos'!B450 = "", "", IF('Additional Videos-WUO_ERR'!A450 = "", "Validated", HYPERLINK("#" &amp; ADDRESS(450, 'Additional Videos-WUO_TRK'!A450),_xlfn.TEXTAFTER('Additional Videos-WUO_ERR'!A450, ":"))))</f>
        <v/>
      </c>
    </row>
    <row r="451">
      <c r="A451" s="38">
        <f>IF('Additional Videos'!B451 = "", "", IF('Additional Videos-WUO_ERR'!A451 = "", "Validated", HYPERLINK("#" &amp; ADDRESS(451, 'Additional Videos-WUO_TRK'!A451),_xlfn.TEXTAFTER('Additional Videos-WUO_ERR'!A451, ":"))))</f>
        <v/>
      </c>
    </row>
    <row r="452">
      <c r="A452" s="38">
        <f>IF('Additional Videos'!B452 = "", "", IF('Additional Videos-WUO_ERR'!A452 = "", "Validated", HYPERLINK("#" &amp; ADDRESS(452, 'Additional Videos-WUO_TRK'!A452),_xlfn.TEXTAFTER('Additional Videos-WUO_ERR'!A452, ":"))))</f>
        <v/>
      </c>
    </row>
    <row r="453">
      <c r="A453" s="38">
        <f>IF('Additional Videos'!B453 = "", "", IF('Additional Videos-WUO_ERR'!A453 = "", "Validated", HYPERLINK("#" &amp; ADDRESS(453, 'Additional Videos-WUO_TRK'!A453),_xlfn.TEXTAFTER('Additional Videos-WUO_ERR'!A453, ":"))))</f>
        <v/>
      </c>
    </row>
    <row r="454">
      <c r="A454" s="38">
        <f>IF('Additional Videos'!B454 = "", "", IF('Additional Videos-WUO_ERR'!A454 = "", "Validated", HYPERLINK("#" &amp; ADDRESS(454, 'Additional Videos-WUO_TRK'!A454),_xlfn.TEXTAFTER('Additional Videos-WUO_ERR'!A454, ":"))))</f>
        <v/>
      </c>
    </row>
    <row r="455">
      <c r="A455" s="38">
        <f>IF('Additional Videos'!B455 = "", "", IF('Additional Videos-WUO_ERR'!A455 = "", "Validated", HYPERLINK("#" &amp; ADDRESS(455, 'Additional Videos-WUO_TRK'!A455),_xlfn.TEXTAFTER('Additional Videos-WUO_ERR'!A455, ":"))))</f>
        <v/>
      </c>
    </row>
    <row r="456">
      <c r="A456" s="38">
        <f>IF('Additional Videos'!B456 = "", "", IF('Additional Videos-WUO_ERR'!A456 = "", "Validated", HYPERLINK("#" &amp; ADDRESS(456, 'Additional Videos-WUO_TRK'!A456),_xlfn.TEXTAFTER('Additional Videos-WUO_ERR'!A456, ":"))))</f>
        <v/>
      </c>
    </row>
    <row r="457">
      <c r="A457" s="38">
        <f>IF('Additional Videos'!B457 = "", "", IF('Additional Videos-WUO_ERR'!A457 = "", "Validated", HYPERLINK("#" &amp; ADDRESS(457, 'Additional Videos-WUO_TRK'!A457),_xlfn.TEXTAFTER('Additional Videos-WUO_ERR'!A457, ":"))))</f>
        <v/>
      </c>
    </row>
    <row r="458">
      <c r="A458" s="38">
        <f>IF('Additional Videos'!B458 = "", "", IF('Additional Videos-WUO_ERR'!A458 = "", "Validated", HYPERLINK("#" &amp; ADDRESS(458, 'Additional Videos-WUO_TRK'!A458),_xlfn.TEXTAFTER('Additional Videos-WUO_ERR'!A458, ":"))))</f>
        <v/>
      </c>
    </row>
    <row r="459">
      <c r="A459" s="38">
        <f>IF('Additional Videos'!B459 = "", "", IF('Additional Videos-WUO_ERR'!A459 = "", "Validated", HYPERLINK("#" &amp; ADDRESS(459, 'Additional Videos-WUO_TRK'!A459),_xlfn.TEXTAFTER('Additional Videos-WUO_ERR'!A459, ":"))))</f>
        <v/>
      </c>
    </row>
    <row r="460">
      <c r="A460" s="38">
        <f>IF('Additional Videos'!B460 = "", "", IF('Additional Videos-WUO_ERR'!A460 = "", "Validated", HYPERLINK("#" &amp; ADDRESS(460, 'Additional Videos-WUO_TRK'!A460),_xlfn.TEXTAFTER('Additional Videos-WUO_ERR'!A460, ":"))))</f>
        <v/>
      </c>
    </row>
    <row r="461">
      <c r="A461" s="38">
        <f>IF('Additional Videos'!B461 = "", "", IF('Additional Videos-WUO_ERR'!A461 = "", "Validated", HYPERLINK("#" &amp; ADDRESS(461, 'Additional Videos-WUO_TRK'!A461),_xlfn.TEXTAFTER('Additional Videos-WUO_ERR'!A461, ":"))))</f>
        <v/>
      </c>
    </row>
    <row r="462">
      <c r="A462" s="38">
        <f>IF('Additional Videos'!B462 = "", "", IF('Additional Videos-WUO_ERR'!A462 = "", "Validated", HYPERLINK("#" &amp; ADDRESS(462, 'Additional Videos-WUO_TRK'!A462),_xlfn.TEXTAFTER('Additional Videos-WUO_ERR'!A462, ":"))))</f>
        <v/>
      </c>
    </row>
    <row r="463">
      <c r="A463" s="38">
        <f>IF('Additional Videos'!B463 = "", "", IF('Additional Videos-WUO_ERR'!A463 = "", "Validated", HYPERLINK("#" &amp; ADDRESS(463, 'Additional Videos-WUO_TRK'!A463),_xlfn.TEXTAFTER('Additional Videos-WUO_ERR'!A463, ":"))))</f>
        <v/>
      </c>
    </row>
    <row r="464">
      <c r="A464" s="38">
        <f>IF('Additional Videos'!B464 = "", "", IF('Additional Videos-WUO_ERR'!A464 = "", "Validated", HYPERLINK("#" &amp; ADDRESS(464, 'Additional Videos-WUO_TRK'!A464),_xlfn.TEXTAFTER('Additional Videos-WUO_ERR'!A464, ":"))))</f>
        <v/>
      </c>
    </row>
    <row r="465">
      <c r="A465" s="38">
        <f>IF('Additional Videos'!B465 = "", "", IF('Additional Videos-WUO_ERR'!A465 = "", "Validated", HYPERLINK("#" &amp; ADDRESS(465, 'Additional Videos-WUO_TRK'!A465),_xlfn.TEXTAFTER('Additional Videos-WUO_ERR'!A465, ":"))))</f>
        <v/>
      </c>
    </row>
    <row r="466">
      <c r="A466" s="38">
        <f>IF('Additional Videos'!B466 = "", "", IF('Additional Videos-WUO_ERR'!A466 = "", "Validated", HYPERLINK("#" &amp; ADDRESS(466, 'Additional Videos-WUO_TRK'!A466),_xlfn.TEXTAFTER('Additional Videos-WUO_ERR'!A466, ":"))))</f>
        <v/>
      </c>
    </row>
    <row r="467">
      <c r="A467" s="38">
        <f>IF('Additional Videos'!B467 = "", "", IF('Additional Videos-WUO_ERR'!A467 = "", "Validated", HYPERLINK("#" &amp; ADDRESS(467, 'Additional Videos-WUO_TRK'!A467),_xlfn.TEXTAFTER('Additional Videos-WUO_ERR'!A467, ":"))))</f>
        <v/>
      </c>
    </row>
    <row r="468">
      <c r="A468" s="38">
        <f>IF('Additional Videos'!B468 = "", "", IF('Additional Videos-WUO_ERR'!A468 = "", "Validated", HYPERLINK("#" &amp; ADDRESS(468, 'Additional Videos-WUO_TRK'!A468),_xlfn.TEXTAFTER('Additional Videos-WUO_ERR'!A468, ":"))))</f>
        <v/>
      </c>
    </row>
    <row r="469">
      <c r="A469" s="38">
        <f>IF('Additional Videos'!B469 = "", "", IF('Additional Videos-WUO_ERR'!A469 = "", "Validated", HYPERLINK("#" &amp; ADDRESS(469, 'Additional Videos-WUO_TRK'!A469),_xlfn.TEXTAFTER('Additional Videos-WUO_ERR'!A469, ":"))))</f>
        <v/>
      </c>
    </row>
    <row r="470">
      <c r="A470" s="38">
        <f>IF('Additional Videos'!B470 = "", "", IF('Additional Videos-WUO_ERR'!A470 = "", "Validated", HYPERLINK("#" &amp; ADDRESS(470, 'Additional Videos-WUO_TRK'!A470),_xlfn.TEXTAFTER('Additional Videos-WUO_ERR'!A470, ":"))))</f>
        <v/>
      </c>
    </row>
    <row r="471">
      <c r="A471" s="38">
        <f>IF('Additional Videos'!B471 = "", "", IF('Additional Videos-WUO_ERR'!A471 = "", "Validated", HYPERLINK("#" &amp; ADDRESS(471, 'Additional Videos-WUO_TRK'!A471),_xlfn.TEXTAFTER('Additional Videos-WUO_ERR'!A471, ":"))))</f>
        <v/>
      </c>
    </row>
    <row r="472">
      <c r="A472" s="38">
        <f>IF('Additional Videos'!B472 = "", "", IF('Additional Videos-WUO_ERR'!A472 = "", "Validated", HYPERLINK("#" &amp; ADDRESS(472, 'Additional Videos-WUO_TRK'!A472),_xlfn.TEXTAFTER('Additional Videos-WUO_ERR'!A472, ":"))))</f>
        <v/>
      </c>
    </row>
    <row r="473">
      <c r="A473" s="38">
        <f>IF('Additional Videos'!B473 = "", "", IF('Additional Videos-WUO_ERR'!A473 = "", "Validated", HYPERLINK("#" &amp; ADDRESS(473, 'Additional Videos-WUO_TRK'!A473),_xlfn.TEXTAFTER('Additional Videos-WUO_ERR'!A473, ":"))))</f>
        <v/>
      </c>
    </row>
    <row r="474">
      <c r="A474" s="38">
        <f>IF('Additional Videos'!B474 = "", "", IF('Additional Videos-WUO_ERR'!A474 = "", "Validated", HYPERLINK("#" &amp; ADDRESS(474, 'Additional Videos-WUO_TRK'!A474),_xlfn.TEXTAFTER('Additional Videos-WUO_ERR'!A474, ":"))))</f>
        <v/>
      </c>
    </row>
    <row r="475">
      <c r="A475" s="38">
        <f>IF('Additional Videos'!B475 = "", "", IF('Additional Videos-WUO_ERR'!A475 = "", "Validated", HYPERLINK("#" &amp; ADDRESS(475, 'Additional Videos-WUO_TRK'!A475),_xlfn.TEXTAFTER('Additional Videos-WUO_ERR'!A475, ":"))))</f>
        <v/>
      </c>
    </row>
    <row r="476">
      <c r="A476" s="38">
        <f>IF('Additional Videos'!B476 = "", "", IF('Additional Videos-WUO_ERR'!A476 = "", "Validated", HYPERLINK("#" &amp; ADDRESS(476, 'Additional Videos-WUO_TRK'!A476),_xlfn.TEXTAFTER('Additional Videos-WUO_ERR'!A476, ":"))))</f>
        <v/>
      </c>
    </row>
    <row r="477">
      <c r="A477" s="38">
        <f>IF('Additional Videos'!B477 = "", "", IF('Additional Videos-WUO_ERR'!A477 = "", "Validated", HYPERLINK("#" &amp; ADDRESS(477, 'Additional Videos-WUO_TRK'!A477),_xlfn.TEXTAFTER('Additional Videos-WUO_ERR'!A477, ":"))))</f>
        <v/>
      </c>
    </row>
    <row r="478">
      <c r="A478" s="38">
        <f>IF('Additional Videos'!B478 = "", "", IF('Additional Videos-WUO_ERR'!A478 = "", "Validated", HYPERLINK("#" &amp; ADDRESS(478, 'Additional Videos-WUO_TRK'!A478),_xlfn.TEXTAFTER('Additional Videos-WUO_ERR'!A478, ":"))))</f>
        <v/>
      </c>
    </row>
    <row r="479">
      <c r="A479" s="38">
        <f>IF('Additional Videos'!B479 = "", "", IF('Additional Videos-WUO_ERR'!A479 = "", "Validated", HYPERLINK("#" &amp; ADDRESS(479, 'Additional Videos-WUO_TRK'!A479),_xlfn.TEXTAFTER('Additional Videos-WUO_ERR'!A479, ":"))))</f>
        <v/>
      </c>
    </row>
    <row r="480">
      <c r="A480" s="38">
        <f>IF('Additional Videos'!B480 = "", "", IF('Additional Videos-WUO_ERR'!A480 = "", "Validated", HYPERLINK("#" &amp; ADDRESS(480, 'Additional Videos-WUO_TRK'!A480),_xlfn.TEXTAFTER('Additional Videos-WUO_ERR'!A480, ":"))))</f>
        <v/>
      </c>
    </row>
    <row r="481">
      <c r="A481" s="38">
        <f>IF('Additional Videos'!B481 = "", "", IF('Additional Videos-WUO_ERR'!A481 = "", "Validated", HYPERLINK("#" &amp; ADDRESS(481, 'Additional Videos-WUO_TRK'!A481),_xlfn.TEXTAFTER('Additional Videos-WUO_ERR'!A481, ":"))))</f>
        <v/>
      </c>
    </row>
    <row r="482">
      <c r="A482" s="38">
        <f>IF('Additional Videos'!B482 = "", "", IF('Additional Videos-WUO_ERR'!A482 = "", "Validated", HYPERLINK("#" &amp; ADDRESS(482, 'Additional Videos-WUO_TRK'!A482),_xlfn.TEXTAFTER('Additional Videos-WUO_ERR'!A482, ":"))))</f>
        <v/>
      </c>
    </row>
    <row r="483">
      <c r="A483" s="38">
        <f>IF('Additional Videos'!B483 = "", "", IF('Additional Videos-WUO_ERR'!A483 = "", "Validated", HYPERLINK("#" &amp; ADDRESS(483, 'Additional Videos-WUO_TRK'!A483),_xlfn.TEXTAFTER('Additional Videos-WUO_ERR'!A483, ":"))))</f>
        <v/>
      </c>
    </row>
    <row r="484">
      <c r="A484" s="38">
        <f>IF('Additional Videos'!B484 = "", "", IF('Additional Videos-WUO_ERR'!A484 = "", "Validated", HYPERLINK("#" &amp; ADDRESS(484, 'Additional Videos-WUO_TRK'!A484),_xlfn.TEXTAFTER('Additional Videos-WUO_ERR'!A484, ":"))))</f>
        <v/>
      </c>
    </row>
    <row r="485">
      <c r="A485" s="38">
        <f>IF('Additional Videos'!B485 = "", "", IF('Additional Videos-WUO_ERR'!A485 = "", "Validated", HYPERLINK("#" &amp; ADDRESS(485, 'Additional Videos-WUO_TRK'!A485),_xlfn.TEXTAFTER('Additional Videos-WUO_ERR'!A485, ":"))))</f>
        <v/>
      </c>
    </row>
    <row r="486">
      <c r="A486" s="38">
        <f>IF('Additional Videos'!B486 = "", "", IF('Additional Videos-WUO_ERR'!A486 = "", "Validated", HYPERLINK("#" &amp; ADDRESS(486, 'Additional Videos-WUO_TRK'!A486),_xlfn.TEXTAFTER('Additional Videos-WUO_ERR'!A486, ":"))))</f>
        <v/>
      </c>
    </row>
    <row r="487">
      <c r="A487" s="38">
        <f>IF('Additional Videos'!B487 = "", "", IF('Additional Videos-WUO_ERR'!A487 = "", "Validated", HYPERLINK("#" &amp; ADDRESS(487, 'Additional Videos-WUO_TRK'!A487),_xlfn.TEXTAFTER('Additional Videos-WUO_ERR'!A487, ":"))))</f>
        <v/>
      </c>
    </row>
    <row r="488">
      <c r="A488" s="38">
        <f>IF('Additional Videos'!B488 = "", "", IF('Additional Videos-WUO_ERR'!A488 = "", "Validated", HYPERLINK("#" &amp; ADDRESS(488, 'Additional Videos-WUO_TRK'!A488),_xlfn.TEXTAFTER('Additional Videos-WUO_ERR'!A488, ":"))))</f>
        <v/>
      </c>
    </row>
    <row r="489">
      <c r="A489" s="38">
        <f>IF('Additional Videos'!B489 = "", "", IF('Additional Videos-WUO_ERR'!A489 = "", "Validated", HYPERLINK("#" &amp; ADDRESS(489, 'Additional Videos-WUO_TRK'!A489),_xlfn.TEXTAFTER('Additional Videos-WUO_ERR'!A489, ":"))))</f>
        <v/>
      </c>
    </row>
    <row r="490">
      <c r="A490" s="38">
        <f>IF('Additional Videos'!B490 = "", "", IF('Additional Videos-WUO_ERR'!A490 = "", "Validated", HYPERLINK("#" &amp; ADDRESS(490, 'Additional Videos-WUO_TRK'!A490),_xlfn.TEXTAFTER('Additional Videos-WUO_ERR'!A490, ":"))))</f>
        <v/>
      </c>
    </row>
    <row r="491">
      <c r="A491" s="38">
        <f>IF('Additional Videos'!B491 = "", "", IF('Additional Videos-WUO_ERR'!A491 = "", "Validated", HYPERLINK("#" &amp; ADDRESS(491, 'Additional Videos-WUO_TRK'!A491),_xlfn.TEXTAFTER('Additional Videos-WUO_ERR'!A491, ":"))))</f>
        <v/>
      </c>
    </row>
    <row r="492">
      <c r="A492" s="38">
        <f>IF('Additional Videos'!B492 = "", "", IF('Additional Videos-WUO_ERR'!A492 = "", "Validated", HYPERLINK("#" &amp; ADDRESS(492, 'Additional Videos-WUO_TRK'!A492),_xlfn.TEXTAFTER('Additional Videos-WUO_ERR'!A492, ":"))))</f>
        <v/>
      </c>
    </row>
    <row r="493">
      <c r="A493" s="38">
        <f>IF('Additional Videos'!B493 = "", "", IF('Additional Videos-WUO_ERR'!A493 = "", "Validated", HYPERLINK("#" &amp; ADDRESS(493, 'Additional Videos-WUO_TRK'!A493),_xlfn.TEXTAFTER('Additional Videos-WUO_ERR'!A493, ":"))))</f>
        <v/>
      </c>
    </row>
    <row r="494">
      <c r="A494" s="38">
        <f>IF('Additional Videos'!B494 = "", "", IF('Additional Videos-WUO_ERR'!A494 = "", "Validated", HYPERLINK("#" &amp; ADDRESS(494, 'Additional Videos-WUO_TRK'!A494),_xlfn.TEXTAFTER('Additional Videos-WUO_ERR'!A494, ":"))))</f>
        <v/>
      </c>
    </row>
    <row r="495">
      <c r="A495" s="38">
        <f>IF('Additional Videos'!B495 = "", "", IF('Additional Videos-WUO_ERR'!A495 = "", "Validated", HYPERLINK("#" &amp; ADDRESS(495, 'Additional Videos-WUO_TRK'!A495),_xlfn.TEXTAFTER('Additional Videos-WUO_ERR'!A495, ":"))))</f>
        <v/>
      </c>
    </row>
    <row r="496">
      <c r="A496" s="38">
        <f>IF('Additional Videos'!B496 = "", "", IF('Additional Videos-WUO_ERR'!A496 = "", "Validated", HYPERLINK("#" &amp; ADDRESS(496, 'Additional Videos-WUO_TRK'!A496),_xlfn.TEXTAFTER('Additional Videos-WUO_ERR'!A496, ":"))))</f>
        <v/>
      </c>
    </row>
    <row r="497">
      <c r="A497" s="38">
        <f>IF('Additional Videos'!B497 = "", "", IF('Additional Videos-WUO_ERR'!A497 = "", "Validated", HYPERLINK("#" &amp; ADDRESS(497, 'Additional Videos-WUO_TRK'!A497),_xlfn.TEXTAFTER('Additional Videos-WUO_ERR'!A497, ":"))))</f>
        <v/>
      </c>
    </row>
    <row r="498">
      <c r="A498" s="38">
        <f>IF('Additional Videos'!B498 = "", "", IF('Additional Videos-WUO_ERR'!A498 = "", "Validated", HYPERLINK("#" &amp; ADDRESS(498, 'Additional Videos-WUO_TRK'!A498),_xlfn.TEXTAFTER('Additional Videos-WUO_ERR'!A498, ":"))))</f>
        <v/>
      </c>
    </row>
    <row r="499">
      <c r="A499" s="38">
        <f>IF('Additional Videos'!B499 = "", "", IF('Additional Videos-WUO_ERR'!A499 = "", "Validated", HYPERLINK("#" &amp; ADDRESS(499, 'Additional Videos-WUO_TRK'!A499),_xlfn.TEXTAFTER('Additional Videos-WUO_ERR'!A499, ":"))))</f>
        <v/>
      </c>
    </row>
    <row r="500">
      <c r="A500" s="38">
        <f>IF('Additional Videos'!B500 = "", "", IF('Additional Videos-WUO_ERR'!A500 = "", "Validated", HYPERLINK("#" &amp; ADDRESS(500, 'Additional Videos-WUO_TRK'!A500),_xlfn.TEXTAFTER('Additional Videos-WUO_ERR'!A500, ":"))))</f>
        <v/>
      </c>
    </row>
    <row r="501">
      <c r="A501" s="38">
        <f>IF('Additional Videos'!B501 = "", "", IF('Additional Videos-WUO_ERR'!A501 = "", "Validated", HYPERLINK("#" &amp; ADDRESS(501, 'Additional Videos-WUO_TRK'!A501),_xlfn.TEXTAFTER('Additional Videos-WUO_ERR'!A501, ":"))))</f>
        <v/>
      </c>
    </row>
    <row r="502">
      <c r="A502" s="38">
        <f>IF('Additional Videos'!B502 = "", "", IF('Additional Videos-WUO_ERR'!A502 = "", "Validated", HYPERLINK("#" &amp; ADDRESS(502, 'Additional Videos-WUO_TRK'!A502),_xlfn.TEXTAFTER('Additional Videos-WUO_ERR'!A502, ":"))))</f>
        <v/>
      </c>
    </row>
    <row r="503">
      <c r="A503" s="38">
        <f>IF('Additional Videos'!B503 = "", "", IF('Additional Videos-WUO_ERR'!A503 = "", "Validated", HYPERLINK("#" &amp; ADDRESS(503, 'Additional Videos-WUO_TRK'!A503),_xlfn.TEXTAFTER('Additional Videos-WUO_ERR'!A503, ":"))))</f>
        <v/>
      </c>
    </row>
    <row r="504">
      <c r="A504" s="38">
        <f>IF('Additional Videos'!B504 = "", "", IF('Additional Videos-WUO_ERR'!A504 = "", "Validated", HYPERLINK("#" &amp; ADDRESS(504, 'Additional Videos-WUO_TRK'!A504),_xlfn.TEXTAFTER('Additional Videos-WUO_ERR'!A504, ":"))))</f>
        <v/>
      </c>
    </row>
    <row r="505">
      <c r="A505" s="38">
        <f>IF('Additional Videos'!B505 = "", "", IF('Additional Videos-WUO_ERR'!A505 = "", "Validated", HYPERLINK("#" &amp; ADDRESS(505, 'Additional Videos-WUO_TRK'!A505),_xlfn.TEXTAFTER('Additional Videos-WUO_ERR'!A505, ":"))))</f>
        <v/>
      </c>
    </row>
    <row r="506">
      <c r="A506" s="38">
        <f>IF('Additional Videos'!B506 = "", "", IF('Additional Videos-WUO_ERR'!A506 = "", "Validated", HYPERLINK("#" &amp; ADDRESS(506, 'Additional Videos-WUO_TRK'!A506),_xlfn.TEXTAFTER('Additional Videos-WUO_ERR'!A506, ":"))))</f>
        <v/>
      </c>
    </row>
    <row r="507">
      <c r="A507" s="38">
        <f>IF('Additional Videos'!B507 = "", "", IF('Additional Videos-WUO_ERR'!A507 = "", "Validated", HYPERLINK("#" &amp; ADDRESS(507, 'Additional Videos-WUO_TRK'!A507),_xlfn.TEXTAFTER('Additional Videos-WUO_ERR'!A507, ":"))))</f>
        <v/>
      </c>
    </row>
  </sheetData>
  <sheetProtection selectLockedCells="0" selectUnlockedCells="0" sheet="1" objects="1" insertRows="1" insertHyperlinks="1" autoFilter="1" scenarios="1" formatColumns="0" deleteColumns="1" insertColumns="1" pivotTables="1" deleteRows="1" formatCells="1" formatRows="0" sort="1" password="B4ED"/>
  <conditionalFormatting sqref="A7:A507">
    <cfRule type="expression" priority="5" dxfId="4">
      <formula>A7="Validated"</formula>
    </cfRule>
    <cfRule type="expression" priority="6" dxfId="5">
      <formula>OR(COUNTIF('Additional Videos-WUO_TRK'!B7:D7,"Error"),COUNTIF('Additional Videos-WUO_TRK'!B7:D7,"Required"))</formula>
    </cfRule>
    <cfRule type="expression" priority="7" dxfId="6">
      <formula>COUNTIF('Additional Videos-WUO_TRK'!B7:D7,"Warning")</formula>
    </cfRule>
  </conditionalFormatting>
  <conditionalFormatting sqref="B7:D507">
    <cfRule type="expression" priority="1" dxfId="0">
      <formula>'Additional Videos-WUO_TRK'!B7="Error"</formula>
    </cfRule>
    <cfRule type="expression" priority="2" dxfId="1">
      <formula>'Additional Videos-WUO_TRK'!B7="Required"</formula>
    </cfRule>
    <cfRule type="expression" priority="3" dxfId="2">
      <formula>'Additional Videos-WUO_TRK'!B7="Warning"</formula>
    </cfRule>
    <cfRule type="expression" priority="4" dxfId="3">
      <formula>'Additional Videos-WUO_TRK'!B7="Disabled"</formula>
    </cfRule>
  </conditionalFormatting>
  <dataValidations count="1">
    <dataValidation sqref="C7:C2500" showDropDown="0" showInputMessage="1" showErrorMessage="1" allowBlank="0" errorTitle="Invalid Text" error="The value provided is not a valid Text." promptTitle="Video File Name or URL" prompt="Please enter Text" type="textLength" errorStyle="warning" operator="lessThanOrEqual">
      <formula1>32767</formula1>
    </dataValidation>
  </dataValidations>
  <pageMargins left="0.7" right="0.7" top="0.75" bottom="0.75" header="0.3" footer="0.3"/>
</worksheet>
</file>

<file path=xl/worksheets/sheet17.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cols>
    <col width="25.7109375" customWidth="1" style="22" min="2" max="2"/>
    <col width="27.7109375" customWidth="1" style="22" min="3" max="3"/>
  </cols>
  <sheetData>
    <row r="1" hidden="1">
      <c r="B1" s="22" t="inlineStr">
        <is>
          <t>core::supplierPartNumber</t>
        </is>
      </c>
      <c r="C1" s="22" t="inlineStr">
        <is>
          <t>media::videoValue</t>
        </is>
      </c>
    </row>
    <row r="3">
      <c r="B3" s="31" t="inlineStr">
        <is>
          <t>Required</t>
        </is>
      </c>
      <c r="C3" s="31" t="inlineStr">
        <is>
          <t>Additional</t>
        </is>
      </c>
    </row>
    <row r="4" ht="50" customHeight="1">
      <c r="B4" s="19" t="inlineStr">
        <is>
          <t>Supplier Part Number</t>
        </is>
      </c>
      <c r="C4" s="19" t="inlineStr">
        <is>
          <t>Video File Name or URL</t>
        </is>
      </c>
    </row>
    <row r="5" ht="50" customHeight="1">
      <c r="B5" s="34" t="inlineStr">
        <is>
          <t>Must be less than 64 characters and must be a unique value (products cannot be added if they have the same part number as something you already have in your catalog). This is the supplier-specific value for the product as it appears on your Inventory Feed and Purchased Orders.</t>
        </is>
      </c>
      <c r="C5" s="34" t="inlineStr">
        <is>
          <t>Provide the video’s file name with extension for separate uploads or a direct public URL. Do not exceed 10 videos per product.</t>
        </is>
      </c>
    </row>
    <row r="6" ht="50" customHeight="1">
      <c r="B6" s="34" t="inlineStr">
        <is>
          <t>Text</t>
        </is>
      </c>
      <c r="C6" s="34" t="inlineStr">
        <is>
          <t>Text</t>
        </is>
      </c>
    </row>
    <row r="7">
      <c r="A7">
        <f t="array" ref="A7">_xlfn.BYROW(B7:D507, _xlfn.LAMBDA(_xlpm.r, _xlfn.LET(_xlpm.high_priority, IFERROR(INDEX(_xlpm.r, MATCH(TRUE, (_xlpm.r &lt;&gt; "") * ((LEFT(_xlpm.r, 2) = "1:") + (LEFT(_xlpm.r, 2) = "3:")) &gt; 0, 0)), ""), IF(_xlpm.high_priority &lt;&gt; "", _xlpm.high_priority, IFERROR(INDEX(_xlpm.r, MATCH(TRUE, (_xlpm.r &lt;&gt; "") * (LEFT(_xlpm.r, 2) = "4:") &gt; 0, 0)), "")))))</f>
        <v/>
      </c>
      <c r="B7" s="22">
        <f t="array" ref="B7">_xlfn.MAP('Additional Videos'!B7:B507, 'Additional Videos'!B7:B507, _xlfn.LAMBDA(_xlpm.part, _xlpm.val, IF(_xlpm.part = "", "", _xlfn.LET(_xlpm.check1, IF(OR(ISNUMBER(SEARCH({","}, _xlpm.val))), "1:Please enter a single value with no commas for the Supplier Part Number column", ""), IF(LEN(_xlpm.check1) &gt; 0, _xlpm.check1, _xlfn.LET(_xlpm.check2, IF(OR(ISNUMBER(SEARCH({"&lt;","&gt;","^","Ø","•","‣","⁃","⁌","™","∙","⌀","◦"}, _xlpm.val))), "1:Supplier Part Number cannot contain special characters ([™Ø⌀•‣◦⁃⁌⁍∙&lt;&gt;])", ""), IF(LEN(_xlpm.check2) &gt; 0, _xlpm.check2, IF(AND(_xlpm.val = "", B$3="Required"), "3:Supplier Part Number - Value is required", ""))))))))</f>
        <v/>
      </c>
      <c r="C7" s="22">
        <f t="array" ref="C7">_xlfn.MAP('Additional Videos'!B7:B507, 'Additional Videos'!C7:C507, _xlfn.LAMBDA(_xlpm.part, _xlpm.val, IF(_xlpm.part = "", "", IF(AND(_xlpm.val = "", C$3="Required"), "3:Video File Name or URL - Value is required", ""))))</f>
        <v/>
      </c>
    </row>
  </sheetData>
  <sheetProtection selectLockedCells="0" selectUnlockedCells="0" sheet="1" objects="1" insertRows="1" insertHyperlinks="1" autoFilter="1" scenarios="1" formatColumns="1" deleteColumns="1" insertColumns="1" pivotTables="1" deleteRows="1" formatCells="1" formatRows="1" sort="1" password="AF1E"/>
  <pageMargins left="0.7" right="0.7" top="0.75" bottom="0.75" header="0.3" footer="0.3"/>
</worksheet>
</file>

<file path=xl/worksheets/sheet18.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cols>
    <col width="25.7109375" customWidth="1" style="22" min="2" max="2"/>
    <col width="27.7109375" customWidth="1" style="22" min="3" max="3"/>
  </cols>
  <sheetData>
    <row r="1" hidden="1">
      <c r="B1" s="22" t="inlineStr">
        <is>
          <t>core::supplierPartNumber</t>
        </is>
      </c>
      <c r="C1" s="22" t="inlineStr">
        <is>
          <t>media::videoValue</t>
        </is>
      </c>
    </row>
    <row r="3">
      <c r="B3" s="31" t="inlineStr">
        <is>
          <t>Required</t>
        </is>
      </c>
      <c r="C3" s="31" t="inlineStr">
        <is>
          <t>Additional</t>
        </is>
      </c>
    </row>
    <row r="4" ht="50" customHeight="1">
      <c r="B4" s="19" t="inlineStr">
        <is>
          <t>Supplier Part Number</t>
        </is>
      </c>
      <c r="C4" s="19" t="inlineStr">
        <is>
          <t>Video File Name or URL</t>
        </is>
      </c>
    </row>
    <row r="5" ht="50" customHeight="1">
      <c r="B5" s="34" t="inlineStr">
        <is>
          <t>Must be less than 64 characters and must be a unique value (products cannot be added if they have the same part number as something you already have in your catalog). This is the supplier-specific value for the product as it appears on your Inventory Feed and Purchased Orders.</t>
        </is>
      </c>
      <c r="C5" s="34" t="inlineStr">
        <is>
          <t>Provide the video’s file name with extension for separate uploads or a direct public URL. Do not exceed 10 videos per product.</t>
        </is>
      </c>
    </row>
    <row r="6" ht="50" customHeight="1">
      <c r="B6" s="34" t="inlineStr">
        <is>
          <t>Text</t>
        </is>
      </c>
      <c r="C6" s="34" t="inlineStr">
        <is>
          <t>Text</t>
        </is>
      </c>
    </row>
    <row r="7">
      <c r="A7">
        <f t="array" ref="A7">_xlfn.BYROW(B7:D507, _xlfn.LAMBDA(_xlpm.r, _xlfn.LET(_xlpm.high_priority_idx, IFERROR(MATCH(TRUE, (_xlpm.r = "Error") + (_xlpm.r = "Required") &gt; 0, 0), 0), IF(_xlpm.high_priority_idx &gt; 0, _xlpm.high_priority_idx + 1, IFERROR(MATCH(1, (_xlpm.r = "Warning") * 1, 0) + 1, "")))))</f>
        <v/>
      </c>
      <c r="B7" s="22">
        <f t="array" ref="B7">_xlfn.MAP('Additional Videos'!B7:B507, 'Additional Videos'!B7:B507, 'Additional Videos-WUO_ERR'!B7:B507, _xlfn.LAMBDA(_xlpm.part, _xlpm.val, _xlpm.error, IF(_xlpm.part = "", "", IF(LEN(_xlpm.error), _xlfn.SWITCH(IFERROR(_xlfn.TEXTBEFORE(_xlpm.error,":"), ""), "1", "Error", "2", "Disabled", "3", "Required", "4", "Warning", "Valid"), "Valid"))))</f>
        <v/>
      </c>
      <c r="C7" s="22">
        <f t="array" ref="C7">_xlfn.MAP('Additional Videos'!B7:B507, 'Additional Videos'!C7:C507, 'Additional Videos-WUO_ERR'!C7:C507, _xlfn.LAMBDA(_xlpm.part, _xlpm.val, _xlpm.error, IF(_xlpm.part = "", "", IF(LEN(_xlpm.error), _xlfn.SWITCH(IFERROR(_xlfn.TEXTBEFORE(_xlpm.error,":"), ""), "1", "Error", "2", "Disabled", "3", "Required", "4", "Warning", "Valid"), "Valid"))))</f>
        <v/>
      </c>
    </row>
  </sheetData>
  <sheetProtection selectLockedCells="0" selectUnlockedCells="0" sheet="1" objects="1" insertRows="1" insertHyperlinks="1" autoFilter="1" scenarios="1" formatColumns="1" deleteColumns="1" insertColumns="1" pivotTables="1" deleteRows="1" formatCells="1" formatRows="1" sort="1" password="DA1E"/>
  <pageMargins left="0.7" right="0.7" top="0.75" bottom="0.75" header="0.3" footer="0.3"/>
</worksheet>
</file>

<file path=xl/worksheets/sheet19.xml><?xml version="1.0" encoding="utf-8"?>
<worksheet xmlns="http://schemas.openxmlformats.org/spreadsheetml/2006/main">
  <sheetPr>
    <outlinePr summaryBelow="1" summaryRight="1"/>
    <pageSetUpPr/>
  </sheetPr>
  <dimension ref="A1:Z507"/>
  <sheetViews>
    <sheetView workbookViewId="0">
      <selection activeCell="A1" sqref="A1"/>
    </sheetView>
  </sheetViews>
  <sheetFormatPr baseColWidth="8" defaultRowHeight="15"/>
  <cols>
    <col width="35.7109375" customWidth="1" min="1" max="1"/>
    <col width="25.7109375" customWidth="1" style="22" min="2" max="2"/>
    <col width="30.7109375" customWidth="1" style="22" min="3" max="3"/>
    <col width="18.7109375" customWidth="1" style="22" min="4" max="4"/>
    <col width="24.7109375" customWidth="1" style="22" min="5" max="5"/>
    <col width="20.7109375" customWidth="1" style="22" min="6" max="6"/>
    <col width="22.7109375" customWidth="1" style="22" min="7" max="7"/>
    <col hidden="1" min="26" max="26"/>
  </cols>
  <sheetData>
    <row r="1" hidden="1">
      <c r="B1" s="22" t="inlineStr">
        <is>
          <t>core::supplierPartNumber</t>
        </is>
      </c>
      <c r="C1" s="22" t="inlineStr">
        <is>
          <t>media::documentValue</t>
        </is>
      </c>
      <c r="D1" s="22" t="inlineStr">
        <is>
          <t>media::documentType</t>
        </is>
      </c>
      <c r="E1" s="22" t="inlineStr">
        <is>
          <t>media::legalDocumentType</t>
        </is>
      </c>
      <c r="F1" s="22" t="inlineStr">
        <is>
          <t>media::regionType</t>
        </is>
      </c>
      <c r="G1" s="22" t="inlineStr">
        <is>
          <t>media::language</t>
        </is>
      </c>
    </row>
    <row r="2">
      <c r="B2" s="23" t="inlineStr">
        <is>
          <t>Basic Information</t>
        </is>
      </c>
      <c r="C2" s="29" t="inlineStr">
        <is>
          <t>Media</t>
        </is>
      </c>
      <c r="D2" s="40" t="n"/>
      <c r="E2" s="40" t="n"/>
      <c r="F2" s="40" t="n"/>
      <c r="G2" s="41" t="n"/>
    </row>
    <row r="3">
      <c r="B3" s="31" t="inlineStr">
        <is>
          <t>Required</t>
        </is>
      </c>
      <c r="C3" s="31" t="inlineStr">
        <is>
          <t>Conditional</t>
        </is>
      </c>
      <c r="D3" s="31" t="inlineStr">
        <is>
          <t>Conditional</t>
        </is>
      </c>
      <c r="E3" s="31" t="inlineStr">
        <is>
          <t>Conditional</t>
        </is>
      </c>
      <c r="F3" s="31" t="inlineStr">
        <is>
          <t>Conditional</t>
        </is>
      </c>
      <c r="G3" s="31" t="inlineStr">
        <is>
          <t>Conditional</t>
        </is>
      </c>
    </row>
    <row r="4" ht="50" customHeight="1">
      <c r="A4" s="19" t="inlineStr">
        <is>
          <t>Errors</t>
        </is>
      </c>
      <c r="B4" s="19" t="inlineStr">
        <is>
          <t>Supplier Part Number</t>
        </is>
      </c>
      <c r="C4" s="19" t="inlineStr">
        <is>
          <t>Document File Name or URL</t>
        </is>
      </c>
      <c r="D4" s="19" t="inlineStr">
        <is>
          <t>Document Type</t>
        </is>
      </c>
      <c r="E4" s="19" t="inlineStr">
        <is>
          <t>Legal Document Type</t>
        </is>
      </c>
      <c r="F4" s="19" t="inlineStr">
        <is>
          <t>Document Region</t>
        </is>
      </c>
      <c r="G4" s="19" t="inlineStr">
        <is>
          <t>Document Language</t>
        </is>
      </c>
    </row>
    <row r="5" ht="50" customHeight="1">
      <c r="A5" s="34" t="inlineStr">
        <is>
          <t>Displays the error status and message for the first error in the row, with a link to the corresponding cell.</t>
        </is>
      </c>
      <c r="B5" s="34" t="inlineStr">
        <is>
          <t>Must be less than 64 characters and must be a unique value (products cannot be added if they have the same part number as something you already have in your catalog). This is the supplier-specific value for the product as it appears on your Inventory Feed and Purchased Orders.</t>
        </is>
      </c>
      <c r="C5" s="34" t="inlineStr">
        <is>
          <t>Provide the document’s file name with extension for separate uploads or a direct public URL. Do not exceed 10 documents per product.</t>
        </is>
      </c>
      <c r="D5" s="34" t="inlineStr">
        <is>
          <t>Select one or more values from the provided list that best describe the document’s purpose. This classification helps customers easily find information like “Installation &amp; Assembly” guides, “Warranty Information,” or “Specifications.</t>
        </is>
      </c>
      <c r="E5" s="34" t="inlineStr">
        <is>
          <t>If the document serves as a legal notice or certification (e.g., “ASTM F2057 - 19,” “ANSI A117.1 Compliant”), select the specific type(s) from the provided list. This is used for compliance and to display certifications to customers.</t>
        </is>
      </c>
      <c r="F5" s="34" t="inlineStr">
        <is>
          <t>Select the country or region where this document is legally applicable. This is crucial for compliance-related documents that may differ across locations.</t>
        </is>
      </c>
      <c r="G5" s="34" t="inlineStr">
        <is>
          <t>Select the language in which the document is written.</t>
        </is>
      </c>
    </row>
    <row r="6" ht="50" customHeight="1">
      <c r="A6" s="34" t="inlineStr">
        <is>
          <t>Read-Only</t>
        </is>
      </c>
      <c r="B6" s="34" t="inlineStr">
        <is>
          <t>Text</t>
        </is>
      </c>
      <c r="C6" s="34" t="inlineStr">
        <is>
          <t>Text</t>
        </is>
      </c>
      <c r="D6" s="35" t="inlineStr">
        <is>
          <t>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t>
        </is>
      </c>
      <c r="E6" s="35" t="inlineStr">
        <is>
          <t>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t>
        </is>
      </c>
      <c r="F6" s="35" t="inlineStr">
        <is>
          <t>Select</t>
        </is>
      </c>
      <c r="G6" s="35" t="inlineStr">
        <is>
          <t>Select</t>
        </is>
      </c>
    </row>
    <row r="7">
      <c r="A7" s="38">
        <f>IF('Additional Documents'!B7 = "", "", IF('Additional Documents-WUO_ERR'!A7 = "", "Validated", HYPERLINK("#" &amp; ADDRESS(7, 'Additional Documents-WUO_TRK'!A7),_xlfn.TEXTAFTER('Additional Documents-WUO_ERR'!A7, ":"))))</f>
        <v/>
      </c>
      <c r="Z7">
        <f t="array" ref="Z7">IF(B7:B507="", "", IFERROR(_xlfn.XLOOKUP(B7:B507, _xlfn.VSTACK('6 - TV Stands &amp; Enterta'!B7:B507), _xlfn.VSTACK('6 - TV Stands &amp; Enterta'!G7:G507)), ""))</f>
        <v/>
      </c>
    </row>
    <row r="8">
      <c r="A8" s="38">
        <f>IF('Additional Documents'!B8 = "", "", IF('Additional Documents-WUO_ERR'!A8 = "", "Validated", HYPERLINK("#" &amp; ADDRESS(8, 'Additional Documents-WUO_TRK'!A8),_xlfn.TEXTAFTER('Additional Documents-WUO_ERR'!A8, ":"))))</f>
        <v/>
      </c>
    </row>
    <row r="9">
      <c r="A9" s="38">
        <f>IF('Additional Documents'!B9 = "", "", IF('Additional Documents-WUO_ERR'!A9 = "", "Validated", HYPERLINK("#" &amp; ADDRESS(9, 'Additional Documents-WUO_TRK'!A9),_xlfn.TEXTAFTER('Additional Documents-WUO_ERR'!A9, ":"))))</f>
        <v/>
      </c>
    </row>
    <row r="10">
      <c r="A10" s="38">
        <f>IF('Additional Documents'!B10 = "", "", IF('Additional Documents-WUO_ERR'!A10 = "", "Validated", HYPERLINK("#" &amp; ADDRESS(10, 'Additional Documents-WUO_TRK'!A10),_xlfn.TEXTAFTER('Additional Documents-WUO_ERR'!A10, ":"))))</f>
        <v/>
      </c>
    </row>
    <row r="11">
      <c r="A11" s="38">
        <f>IF('Additional Documents'!B11 = "", "", IF('Additional Documents-WUO_ERR'!A11 = "", "Validated", HYPERLINK("#" &amp; ADDRESS(11, 'Additional Documents-WUO_TRK'!A11),_xlfn.TEXTAFTER('Additional Documents-WUO_ERR'!A11, ":"))))</f>
        <v/>
      </c>
    </row>
    <row r="12">
      <c r="A12" s="38">
        <f>IF('Additional Documents'!B12 = "", "", IF('Additional Documents-WUO_ERR'!A12 = "", "Validated", HYPERLINK("#" &amp; ADDRESS(12, 'Additional Documents-WUO_TRK'!A12),_xlfn.TEXTAFTER('Additional Documents-WUO_ERR'!A12, ":"))))</f>
        <v/>
      </c>
    </row>
    <row r="13">
      <c r="A13" s="38">
        <f>IF('Additional Documents'!B13 = "", "", IF('Additional Documents-WUO_ERR'!A13 = "", "Validated", HYPERLINK("#" &amp; ADDRESS(13, 'Additional Documents-WUO_TRK'!A13),_xlfn.TEXTAFTER('Additional Documents-WUO_ERR'!A13, ":"))))</f>
        <v/>
      </c>
    </row>
    <row r="14">
      <c r="A14" s="38">
        <f>IF('Additional Documents'!B14 = "", "", IF('Additional Documents-WUO_ERR'!A14 = "", "Validated", HYPERLINK("#" &amp; ADDRESS(14, 'Additional Documents-WUO_TRK'!A14),_xlfn.TEXTAFTER('Additional Documents-WUO_ERR'!A14, ":"))))</f>
        <v/>
      </c>
    </row>
    <row r="15">
      <c r="A15" s="38">
        <f>IF('Additional Documents'!B15 = "", "", IF('Additional Documents-WUO_ERR'!A15 = "", "Validated", HYPERLINK("#" &amp; ADDRESS(15, 'Additional Documents-WUO_TRK'!A15),_xlfn.TEXTAFTER('Additional Documents-WUO_ERR'!A15, ":"))))</f>
        <v/>
      </c>
    </row>
    <row r="16">
      <c r="A16" s="38">
        <f>IF('Additional Documents'!B16 = "", "", IF('Additional Documents-WUO_ERR'!A16 = "", "Validated", HYPERLINK("#" &amp; ADDRESS(16, 'Additional Documents-WUO_TRK'!A16),_xlfn.TEXTAFTER('Additional Documents-WUO_ERR'!A16, ":"))))</f>
        <v/>
      </c>
    </row>
    <row r="17">
      <c r="A17" s="38">
        <f>IF('Additional Documents'!B17 = "", "", IF('Additional Documents-WUO_ERR'!A17 = "", "Validated", HYPERLINK("#" &amp; ADDRESS(17, 'Additional Documents-WUO_TRK'!A17),_xlfn.TEXTAFTER('Additional Documents-WUO_ERR'!A17, ":"))))</f>
        <v/>
      </c>
    </row>
    <row r="18">
      <c r="A18" s="38">
        <f>IF('Additional Documents'!B18 = "", "", IF('Additional Documents-WUO_ERR'!A18 = "", "Validated", HYPERLINK("#" &amp; ADDRESS(18, 'Additional Documents-WUO_TRK'!A18),_xlfn.TEXTAFTER('Additional Documents-WUO_ERR'!A18, ":"))))</f>
        <v/>
      </c>
    </row>
    <row r="19">
      <c r="A19" s="38">
        <f>IF('Additional Documents'!B19 = "", "", IF('Additional Documents-WUO_ERR'!A19 = "", "Validated", HYPERLINK("#" &amp; ADDRESS(19, 'Additional Documents-WUO_TRK'!A19),_xlfn.TEXTAFTER('Additional Documents-WUO_ERR'!A19, ":"))))</f>
        <v/>
      </c>
    </row>
    <row r="20">
      <c r="A20" s="38">
        <f>IF('Additional Documents'!B20 = "", "", IF('Additional Documents-WUO_ERR'!A20 = "", "Validated", HYPERLINK("#" &amp; ADDRESS(20, 'Additional Documents-WUO_TRK'!A20),_xlfn.TEXTAFTER('Additional Documents-WUO_ERR'!A20, ":"))))</f>
        <v/>
      </c>
    </row>
    <row r="21">
      <c r="A21" s="38">
        <f>IF('Additional Documents'!B21 = "", "", IF('Additional Documents-WUO_ERR'!A21 = "", "Validated", HYPERLINK("#" &amp; ADDRESS(21, 'Additional Documents-WUO_TRK'!A21),_xlfn.TEXTAFTER('Additional Documents-WUO_ERR'!A21, ":"))))</f>
        <v/>
      </c>
    </row>
    <row r="22">
      <c r="A22" s="38">
        <f>IF('Additional Documents'!B22 = "", "", IF('Additional Documents-WUO_ERR'!A22 = "", "Validated", HYPERLINK("#" &amp; ADDRESS(22, 'Additional Documents-WUO_TRK'!A22),_xlfn.TEXTAFTER('Additional Documents-WUO_ERR'!A22, ":"))))</f>
        <v/>
      </c>
    </row>
    <row r="23">
      <c r="A23" s="38">
        <f>IF('Additional Documents'!B23 = "", "", IF('Additional Documents-WUO_ERR'!A23 = "", "Validated", HYPERLINK("#" &amp; ADDRESS(23, 'Additional Documents-WUO_TRK'!A23),_xlfn.TEXTAFTER('Additional Documents-WUO_ERR'!A23, ":"))))</f>
        <v/>
      </c>
    </row>
    <row r="24">
      <c r="A24" s="38">
        <f>IF('Additional Documents'!B24 = "", "", IF('Additional Documents-WUO_ERR'!A24 = "", "Validated", HYPERLINK("#" &amp; ADDRESS(24, 'Additional Documents-WUO_TRK'!A24),_xlfn.TEXTAFTER('Additional Documents-WUO_ERR'!A24, ":"))))</f>
        <v/>
      </c>
    </row>
    <row r="25">
      <c r="A25" s="38">
        <f>IF('Additional Documents'!B25 = "", "", IF('Additional Documents-WUO_ERR'!A25 = "", "Validated", HYPERLINK("#" &amp; ADDRESS(25, 'Additional Documents-WUO_TRK'!A25),_xlfn.TEXTAFTER('Additional Documents-WUO_ERR'!A25, ":"))))</f>
        <v/>
      </c>
    </row>
    <row r="26">
      <c r="A26" s="38">
        <f>IF('Additional Documents'!B26 = "", "", IF('Additional Documents-WUO_ERR'!A26 = "", "Validated", HYPERLINK("#" &amp; ADDRESS(26, 'Additional Documents-WUO_TRK'!A26),_xlfn.TEXTAFTER('Additional Documents-WUO_ERR'!A26, ":"))))</f>
        <v/>
      </c>
    </row>
    <row r="27">
      <c r="A27" s="38">
        <f>IF('Additional Documents'!B27 = "", "", IF('Additional Documents-WUO_ERR'!A27 = "", "Validated", HYPERLINK("#" &amp; ADDRESS(27, 'Additional Documents-WUO_TRK'!A27),_xlfn.TEXTAFTER('Additional Documents-WUO_ERR'!A27, ":"))))</f>
        <v/>
      </c>
    </row>
    <row r="28">
      <c r="A28" s="38">
        <f>IF('Additional Documents'!B28 = "", "", IF('Additional Documents-WUO_ERR'!A28 = "", "Validated", HYPERLINK("#" &amp; ADDRESS(28, 'Additional Documents-WUO_TRK'!A28),_xlfn.TEXTAFTER('Additional Documents-WUO_ERR'!A28, ":"))))</f>
        <v/>
      </c>
    </row>
    <row r="29">
      <c r="A29" s="38">
        <f>IF('Additional Documents'!B29 = "", "", IF('Additional Documents-WUO_ERR'!A29 = "", "Validated", HYPERLINK("#" &amp; ADDRESS(29, 'Additional Documents-WUO_TRK'!A29),_xlfn.TEXTAFTER('Additional Documents-WUO_ERR'!A29, ":"))))</f>
        <v/>
      </c>
    </row>
    <row r="30">
      <c r="A30" s="38">
        <f>IF('Additional Documents'!B30 = "", "", IF('Additional Documents-WUO_ERR'!A30 = "", "Validated", HYPERLINK("#" &amp; ADDRESS(30, 'Additional Documents-WUO_TRK'!A30),_xlfn.TEXTAFTER('Additional Documents-WUO_ERR'!A30, ":"))))</f>
        <v/>
      </c>
    </row>
    <row r="31">
      <c r="A31" s="38">
        <f>IF('Additional Documents'!B31 = "", "", IF('Additional Documents-WUO_ERR'!A31 = "", "Validated", HYPERLINK("#" &amp; ADDRESS(31, 'Additional Documents-WUO_TRK'!A31),_xlfn.TEXTAFTER('Additional Documents-WUO_ERR'!A31, ":"))))</f>
        <v/>
      </c>
    </row>
    <row r="32">
      <c r="A32" s="38">
        <f>IF('Additional Documents'!B32 = "", "", IF('Additional Documents-WUO_ERR'!A32 = "", "Validated", HYPERLINK("#" &amp; ADDRESS(32, 'Additional Documents-WUO_TRK'!A32),_xlfn.TEXTAFTER('Additional Documents-WUO_ERR'!A32, ":"))))</f>
        <v/>
      </c>
    </row>
    <row r="33">
      <c r="A33" s="38">
        <f>IF('Additional Documents'!B33 = "", "", IF('Additional Documents-WUO_ERR'!A33 = "", "Validated", HYPERLINK("#" &amp; ADDRESS(33, 'Additional Documents-WUO_TRK'!A33),_xlfn.TEXTAFTER('Additional Documents-WUO_ERR'!A33, ":"))))</f>
        <v/>
      </c>
    </row>
    <row r="34">
      <c r="A34" s="38">
        <f>IF('Additional Documents'!B34 = "", "", IF('Additional Documents-WUO_ERR'!A34 = "", "Validated", HYPERLINK("#" &amp; ADDRESS(34, 'Additional Documents-WUO_TRK'!A34),_xlfn.TEXTAFTER('Additional Documents-WUO_ERR'!A34, ":"))))</f>
        <v/>
      </c>
    </row>
    <row r="35">
      <c r="A35" s="38">
        <f>IF('Additional Documents'!B35 = "", "", IF('Additional Documents-WUO_ERR'!A35 = "", "Validated", HYPERLINK("#" &amp; ADDRESS(35, 'Additional Documents-WUO_TRK'!A35),_xlfn.TEXTAFTER('Additional Documents-WUO_ERR'!A35, ":"))))</f>
        <v/>
      </c>
    </row>
    <row r="36">
      <c r="A36" s="38">
        <f>IF('Additional Documents'!B36 = "", "", IF('Additional Documents-WUO_ERR'!A36 = "", "Validated", HYPERLINK("#" &amp; ADDRESS(36, 'Additional Documents-WUO_TRK'!A36),_xlfn.TEXTAFTER('Additional Documents-WUO_ERR'!A36, ":"))))</f>
        <v/>
      </c>
    </row>
    <row r="37">
      <c r="A37" s="38">
        <f>IF('Additional Documents'!B37 = "", "", IF('Additional Documents-WUO_ERR'!A37 = "", "Validated", HYPERLINK("#" &amp; ADDRESS(37, 'Additional Documents-WUO_TRK'!A37),_xlfn.TEXTAFTER('Additional Documents-WUO_ERR'!A37, ":"))))</f>
        <v/>
      </c>
    </row>
    <row r="38">
      <c r="A38" s="38">
        <f>IF('Additional Documents'!B38 = "", "", IF('Additional Documents-WUO_ERR'!A38 = "", "Validated", HYPERLINK("#" &amp; ADDRESS(38, 'Additional Documents-WUO_TRK'!A38),_xlfn.TEXTAFTER('Additional Documents-WUO_ERR'!A38, ":"))))</f>
        <v/>
      </c>
    </row>
    <row r="39">
      <c r="A39" s="38">
        <f>IF('Additional Documents'!B39 = "", "", IF('Additional Documents-WUO_ERR'!A39 = "", "Validated", HYPERLINK("#" &amp; ADDRESS(39, 'Additional Documents-WUO_TRK'!A39),_xlfn.TEXTAFTER('Additional Documents-WUO_ERR'!A39, ":"))))</f>
        <v/>
      </c>
    </row>
    <row r="40">
      <c r="A40" s="38">
        <f>IF('Additional Documents'!B40 = "", "", IF('Additional Documents-WUO_ERR'!A40 = "", "Validated", HYPERLINK("#" &amp; ADDRESS(40, 'Additional Documents-WUO_TRK'!A40),_xlfn.TEXTAFTER('Additional Documents-WUO_ERR'!A40, ":"))))</f>
        <v/>
      </c>
    </row>
    <row r="41">
      <c r="A41" s="38">
        <f>IF('Additional Documents'!B41 = "", "", IF('Additional Documents-WUO_ERR'!A41 = "", "Validated", HYPERLINK("#" &amp; ADDRESS(41, 'Additional Documents-WUO_TRK'!A41),_xlfn.TEXTAFTER('Additional Documents-WUO_ERR'!A41, ":"))))</f>
        <v/>
      </c>
    </row>
    <row r="42">
      <c r="A42" s="38">
        <f>IF('Additional Documents'!B42 = "", "", IF('Additional Documents-WUO_ERR'!A42 = "", "Validated", HYPERLINK("#" &amp; ADDRESS(42, 'Additional Documents-WUO_TRK'!A42),_xlfn.TEXTAFTER('Additional Documents-WUO_ERR'!A42, ":"))))</f>
        <v/>
      </c>
    </row>
    <row r="43">
      <c r="A43" s="38">
        <f>IF('Additional Documents'!B43 = "", "", IF('Additional Documents-WUO_ERR'!A43 = "", "Validated", HYPERLINK("#" &amp; ADDRESS(43, 'Additional Documents-WUO_TRK'!A43),_xlfn.TEXTAFTER('Additional Documents-WUO_ERR'!A43, ":"))))</f>
        <v/>
      </c>
    </row>
    <row r="44">
      <c r="A44" s="38">
        <f>IF('Additional Documents'!B44 = "", "", IF('Additional Documents-WUO_ERR'!A44 = "", "Validated", HYPERLINK("#" &amp; ADDRESS(44, 'Additional Documents-WUO_TRK'!A44),_xlfn.TEXTAFTER('Additional Documents-WUO_ERR'!A44, ":"))))</f>
        <v/>
      </c>
    </row>
    <row r="45">
      <c r="A45" s="38">
        <f>IF('Additional Documents'!B45 = "", "", IF('Additional Documents-WUO_ERR'!A45 = "", "Validated", HYPERLINK("#" &amp; ADDRESS(45, 'Additional Documents-WUO_TRK'!A45),_xlfn.TEXTAFTER('Additional Documents-WUO_ERR'!A45, ":"))))</f>
        <v/>
      </c>
    </row>
    <row r="46">
      <c r="A46" s="38">
        <f>IF('Additional Documents'!B46 = "", "", IF('Additional Documents-WUO_ERR'!A46 = "", "Validated", HYPERLINK("#" &amp; ADDRESS(46, 'Additional Documents-WUO_TRK'!A46),_xlfn.TEXTAFTER('Additional Documents-WUO_ERR'!A46, ":"))))</f>
        <v/>
      </c>
    </row>
    <row r="47">
      <c r="A47" s="38">
        <f>IF('Additional Documents'!B47 = "", "", IF('Additional Documents-WUO_ERR'!A47 = "", "Validated", HYPERLINK("#" &amp; ADDRESS(47, 'Additional Documents-WUO_TRK'!A47),_xlfn.TEXTAFTER('Additional Documents-WUO_ERR'!A47, ":"))))</f>
        <v/>
      </c>
    </row>
    <row r="48">
      <c r="A48" s="38">
        <f>IF('Additional Documents'!B48 = "", "", IF('Additional Documents-WUO_ERR'!A48 = "", "Validated", HYPERLINK("#" &amp; ADDRESS(48, 'Additional Documents-WUO_TRK'!A48),_xlfn.TEXTAFTER('Additional Documents-WUO_ERR'!A48, ":"))))</f>
        <v/>
      </c>
    </row>
    <row r="49">
      <c r="A49" s="38">
        <f>IF('Additional Documents'!B49 = "", "", IF('Additional Documents-WUO_ERR'!A49 = "", "Validated", HYPERLINK("#" &amp; ADDRESS(49, 'Additional Documents-WUO_TRK'!A49),_xlfn.TEXTAFTER('Additional Documents-WUO_ERR'!A49, ":"))))</f>
        <v/>
      </c>
    </row>
    <row r="50">
      <c r="A50" s="38">
        <f>IF('Additional Documents'!B50 = "", "", IF('Additional Documents-WUO_ERR'!A50 = "", "Validated", HYPERLINK("#" &amp; ADDRESS(50, 'Additional Documents-WUO_TRK'!A50),_xlfn.TEXTAFTER('Additional Documents-WUO_ERR'!A50, ":"))))</f>
        <v/>
      </c>
    </row>
    <row r="51">
      <c r="A51" s="38">
        <f>IF('Additional Documents'!B51 = "", "", IF('Additional Documents-WUO_ERR'!A51 = "", "Validated", HYPERLINK("#" &amp; ADDRESS(51, 'Additional Documents-WUO_TRK'!A51),_xlfn.TEXTAFTER('Additional Documents-WUO_ERR'!A51, ":"))))</f>
        <v/>
      </c>
    </row>
    <row r="52">
      <c r="A52" s="38">
        <f>IF('Additional Documents'!B52 = "", "", IF('Additional Documents-WUO_ERR'!A52 = "", "Validated", HYPERLINK("#" &amp; ADDRESS(52, 'Additional Documents-WUO_TRK'!A52),_xlfn.TEXTAFTER('Additional Documents-WUO_ERR'!A52, ":"))))</f>
        <v/>
      </c>
    </row>
    <row r="53">
      <c r="A53" s="38">
        <f>IF('Additional Documents'!B53 = "", "", IF('Additional Documents-WUO_ERR'!A53 = "", "Validated", HYPERLINK("#" &amp; ADDRESS(53, 'Additional Documents-WUO_TRK'!A53),_xlfn.TEXTAFTER('Additional Documents-WUO_ERR'!A53, ":"))))</f>
        <v/>
      </c>
    </row>
    <row r="54">
      <c r="A54" s="38">
        <f>IF('Additional Documents'!B54 = "", "", IF('Additional Documents-WUO_ERR'!A54 = "", "Validated", HYPERLINK("#" &amp; ADDRESS(54, 'Additional Documents-WUO_TRK'!A54),_xlfn.TEXTAFTER('Additional Documents-WUO_ERR'!A54, ":"))))</f>
        <v/>
      </c>
    </row>
    <row r="55">
      <c r="A55" s="38">
        <f>IF('Additional Documents'!B55 = "", "", IF('Additional Documents-WUO_ERR'!A55 = "", "Validated", HYPERLINK("#" &amp; ADDRESS(55, 'Additional Documents-WUO_TRK'!A55),_xlfn.TEXTAFTER('Additional Documents-WUO_ERR'!A55, ":"))))</f>
        <v/>
      </c>
    </row>
    <row r="56">
      <c r="A56" s="38">
        <f>IF('Additional Documents'!B56 = "", "", IF('Additional Documents-WUO_ERR'!A56 = "", "Validated", HYPERLINK("#" &amp; ADDRESS(56, 'Additional Documents-WUO_TRK'!A56),_xlfn.TEXTAFTER('Additional Documents-WUO_ERR'!A56, ":"))))</f>
        <v/>
      </c>
    </row>
    <row r="57">
      <c r="A57" s="38">
        <f>IF('Additional Documents'!B57 = "", "", IF('Additional Documents-WUO_ERR'!A57 = "", "Validated", HYPERLINK("#" &amp; ADDRESS(57, 'Additional Documents-WUO_TRK'!A57),_xlfn.TEXTAFTER('Additional Documents-WUO_ERR'!A57, ":"))))</f>
        <v/>
      </c>
    </row>
    <row r="58">
      <c r="A58" s="38">
        <f>IF('Additional Documents'!B58 = "", "", IF('Additional Documents-WUO_ERR'!A58 = "", "Validated", HYPERLINK("#" &amp; ADDRESS(58, 'Additional Documents-WUO_TRK'!A58),_xlfn.TEXTAFTER('Additional Documents-WUO_ERR'!A58, ":"))))</f>
        <v/>
      </c>
    </row>
    <row r="59">
      <c r="A59" s="38">
        <f>IF('Additional Documents'!B59 = "", "", IF('Additional Documents-WUO_ERR'!A59 = "", "Validated", HYPERLINK("#" &amp; ADDRESS(59, 'Additional Documents-WUO_TRK'!A59),_xlfn.TEXTAFTER('Additional Documents-WUO_ERR'!A59, ":"))))</f>
        <v/>
      </c>
    </row>
    <row r="60">
      <c r="A60" s="38">
        <f>IF('Additional Documents'!B60 = "", "", IF('Additional Documents-WUO_ERR'!A60 = "", "Validated", HYPERLINK("#" &amp; ADDRESS(60, 'Additional Documents-WUO_TRK'!A60),_xlfn.TEXTAFTER('Additional Documents-WUO_ERR'!A60, ":"))))</f>
        <v/>
      </c>
    </row>
    <row r="61">
      <c r="A61" s="38">
        <f>IF('Additional Documents'!B61 = "", "", IF('Additional Documents-WUO_ERR'!A61 = "", "Validated", HYPERLINK("#" &amp; ADDRESS(61, 'Additional Documents-WUO_TRK'!A61),_xlfn.TEXTAFTER('Additional Documents-WUO_ERR'!A61, ":"))))</f>
        <v/>
      </c>
    </row>
    <row r="62">
      <c r="A62" s="38">
        <f>IF('Additional Documents'!B62 = "", "", IF('Additional Documents-WUO_ERR'!A62 = "", "Validated", HYPERLINK("#" &amp; ADDRESS(62, 'Additional Documents-WUO_TRK'!A62),_xlfn.TEXTAFTER('Additional Documents-WUO_ERR'!A62, ":"))))</f>
        <v/>
      </c>
    </row>
    <row r="63">
      <c r="A63" s="38">
        <f>IF('Additional Documents'!B63 = "", "", IF('Additional Documents-WUO_ERR'!A63 = "", "Validated", HYPERLINK("#" &amp; ADDRESS(63, 'Additional Documents-WUO_TRK'!A63),_xlfn.TEXTAFTER('Additional Documents-WUO_ERR'!A63, ":"))))</f>
        <v/>
      </c>
    </row>
    <row r="64">
      <c r="A64" s="38">
        <f>IF('Additional Documents'!B64 = "", "", IF('Additional Documents-WUO_ERR'!A64 = "", "Validated", HYPERLINK("#" &amp; ADDRESS(64, 'Additional Documents-WUO_TRK'!A64),_xlfn.TEXTAFTER('Additional Documents-WUO_ERR'!A64, ":"))))</f>
        <v/>
      </c>
    </row>
    <row r="65">
      <c r="A65" s="38">
        <f>IF('Additional Documents'!B65 = "", "", IF('Additional Documents-WUO_ERR'!A65 = "", "Validated", HYPERLINK("#" &amp; ADDRESS(65, 'Additional Documents-WUO_TRK'!A65),_xlfn.TEXTAFTER('Additional Documents-WUO_ERR'!A65, ":"))))</f>
        <v/>
      </c>
    </row>
    <row r="66">
      <c r="A66" s="38">
        <f>IF('Additional Documents'!B66 = "", "", IF('Additional Documents-WUO_ERR'!A66 = "", "Validated", HYPERLINK("#" &amp; ADDRESS(66, 'Additional Documents-WUO_TRK'!A66),_xlfn.TEXTAFTER('Additional Documents-WUO_ERR'!A66, ":"))))</f>
        <v/>
      </c>
    </row>
    <row r="67">
      <c r="A67" s="38">
        <f>IF('Additional Documents'!B67 = "", "", IF('Additional Documents-WUO_ERR'!A67 = "", "Validated", HYPERLINK("#" &amp; ADDRESS(67, 'Additional Documents-WUO_TRK'!A67),_xlfn.TEXTAFTER('Additional Documents-WUO_ERR'!A67, ":"))))</f>
        <v/>
      </c>
    </row>
    <row r="68">
      <c r="A68" s="38">
        <f>IF('Additional Documents'!B68 = "", "", IF('Additional Documents-WUO_ERR'!A68 = "", "Validated", HYPERLINK("#" &amp; ADDRESS(68, 'Additional Documents-WUO_TRK'!A68),_xlfn.TEXTAFTER('Additional Documents-WUO_ERR'!A68, ":"))))</f>
        <v/>
      </c>
    </row>
    <row r="69">
      <c r="A69" s="38">
        <f>IF('Additional Documents'!B69 = "", "", IF('Additional Documents-WUO_ERR'!A69 = "", "Validated", HYPERLINK("#" &amp; ADDRESS(69, 'Additional Documents-WUO_TRK'!A69),_xlfn.TEXTAFTER('Additional Documents-WUO_ERR'!A69, ":"))))</f>
        <v/>
      </c>
    </row>
    <row r="70">
      <c r="A70" s="38">
        <f>IF('Additional Documents'!B70 = "", "", IF('Additional Documents-WUO_ERR'!A70 = "", "Validated", HYPERLINK("#" &amp; ADDRESS(70, 'Additional Documents-WUO_TRK'!A70),_xlfn.TEXTAFTER('Additional Documents-WUO_ERR'!A70, ":"))))</f>
        <v/>
      </c>
    </row>
    <row r="71">
      <c r="A71" s="38">
        <f>IF('Additional Documents'!B71 = "", "", IF('Additional Documents-WUO_ERR'!A71 = "", "Validated", HYPERLINK("#" &amp; ADDRESS(71, 'Additional Documents-WUO_TRK'!A71),_xlfn.TEXTAFTER('Additional Documents-WUO_ERR'!A71, ":"))))</f>
        <v/>
      </c>
    </row>
    <row r="72">
      <c r="A72" s="38">
        <f>IF('Additional Documents'!B72 = "", "", IF('Additional Documents-WUO_ERR'!A72 = "", "Validated", HYPERLINK("#" &amp; ADDRESS(72, 'Additional Documents-WUO_TRK'!A72),_xlfn.TEXTAFTER('Additional Documents-WUO_ERR'!A72, ":"))))</f>
        <v/>
      </c>
    </row>
    <row r="73">
      <c r="A73" s="38">
        <f>IF('Additional Documents'!B73 = "", "", IF('Additional Documents-WUO_ERR'!A73 = "", "Validated", HYPERLINK("#" &amp; ADDRESS(73, 'Additional Documents-WUO_TRK'!A73),_xlfn.TEXTAFTER('Additional Documents-WUO_ERR'!A73, ":"))))</f>
        <v/>
      </c>
    </row>
    <row r="74">
      <c r="A74" s="38">
        <f>IF('Additional Documents'!B74 = "", "", IF('Additional Documents-WUO_ERR'!A74 = "", "Validated", HYPERLINK("#" &amp; ADDRESS(74, 'Additional Documents-WUO_TRK'!A74),_xlfn.TEXTAFTER('Additional Documents-WUO_ERR'!A74, ":"))))</f>
        <v/>
      </c>
    </row>
    <row r="75">
      <c r="A75" s="38">
        <f>IF('Additional Documents'!B75 = "", "", IF('Additional Documents-WUO_ERR'!A75 = "", "Validated", HYPERLINK("#" &amp; ADDRESS(75, 'Additional Documents-WUO_TRK'!A75),_xlfn.TEXTAFTER('Additional Documents-WUO_ERR'!A75, ":"))))</f>
        <v/>
      </c>
    </row>
    <row r="76">
      <c r="A76" s="38">
        <f>IF('Additional Documents'!B76 = "", "", IF('Additional Documents-WUO_ERR'!A76 = "", "Validated", HYPERLINK("#" &amp; ADDRESS(76, 'Additional Documents-WUO_TRK'!A76),_xlfn.TEXTAFTER('Additional Documents-WUO_ERR'!A76, ":"))))</f>
        <v/>
      </c>
    </row>
    <row r="77">
      <c r="A77" s="38">
        <f>IF('Additional Documents'!B77 = "", "", IF('Additional Documents-WUO_ERR'!A77 = "", "Validated", HYPERLINK("#" &amp; ADDRESS(77, 'Additional Documents-WUO_TRK'!A77),_xlfn.TEXTAFTER('Additional Documents-WUO_ERR'!A77, ":"))))</f>
        <v/>
      </c>
    </row>
    <row r="78">
      <c r="A78" s="38">
        <f>IF('Additional Documents'!B78 = "", "", IF('Additional Documents-WUO_ERR'!A78 = "", "Validated", HYPERLINK("#" &amp; ADDRESS(78, 'Additional Documents-WUO_TRK'!A78),_xlfn.TEXTAFTER('Additional Documents-WUO_ERR'!A78, ":"))))</f>
        <v/>
      </c>
    </row>
    <row r="79">
      <c r="A79" s="38">
        <f>IF('Additional Documents'!B79 = "", "", IF('Additional Documents-WUO_ERR'!A79 = "", "Validated", HYPERLINK("#" &amp; ADDRESS(79, 'Additional Documents-WUO_TRK'!A79),_xlfn.TEXTAFTER('Additional Documents-WUO_ERR'!A79, ":"))))</f>
        <v/>
      </c>
    </row>
    <row r="80">
      <c r="A80" s="38">
        <f>IF('Additional Documents'!B80 = "", "", IF('Additional Documents-WUO_ERR'!A80 = "", "Validated", HYPERLINK("#" &amp; ADDRESS(80, 'Additional Documents-WUO_TRK'!A80),_xlfn.TEXTAFTER('Additional Documents-WUO_ERR'!A80, ":"))))</f>
        <v/>
      </c>
    </row>
    <row r="81">
      <c r="A81" s="38">
        <f>IF('Additional Documents'!B81 = "", "", IF('Additional Documents-WUO_ERR'!A81 = "", "Validated", HYPERLINK("#" &amp; ADDRESS(81, 'Additional Documents-WUO_TRK'!A81),_xlfn.TEXTAFTER('Additional Documents-WUO_ERR'!A81, ":"))))</f>
        <v/>
      </c>
    </row>
    <row r="82">
      <c r="A82" s="38">
        <f>IF('Additional Documents'!B82 = "", "", IF('Additional Documents-WUO_ERR'!A82 = "", "Validated", HYPERLINK("#" &amp; ADDRESS(82, 'Additional Documents-WUO_TRK'!A82),_xlfn.TEXTAFTER('Additional Documents-WUO_ERR'!A82, ":"))))</f>
        <v/>
      </c>
    </row>
    <row r="83">
      <c r="A83" s="38">
        <f>IF('Additional Documents'!B83 = "", "", IF('Additional Documents-WUO_ERR'!A83 = "", "Validated", HYPERLINK("#" &amp; ADDRESS(83, 'Additional Documents-WUO_TRK'!A83),_xlfn.TEXTAFTER('Additional Documents-WUO_ERR'!A83, ":"))))</f>
        <v/>
      </c>
    </row>
    <row r="84">
      <c r="A84" s="38">
        <f>IF('Additional Documents'!B84 = "", "", IF('Additional Documents-WUO_ERR'!A84 = "", "Validated", HYPERLINK("#" &amp; ADDRESS(84, 'Additional Documents-WUO_TRK'!A84),_xlfn.TEXTAFTER('Additional Documents-WUO_ERR'!A84, ":"))))</f>
        <v/>
      </c>
    </row>
    <row r="85">
      <c r="A85" s="38">
        <f>IF('Additional Documents'!B85 = "", "", IF('Additional Documents-WUO_ERR'!A85 = "", "Validated", HYPERLINK("#" &amp; ADDRESS(85, 'Additional Documents-WUO_TRK'!A85),_xlfn.TEXTAFTER('Additional Documents-WUO_ERR'!A85, ":"))))</f>
        <v/>
      </c>
    </row>
    <row r="86">
      <c r="A86" s="38">
        <f>IF('Additional Documents'!B86 = "", "", IF('Additional Documents-WUO_ERR'!A86 = "", "Validated", HYPERLINK("#" &amp; ADDRESS(86, 'Additional Documents-WUO_TRK'!A86),_xlfn.TEXTAFTER('Additional Documents-WUO_ERR'!A86, ":"))))</f>
        <v/>
      </c>
    </row>
    <row r="87">
      <c r="A87" s="38">
        <f>IF('Additional Documents'!B87 = "", "", IF('Additional Documents-WUO_ERR'!A87 = "", "Validated", HYPERLINK("#" &amp; ADDRESS(87, 'Additional Documents-WUO_TRK'!A87),_xlfn.TEXTAFTER('Additional Documents-WUO_ERR'!A87, ":"))))</f>
        <v/>
      </c>
    </row>
    <row r="88">
      <c r="A88" s="38">
        <f>IF('Additional Documents'!B88 = "", "", IF('Additional Documents-WUO_ERR'!A88 = "", "Validated", HYPERLINK("#" &amp; ADDRESS(88, 'Additional Documents-WUO_TRK'!A88),_xlfn.TEXTAFTER('Additional Documents-WUO_ERR'!A88, ":"))))</f>
        <v/>
      </c>
    </row>
    <row r="89">
      <c r="A89" s="38">
        <f>IF('Additional Documents'!B89 = "", "", IF('Additional Documents-WUO_ERR'!A89 = "", "Validated", HYPERLINK("#" &amp; ADDRESS(89, 'Additional Documents-WUO_TRK'!A89),_xlfn.TEXTAFTER('Additional Documents-WUO_ERR'!A89, ":"))))</f>
        <v/>
      </c>
    </row>
    <row r="90">
      <c r="A90" s="38">
        <f>IF('Additional Documents'!B90 = "", "", IF('Additional Documents-WUO_ERR'!A90 = "", "Validated", HYPERLINK("#" &amp; ADDRESS(90, 'Additional Documents-WUO_TRK'!A90),_xlfn.TEXTAFTER('Additional Documents-WUO_ERR'!A90, ":"))))</f>
        <v/>
      </c>
    </row>
    <row r="91">
      <c r="A91" s="38">
        <f>IF('Additional Documents'!B91 = "", "", IF('Additional Documents-WUO_ERR'!A91 = "", "Validated", HYPERLINK("#" &amp; ADDRESS(91, 'Additional Documents-WUO_TRK'!A91),_xlfn.TEXTAFTER('Additional Documents-WUO_ERR'!A91, ":"))))</f>
        <v/>
      </c>
    </row>
    <row r="92">
      <c r="A92" s="38">
        <f>IF('Additional Documents'!B92 = "", "", IF('Additional Documents-WUO_ERR'!A92 = "", "Validated", HYPERLINK("#" &amp; ADDRESS(92, 'Additional Documents-WUO_TRK'!A92),_xlfn.TEXTAFTER('Additional Documents-WUO_ERR'!A92, ":"))))</f>
        <v/>
      </c>
    </row>
    <row r="93">
      <c r="A93" s="38">
        <f>IF('Additional Documents'!B93 = "", "", IF('Additional Documents-WUO_ERR'!A93 = "", "Validated", HYPERLINK("#" &amp; ADDRESS(93, 'Additional Documents-WUO_TRK'!A93),_xlfn.TEXTAFTER('Additional Documents-WUO_ERR'!A93, ":"))))</f>
        <v/>
      </c>
    </row>
    <row r="94">
      <c r="A94" s="38">
        <f>IF('Additional Documents'!B94 = "", "", IF('Additional Documents-WUO_ERR'!A94 = "", "Validated", HYPERLINK("#" &amp; ADDRESS(94, 'Additional Documents-WUO_TRK'!A94),_xlfn.TEXTAFTER('Additional Documents-WUO_ERR'!A94, ":"))))</f>
        <v/>
      </c>
    </row>
    <row r="95">
      <c r="A95" s="38">
        <f>IF('Additional Documents'!B95 = "", "", IF('Additional Documents-WUO_ERR'!A95 = "", "Validated", HYPERLINK("#" &amp; ADDRESS(95, 'Additional Documents-WUO_TRK'!A95),_xlfn.TEXTAFTER('Additional Documents-WUO_ERR'!A95, ":"))))</f>
        <v/>
      </c>
    </row>
    <row r="96">
      <c r="A96" s="38">
        <f>IF('Additional Documents'!B96 = "", "", IF('Additional Documents-WUO_ERR'!A96 = "", "Validated", HYPERLINK("#" &amp; ADDRESS(96, 'Additional Documents-WUO_TRK'!A96),_xlfn.TEXTAFTER('Additional Documents-WUO_ERR'!A96, ":"))))</f>
        <v/>
      </c>
    </row>
    <row r="97">
      <c r="A97" s="38">
        <f>IF('Additional Documents'!B97 = "", "", IF('Additional Documents-WUO_ERR'!A97 = "", "Validated", HYPERLINK("#" &amp; ADDRESS(97, 'Additional Documents-WUO_TRK'!A97),_xlfn.TEXTAFTER('Additional Documents-WUO_ERR'!A97, ":"))))</f>
        <v/>
      </c>
    </row>
    <row r="98">
      <c r="A98" s="38">
        <f>IF('Additional Documents'!B98 = "", "", IF('Additional Documents-WUO_ERR'!A98 = "", "Validated", HYPERLINK("#" &amp; ADDRESS(98, 'Additional Documents-WUO_TRK'!A98),_xlfn.TEXTAFTER('Additional Documents-WUO_ERR'!A98, ":"))))</f>
        <v/>
      </c>
    </row>
    <row r="99">
      <c r="A99" s="38">
        <f>IF('Additional Documents'!B99 = "", "", IF('Additional Documents-WUO_ERR'!A99 = "", "Validated", HYPERLINK("#" &amp; ADDRESS(99, 'Additional Documents-WUO_TRK'!A99),_xlfn.TEXTAFTER('Additional Documents-WUO_ERR'!A99, ":"))))</f>
        <v/>
      </c>
    </row>
    <row r="100">
      <c r="A100" s="38">
        <f>IF('Additional Documents'!B100 = "", "", IF('Additional Documents-WUO_ERR'!A100 = "", "Validated", HYPERLINK("#" &amp; ADDRESS(100, 'Additional Documents-WUO_TRK'!A100),_xlfn.TEXTAFTER('Additional Documents-WUO_ERR'!A100, ":"))))</f>
        <v/>
      </c>
    </row>
    <row r="101">
      <c r="A101" s="38">
        <f>IF('Additional Documents'!B101 = "", "", IF('Additional Documents-WUO_ERR'!A101 = "", "Validated", HYPERLINK("#" &amp; ADDRESS(101, 'Additional Documents-WUO_TRK'!A101),_xlfn.TEXTAFTER('Additional Documents-WUO_ERR'!A101, ":"))))</f>
        <v/>
      </c>
    </row>
    <row r="102">
      <c r="A102" s="38">
        <f>IF('Additional Documents'!B102 = "", "", IF('Additional Documents-WUO_ERR'!A102 = "", "Validated", HYPERLINK("#" &amp; ADDRESS(102, 'Additional Documents-WUO_TRK'!A102),_xlfn.TEXTAFTER('Additional Documents-WUO_ERR'!A102, ":"))))</f>
        <v/>
      </c>
    </row>
    <row r="103">
      <c r="A103" s="38">
        <f>IF('Additional Documents'!B103 = "", "", IF('Additional Documents-WUO_ERR'!A103 = "", "Validated", HYPERLINK("#" &amp; ADDRESS(103, 'Additional Documents-WUO_TRK'!A103),_xlfn.TEXTAFTER('Additional Documents-WUO_ERR'!A103, ":"))))</f>
        <v/>
      </c>
    </row>
    <row r="104">
      <c r="A104" s="38">
        <f>IF('Additional Documents'!B104 = "", "", IF('Additional Documents-WUO_ERR'!A104 = "", "Validated", HYPERLINK("#" &amp; ADDRESS(104, 'Additional Documents-WUO_TRK'!A104),_xlfn.TEXTAFTER('Additional Documents-WUO_ERR'!A104, ":"))))</f>
        <v/>
      </c>
    </row>
    <row r="105">
      <c r="A105" s="38">
        <f>IF('Additional Documents'!B105 = "", "", IF('Additional Documents-WUO_ERR'!A105 = "", "Validated", HYPERLINK("#" &amp; ADDRESS(105, 'Additional Documents-WUO_TRK'!A105),_xlfn.TEXTAFTER('Additional Documents-WUO_ERR'!A105, ":"))))</f>
        <v/>
      </c>
    </row>
    <row r="106">
      <c r="A106" s="38">
        <f>IF('Additional Documents'!B106 = "", "", IF('Additional Documents-WUO_ERR'!A106 = "", "Validated", HYPERLINK("#" &amp; ADDRESS(106, 'Additional Documents-WUO_TRK'!A106),_xlfn.TEXTAFTER('Additional Documents-WUO_ERR'!A106, ":"))))</f>
        <v/>
      </c>
    </row>
    <row r="107">
      <c r="A107" s="38">
        <f>IF('Additional Documents'!B107 = "", "", IF('Additional Documents-WUO_ERR'!A107 = "", "Validated", HYPERLINK("#" &amp; ADDRESS(107, 'Additional Documents-WUO_TRK'!A107),_xlfn.TEXTAFTER('Additional Documents-WUO_ERR'!A107, ":"))))</f>
        <v/>
      </c>
    </row>
    <row r="108">
      <c r="A108" s="38">
        <f>IF('Additional Documents'!B108 = "", "", IF('Additional Documents-WUO_ERR'!A108 = "", "Validated", HYPERLINK("#" &amp; ADDRESS(108, 'Additional Documents-WUO_TRK'!A108),_xlfn.TEXTAFTER('Additional Documents-WUO_ERR'!A108, ":"))))</f>
        <v/>
      </c>
    </row>
    <row r="109">
      <c r="A109" s="38">
        <f>IF('Additional Documents'!B109 = "", "", IF('Additional Documents-WUO_ERR'!A109 = "", "Validated", HYPERLINK("#" &amp; ADDRESS(109, 'Additional Documents-WUO_TRK'!A109),_xlfn.TEXTAFTER('Additional Documents-WUO_ERR'!A109, ":"))))</f>
        <v/>
      </c>
    </row>
    <row r="110">
      <c r="A110" s="38">
        <f>IF('Additional Documents'!B110 = "", "", IF('Additional Documents-WUO_ERR'!A110 = "", "Validated", HYPERLINK("#" &amp; ADDRESS(110, 'Additional Documents-WUO_TRK'!A110),_xlfn.TEXTAFTER('Additional Documents-WUO_ERR'!A110, ":"))))</f>
        <v/>
      </c>
    </row>
    <row r="111">
      <c r="A111" s="38">
        <f>IF('Additional Documents'!B111 = "", "", IF('Additional Documents-WUO_ERR'!A111 = "", "Validated", HYPERLINK("#" &amp; ADDRESS(111, 'Additional Documents-WUO_TRK'!A111),_xlfn.TEXTAFTER('Additional Documents-WUO_ERR'!A111, ":"))))</f>
        <v/>
      </c>
    </row>
    <row r="112">
      <c r="A112" s="38">
        <f>IF('Additional Documents'!B112 = "", "", IF('Additional Documents-WUO_ERR'!A112 = "", "Validated", HYPERLINK("#" &amp; ADDRESS(112, 'Additional Documents-WUO_TRK'!A112),_xlfn.TEXTAFTER('Additional Documents-WUO_ERR'!A112, ":"))))</f>
        <v/>
      </c>
    </row>
    <row r="113">
      <c r="A113" s="38">
        <f>IF('Additional Documents'!B113 = "", "", IF('Additional Documents-WUO_ERR'!A113 = "", "Validated", HYPERLINK("#" &amp; ADDRESS(113, 'Additional Documents-WUO_TRK'!A113),_xlfn.TEXTAFTER('Additional Documents-WUO_ERR'!A113, ":"))))</f>
        <v/>
      </c>
    </row>
    <row r="114">
      <c r="A114" s="38">
        <f>IF('Additional Documents'!B114 = "", "", IF('Additional Documents-WUO_ERR'!A114 = "", "Validated", HYPERLINK("#" &amp; ADDRESS(114, 'Additional Documents-WUO_TRK'!A114),_xlfn.TEXTAFTER('Additional Documents-WUO_ERR'!A114, ":"))))</f>
        <v/>
      </c>
    </row>
    <row r="115">
      <c r="A115" s="38">
        <f>IF('Additional Documents'!B115 = "", "", IF('Additional Documents-WUO_ERR'!A115 = "", "Validated", HYPERLINK("#" &amp; ADDRESS(115, 'Additional Documents-WUO_TRK'!A115),_xlfn.TEXTAFTER('Additional Documents-WUO_ERR'!A115, ":"))))</f>
        <v/>
      </c>
    </row>
    <row r="116">
      <c r="A116" s="38">
        <f>IF('Additional Documents'!B116 = "", "", IF('Additional Documents-WUO_ERR'!A116 = "", "Validated", HYPERLINK("#" &amp; ADDRESS(116, 'Additional Documents-WUO_TRK'!A116),_xlfn.TEXTAFTER('Additional Documents-WUO_ERR'!A116, ":"))))</f>
        <v/>
      </c>
    </row>
    <row r="117">
      <c r="A117" s="38">
        <f>IF('Additional Documents'!B117 = "", "", IF('Additional Documents-WUO_ERR'!A117 = "", "Validated", HYPERLINK("#" &amp; ADDRESS(117, 'Additional Documents-WUO_TRK'!A117),_xlfn.TEXTAFTER('Additional Documents-WUO_ERR'!A117, ":"))))</f>
        <v/>
      </c>
    </row>
    <row r="118">
      <c r="A118" s="38">
        <f>IF('Additional Documents'!B118 = "", "", IF('Additional Documents-WUO_ERR'!A118 = "", "Validated", HYPERLINK("#" &amp; ADDRESS(118, 'Additional Documents-WUO_TRK'!A118),_xlfn.TEXTAFTER('Additional Documents-WUO_ERR'!A118, ":"))))</f>
        <v/>
      </c>
    </row>
    <row r="119">
      <c r="A119" s="38">
        <f>IF('Additional Documents'!B119 = "", "", IF('Additional Documents-WUO_ERR'!A119 = "", "Validated", HYPERLINK("#" &amp; ADDRESS(119, 'Additional Documents-WUO_TRK'!A119),_xlfn.TEXTAFTER('Additional Documents-WUO_ERR'!A119, ":"))))</f>
        <v/>
      </c>
    </row>
    <row r="120">
      <c r="A120" s="38">
        <f>IF('Additional Documents'!B120 = "", "", IF('Additional Documents-WUO_ERR'!A120 = "", "Validated", HYPERLINK("#" &amp; ADDRESS(120, 'Additional Documents-WUO_TRK'!A120),_xlfn.TEXTAFTER('Additional Documents-WUO_ERR'!A120, ":"))))</f>
        <v/>
      </c>
    </row>
    <row r="121">
      <c r="A121" s="38">
        <f>IF('Additional Documents'!B121 = "", "", IF('Additional Documents-WUO_ERR'!A121 = "", "Validated", HYPERLINK("#" &amp; ADDRESS(121, 'Additional Documents-WUO_TRK'!A121),_xlfn.TEXTAFTER('Additional Documents-WUO_ERR'!A121, ":"))))</f>
        <v/>
      </c>
    </row>
    <row r="122">
      <c r="A122" s="38">
        <f>IF('Additional Documents'!B122 = "", "", IF('Additional Documents-WUO_ERR'!A122 = "", "Validated", HYPERLINK("#" &amp; ADDRESS(122, 'Additional Documents-WUO_TRK'!A122),_xlfn.TEXTAFTER('Additional Documents-WUO_ERR'!A122, ":"))))</f>
        <v/>
      </c>
    </row>
    <row r="123">
      <c r="A123" s="38">
        <f>IF('Additional Documents'!B123 = "", "", IF('Additional Documents-WUO_ERR'!A123 = "", "Validated", HYPERLINK("#" &amp; ADDRESS(123, 'Additional Documents-WUO_TRK'!A123),_xlfn.TEXTAFTER('Additional Documents-WUO_ERR'!A123, ":"))))</f>
        <v/>
      </c>
    </row>
    <row r="124">
      <c r="A124" s="38">
        <f>IF('Additional Documents'!B124 = "", "", IF('Additional Documents-WUO_ERR'!A124 = "", "Validated", HYPERLINK("#" &amp; ADDRESS(124, 'Additional Documents-WUO_TRK'!A124),_xlfn.TEXTAFTER('Additional Documents-WUO_ERR'!A124, ":"))))</f>
        <v/>
      </c>
    </row>
    <row r="125">
      <c r="A125" s="38">
        <f>IF('Additional Documents'!B125 = "", "", IF('Additional Documents-WUO_ERR'!A125 = "", "Validated", HYPERLINK("#" &amp; ADDRESS(125, 'Additional Documents-WUO_TRK'!A125),_xlfn.TEXTAFTER('Additional Documents-WUO_ERR'!A125, ":"))))</f>
        <v/>
      </c>
    </row>
    <row r="126">
      <c r="A126" s="38">
        <f>IF('Additional Documents'!B126 = "", "", IF('Additional Documents-WUO_ERR'!A126 = "", "Validated", HYPERLINK("#" &amp; ADDRESS(126, 'Additional Documents-WUO_TRK'!A126),_xlfn.TEXTAFTER('Additional Documents-WUO_ERR'!A126, ":"))))</f>
        <v/>
      </c>
    </row>
    <row r="127">
      <c r="A127" s="38">
        <f>IF('Additional Documents'!B127 = "", "", IF('Additional Documents-WUO_ERR'!A127 = "", "Validated", HYPERLINK("#" &amp; ADDRESS(127, 'Additional Documents-WUO_TRK'!A127),_xlfn.TEXTAFTER('Additional Documents-WUO_ERR'!A127, ":"))))</f>
        <v/>
      </c>
    </row>
    <row r="128">
      <c r="A128" s="38">
        <f>IF('Additional Documents'!B128 = "", "", IF('Additional Documents-WUO_ERR'!A128 = "", "Validated", HYPERLINK("#" &amp; ADDRESS(128, 'Additional Documents-WUO_TRK'!A128),_xlfn.TEXTAFTER('Additional Documents-WUO_ERR'!A128, ":"))))</f>
        <v/>
      </c>
    </row>
    <row r="129">
      <c r="A129" s="38">
        <f>IF('Additional Documents'!B129 = "", "", IF('Additional Documents-WUO_ERR'!A129 = "", "Validated", HYPERLINK("#" &amp; ADDRESS(129, 'Additional Documents-WUO_TRK'!A129),_xlfn.TEXTAFTER('Additional Documents-WUO_ERR'!A129, ":"))))</f>
        <v/>
      </c>
    </row>
    <row r="130">
      <c r="A130" s="38">
        <f>IF('Additional Documents'!B130 = "", "", IF('Additional Documents-WUO_ERR'!A130 = "", "Validated", HYPERLINK("#" &amp; ADDRESS(130, 'Additional Documents-WUO_TRK'!A130),_xlfn.TEXTAFTER('Additional Documents-WUO_ERR'!A130, ":"))))</f>
        <v/>
      </c>
    </row>
    <row r="131">
      <c r="A131" s="38">
        <f>IF('Additional Documents'!B131 = "", "", IF('Additional Documents-WUO_ERR'!A131 = "", "Validated", HYPERLINK("#" &amp; ADDRESS(131, 'Additional Documents-WUO_TRK'!A131),_xlfn.TEXTAFTER('Additional Documents-WUO_ERR'!A131, ":"))))</f>
        <v/>
      </c>
    </row>
    <row r="132">
      <c r="A132" s="38">
        <f>IF('Additional Documents'!B132 = "", "", IF('Additional Documents-WUO_ERR'!A132 = "", "Validated", HYPERLINK("#" &amp; ADDRESS(132, 'Additional Documents-WUO_TRK'!A132),_xlfn.TEXTAFTER('Additional Documents-WUO_ERR'!A132, ":"))))</f>
        <v/>
      </c>
    </row>
    <row r="133">
      <c r="A133" s="38">
        <f>IF('Additional Documents'!B133 = "", "", IF('Additional Documents-WUO_ERR'!A133 = "", "Validated", HYPERLINK("#" &amp; ADDRESS(133, 'Additional Documents-WUO_TRK'!A133),_xlfn.TEXTAFTER('Additional Documents-WUO_ERR'!A133, ":"))))</f>
        <v/>
      </c>
    </row>
    <row r="134">
      <c r="A134" s="38">
        <f>IF('Additional Documents'!B134 = "", "", IF('Additional Documents-WUO_ERR'!A134 = "", "Validated", HYPERLINK("#" &amp; ADDRESS(134, 'Additional Documents-WUO_TRK'!A134),_xlfn.TEXTAFTER('Additional Documents-WUO_ERR'!A134, ":"))))</f>
        <v/>
      </c>
    </row>
    <row r="135">
      <c r="A135" s="38">
        <f>IF('Additional Documents'!B135 = "", "", IF('Additional Documents-WUO_ERR'!A135 = "", "Validated", HYPERLINK("#" &amp; ADDRESS(135, 'Additional Documents-WUO_TRK'!A135),_xlfn.TEXTAFTER('Additional Documents-WUO_ERR'!A135, ":"))))</f>
        <v/>
      </c>
    </row>
    <row r="136">
      <c r="A136" s="38">
        <f>IF('Additional Documents'!B136 = "", "", IF('Additional Documents-WUO_ERR'!A136 = "", "Validated", HYPERLINK("#" &amp; ADDRESS(136, 'Additional Documents-WUO_TRK'!A136),_xlfn.TEXTAFTER('Additional Documents-WUO_ERR'!A136, ":"))))</f>
        <v/>
      </c>
    </row>
    <row r="137">
      <c r="A137" s="38">
        <f>IF('Additional Documents'!B137 = "", "", IF('Additional Documents-WUO_ERR'!A137 = "", "Validated", HYPERLINK("#" &amp; ADDRESS(137, 'Additional Documents-WUO_TRK'!A137),_xlfn.TEXTAFTER('Additional Documents-WUO_ERR'!A137, ":"))))</f>
        <v/>
      </c>
    </row>
    <row r="138">
      <c r="A138" s="38">
        <f>IF('Additional Documents'!B138 = "", "", IF('Additional Documents-WUO_ERR'!A138 = "", "Validated", HYPERLINK("#" &amp; ADDRESS(138, 'Additional Documents-WUO_TRK'!A138),_xlfn.TEXTAFTER('Additional Documents-WUO_ERR'!A138, ":"))))</f>
        <v/>
      </c>
    </row>
    <row r="139">
      <c r="A139" s="38">
        <f>IF('Additional Documents'!B139 = "", "", IF('Additional Documents-WUO_ERR'!A139 = "", "Validated", HYPERLINK("#" &amp; ADDRESS(139, 'Additional Documents-WUO_TRK'!A139),_xlfn.TEXTAFTER('Additional Documents-WUO_ERR'!A139, ":"))))</f>
        <v/>
      </c>
    </row>
    <row r="140">
      <c r="A140" s="38">
        <f>IF('Additional Documents'!B140 = "", "", IF('Additional Documents-WUO_ERR'!A140 = "", "Validated", HYPERLINK("#" &amp; ADDRESS(140, 'Additional Documents-WUO_TRK'!A140),_xlfn.TEXTAFTER('Additional Documents-WUO_ERR'!A140, ":"))))</f>
        <v/>
      </c>
    </row>
    <row r="141">
      <c r="A141" s="38">
        <f>IF('Additional Documents'!B141 = "", "", IF('Additional Documents-WUO_ERR'!A141 = "", "Validated", HYPERLINK("#" &amp; ADDRESS(141, 'Additional Documents-WUO_TRK'!A141),_xlfn.TEXTAFTER('Additional Documents-WUO_ERR'!A141, ":"))))</f>
        <v/>
      </c>
    </row>
    <row r="142">
      <c r="A142" s="38">
        <f>IF('Additional Documents'!B142 = "", "", IF('Additional Documents-WUO_ERR'!A142 = "", "Validated", HYPERLINK("#" &amp; ADDRESS(142, 'Additional Documents-WUO_TRK'!A142),_xlfn.TEXTAFTER('Additional Documents-WUO_ERR'!A142, ":"))))</f>
        <v/>
      </c>
    </row>
    <row r="143">
      <c r="A143" s="38">
        <f>IF('Additional Documents'!B143 = "", "", IF('Additional Documents-WUO_ERR'!A143 = "", "Validated", HYPERLINK("#" &amp; ADDRESS(143, 'Additional Documents-WUO_TRK'!A143),_xlfn.TEXTAFTER('Additional Documents-WUO_ERR'!A143, ":"))))</f>
        <v/>
      </c>
    </row>
    <row r="144">
      <c r="A144" s="38">
        <f>IF('Additional Documents'!B144 = "", "", IF('Additional Documents-WUO_ERR'!A144 = "", "Validated", HYPERLINK("#" &amp; ADDRESS(144, 'Additional Documents-WUO_TRK'!A144),_xlfn.TEXTAFTER('Additional Documents-WUO_ERR'!A144, ":"))))</f>
        <v/>
      </c>
    </row>
    <row r="145">
      <c r="A145" s="38">
        <f>IF('Additional Documents'!B145 = "", "", IF('Additional Documents-WUO_ERR'!A145 = "", "Validated", HYPERLINK("#" &amp; ADDRESS(145, 'Additional Documents-WUO_TRK'!A145),_xlfn.TEXTAFTER('Additional Documents-WUO_ERR'!A145, ":"))))</f>
        <v/>
      </c>
    </row>
    <row r="146">
      <c r="A146" s="38">
        <f>IF('Additional Documents'!B146 = "", "", IF('Additional Documents-WUO_ERR'!A146 = "", "Validated", HYPERLINK("#" &amp; ADDRESS(146, 'Additional Documents-WUO_TRK'!A146),_xlfn.TEXTAFTER('Additional Documents-WUO_ERR'!A146, ":"))))</f>
        <v/>
      </c>
    </row>
    <row r="147">
      <c r="A147" s="38">
        <f>IF('Additional Documents'!B147 = "", "", IF('Additional Documents-WUO_ERR'!A147 = "", "Validated", HYPERLINK("#" &amp; ADDRESS(147, 'Additional Documents-WUO_TRK'!A147),_xlfn.TEXTAFTER('Additional Documents-WUO_ERR'!A147, ":"))))</f>
        <v/>
      </c>
    </row>
    <row r="148">
      <c r="A148" s="38">
        <f>IF('Additional Documents'!B148 = "", "", IF('Additional Documents-WUO_ERR'!A148 = "", "Validated", HYPERLINK("#" &amp; ADDRESS(148, 'Additional Documents-WUO_TRK'!A148),_xlfn.TEXTAFTER('Additional Documents-WUO_ERR'!A148, ":"))))</f>
        <v/>
      </c>
    </row>
    <row r="149">
      <c r="A149" s="38">
        <f>IF('Additional Documents'!B149 = "", "", IF('Additional Documents-WUO_ERR'!A149 = "", "Validated", HYPERLINK("#" &amp; ADDRESS(149, 'Additional Documents-WUO_TRK'!A149),_xlfn.TEXTAFTER('Additional Documents-WUO_ERR'!A149, ":"))))</f>
        <v/>
      </c>
    </row>
    <row r="150">
      <c r="A150" s="38">
        <f>IF('Additional Documents'!B150 = "", "", IF('Additional Documents-WUO_ERR'!A150 = "", "Validated", HYPERLINK("#" &amp; ADDRESS(150, 'Additional Documents-WUO_TRK'!A150),_xlfn.TEXTAFTER('Additional Documents-WUO_ERR'!A150, ":"))))</f>
        <v/>
      </c>
    </row>
    <row r="151">
      <c r="A151" s="38">
        <f>IF('Additional Documents'!B151 = "", "", IF('Additional Documents-WUO_ERR'!A151 = "", "Validated", HYPERLINK("#" &amp; ADDRESS(151, 'Additional Documents-WUO_TRK'!A151),_xlfn.TEXTAFTER('Additional Documents-WUO_ERR'!A151, ":"))))</f>
        <v/>
      </c>
    </row>
    <row r="152">
      <c r="A152" s="38">
        <f>IF('Additional Documents'!B152 = "", "", IF('Additional Documents-WUO_ERR'!A152 = "", "Validated", HYPERLINK("#" &amp; ADDRESS(152, 'Additional Documents-WUO_TRK'!A152),_xlfn.TEXTAFTER('Additional Documents-WUO_ERR'!A152, ":"))))</f>
        <v/>
      </c>
    </row>
    <row r="153">
      <c r="A153" s="38">
        <f>IF('Additional Documents'!B153 = "", "", IF('Additional Documents-WUO_ERR'!A153 = "", "Validated", HYPERLINK("#" &amp; ADDRESS(153, 'Additional Documents-WUO_TRK'!A153),_xlfn.TEXTAFTER('Additional Documents-WUO_ERR'!A153, ":"))))</f>
        <v/>
      </c>
    </row>
    <row r="154">
      <c r="A154" s="38">
        <f>IF('Additional Documents'!B154 = "", "", IF('Additional Documents-WUO_ERR'!A154 = "", "Validated", HYPERLINK("#" &amp; ADDRESS(154, 'Additional Documents-WUO_TRK'!A154),_xlfn.TEXTAFTER('Additional Documents-WUO_ERR'!A154, ":"))))</f>
        <v/>
      </c>
    </row>
    <row r="155">
      <c r="A155" s="38">
        <f>IF('Additional Documents'!B155 = "", "", IF('Additional Documents-WUO_ERR'!A155 = "", "Validated", HYPERLINK("#" &amp; ADDRESS(155, 'Additional Documents-WUO_TRK'!A155),_xlfn.TEXTAFTER('Additional Documents-WUO_ERR'!A155, ":"))))</f>
        <v/>
      </c>
    </row>
    <row r="156">
      <c r="A156" s="38">
        <f>IF('Additional Documents'!B156 = "", "", IF('Additional Documents-WUO_ERR'!A156 = "", "Validated", HYPERLINK("#" &amp; ADDRESS(156, 'Additional Documents-WUO_TRK'!A156),_xlfn.TEXTAFTER('Additional Documents-WUO_ERR'!A156, ":"))))</f>
        <v/>
      </c>
    </row>
    <row r="157">
      <c r="A157" s="38">
        <f>IF('Additional Documents'!B157 = "", "", IF('Additional Documents-WUO_ERR'!A157 = "", "Validated", HYPERLINK("#" &amp; ADDRESS(157, 'Additional Documents-WUO_TRK'!A157),_xlfn.TEXTAFTER('Additional Documents-WUO_ERR'!A157, ":"))))</f>
        <v/>
      </c>
    </row>
    <row r="158">
      <c r="A158" s="38">
        <f>IF('Additional Documents'!B158 = "", "", IF('Additional Documents-WUO_ERR'!A158 = "", "Validated", HYPERLINK("#" &amp; ADDRESS(158, 'Additional Documents-WUO_TRK'!A158),_xlfn.TEXTAFTER('Additional Documents-WUO_ERR'!A158, ":"))))</f>
        <v/>
      </c>
    </row>
    <row r="159">
      <c r="A159" s="38">
        <f>IF('Additional Documents'!B159 = "", "", IF('Additional Documents-WUO_ERR'!A159 = "", "Validated", HYPERLINK("#" &amp; ADDRESS(159, 'Additional Documents-WUO_TRK'!A159),_xlfn.TEXTAFTER('Additional Documents-WUO_ERR'!A159, ":"))))</f>
        <v/>
      </c>
    </row>
    <row r="160">
      <c r="A160" s="38">
        <f>IF('Additional Documents'!B160 = "", "", IF('Additional Documents-WUO_ERR'!A160 = "", "Validated", HYPERLINK("#" &amp; ADDRESS(160, 'Additional Documents-WUO_TRK'!A160),_xlfn.TEXTAFTER('Additional Documents-WUO_ERR'!A160, ":"))))</f>
        <v/>
      </c>
    </row>
    <row r="161">
      <c r="A161" s="38">
        <f>IF('Additional Documents'!B161 = "", "", IF('Additional Documents-WUO_ERR'!A161 = "", "Validated", HYPERLINK("#" &amp; ADDRESS(161, 'Additional Documents-WUO_TRK'!A161),_xlfn.TEXTAFTER('Additional Documents-WUO_ERR'!A161, ":"))))</f>
        <v/>
      </c>
    </row>
    <row r="162">
      <c r="A162" s="38">
        <f>IF('Additional Documents'!B162 = "", "", IF('Additional Documents-WUO_ERR'!A162 = "", "Validated", HYPERLINK("#" &amp; ADDRESS(162, 'Additional Documents-WUO_TRK'!A162),_xlfn.TEXTAFTER('Additional Documents-WUO_ERR'!A162, ":"))))</f>
        <v/>
      </c>
    </row>
    <row r="163">
      <c r="A163" s="38">
        <f>IF('Additional Documents'!B163 = "", "", IF('Additional Documents-WUO_ERR'!A163 = "", "Validated", HYPERLINK("#" &amp; ADDRESS(163, 'Additional Documents-WUO_TRK'!A163),_xlfn.TEXTAFTER('Additional Documents-WUO_ERR'!A163, ":"))))</f>
        <v/>
      </c>
    </row>
    <row r="164">
      <c r="A164" s="38">
        <f>IF('Additional Documents'!B164 = "", "", IF('Additional Documents-WUO_ERR'!A164 = "", "Validated", HYPERLINK("#" &amp; ADDRESS(164, 'Additional Documents-WUO_TRK'!A164),_xlfn.TEXTAFTER('Additional Documents-WUO_ERR'!A164, ":"))))</f>
        <v/>
      </c>
    </row>
    <row r="165">
      <c r="A165" s="38">
        <f>IF('Additional Documents'!B165 = "", "", IF('Additional Documents-WUO_ERR'!A165 = "", "Validated", HYPERLINK("#" &amp; ADDRESS(165, 'Additional Documents-WUO_TRK'!A165),_xlfn.TEXTAFTER('Additional Documents-WUO_ERR'!A165, ":"))))</f>
        <v/>
      </c>
    </row>
    <row r="166">
      <c r="A166" s="38">
        <f>IF('Additional Documents'!B166 = "", "", IF('Additional Documents-WUO_ERR'!A166 = "", "Validated", HYPERLINK("#" &amp; ADDRESS(166, 'Additional Documents-WUO_TRK'!A166),_xlfn.TEXTAFTER('Additional Documents-WUO_ERR'!A166, ":"))))</f>
        <v/>
      </c>
    </row>
    <row r="167">
      <c r="A167" s="38">
        <f>IF('Additional Documents'!B167 = "", "", IF('Additional Documents-WUO_ERR'!A167 = "", "Validated", HYPERLINK("#" &amp; ADDRESS(167, 'Additional Documents-WUO_TRK'!A167),_xlfn.TEXTAFTER('Additional Documents-WUO_ERR'!A167, ":"))))</f>
        <v/>
      </c>
    </row>
    <row r="168">
      <c r="A168" s="38">
        <f>IF('Additional Documents'!B168 = "", "", IF('Additional Documents-WUO_ERR'!A168 = "", "Validated", HYPERLINK("#" &amp; ADDRESS(168, 'Additional Documents-WUO_TRK'!A168),_xlfn.TEXTAFTER('Additional Documents-WUO_ERR'!A168, ":"))))</f>
        <v/>
      </c>
    </row>
    <row r="169">
      <c r="A169" s="38">
        <f>IF('Additional Documents'!B169 = "", "", IF('Additional Documents-WUO_ERR'!A169 = "", "Validated", HYPERLINK("#" &amp; ADDRESS(169, 'Additional Documents-WUO_TRK'!A169),_xlfn.TEXTAFTER('Additional Documents-WUO_ERR'!A169, ":"))))</f>
        <v/>
      </c>
    </row>
    <row r="170">
      <c r="A170" s="38">
        <f>IF('Additional Documents'!B170 = "", "", IF('Additional Documents-WUO_ERR'!A170 = "", "Validated", HYPERLINK("#" &amp; ADDRESS(170, 'Additional Documents-WUO_TRK'!A170),_xlfn.TEXTAFTER('Additional Documents-WUO_ERR'!A170, ":"))))</f>
        <v/>
      </c>
    </row>
    <row r="171">
      <c r="A171" s="38">
        <f>IF('Additional Documents'!B171 = "", "", IF('Additional Documents-WUO_ERR'!A171 = "", "Validated", HYPERLINK("#" &amp; ADDRESS(171, 'Additional Documents-WUO_TRK'!A171),_xlfn.TEXTAFTER('Additional Documents-WUO_ERR'!A171, ":"))))</f>
        <v/>
      </c>
    </row>
    <row r="172">
      <c r="A172" s="38">
        <f>IF('Additional Documents'!B172 = "", "", IF('Additional Documents-WUO_ERR'!A172 = "", "Validated", HYPERLINK("#" &amp; ADDRESS(172, 'Additional Documents-WUO_TRK'!A172),_xlfn.TEXTAFTER('Additional Documents-WUO_ERR'!A172, ":"))))</f>
        <v/>
      </c>
    </row>
    <row r="173">
      <c r="A173" s="38">
        <f>IF('Additional Documents'!B173 = "", "", IF('Additional Documents-WUO_ERR'!A173 = "", "Validated", HYPERLINK("#" &amp; ADDRESS(173, 'Additional Documents-WUO_TRK'!A173),_xlfn.TEXTAFTER('Additional Documents-WUO_ERR'!A173, ":"))))</f>
        <v/>
      </c>
    </row>
    <row r="174">
      <c r="A174" s="38">
        <f>IF('Additional Documents'!B174 = "", "", IF('Additional Documents-WUO_ERR'!A174 = "", "Validated", HYPERLINK("#" &amp; ADDRESS(174, 'Additional Documents-WUO_TRK'!A174),_xlfn.TEXTAFTER('Additional Documents-WUO_ERR'!A174, ":"))))</f>
        <v/>
      </c>
    </row>
    <row r="175">
      <c r="A175" s="38">
        <f>IF('Additional Documents'!B175 = "", "", IF('Additional Documents-WUO_ERR'!A175 = "", "Validated", HYPERLINK("#" &amp; ADDRESS(175, 'Additional Documents-WUO_TRK'!A175),_xlfn.TEXTAFTER('Additional Documents-WUO_ERR'!A175, ":"))))</f>
        <v/>
      </c>
    </row>
    <row r="176">
      <c r="A176" s="38">
        <f>IF('Additional Documents'!B176 = "", "", IF('Additional Documents-WUO_ERR'!A176 = "", "Validated", HYPERLINK("#" &amp; ADDRESS(176, 'Additional Documents-WUO_TRK'!A176),_xlfn.TEXTAFTER('Additional Documents-WUO_ERR'!A176, ":"))))</f>
        <v/>
      </c>
    </row>
    <row r="177">
      <c r="A177" s="38">
        <f>IF('Additional Documents'!B177 = "", "", IF('Additional Documents-WUO_ERR'!A177 = "", "Validated", HYPERLINK("#" &amp; ADDRESS(177, 'Additional Documents-WUO_TRK'!A177),_xlfn.TEXTAFTER('Additional Documents-WUO_ERR'!A177, ":"))))</f>
        <v/>
      </c>
    </row>
    <row r="178">
      <c r="A178" s="38">
        <f>IF('Additional Documents'!B178 = "", "", IF('Additional Documents-WUO_ERR'!A178 = "", "Validated", HYPERLINK("#" &amp; ADDRESS(178, 'Additional Documents-WUO_TRK'!A178),_xlfn.TEXTAFTER('Additional Documents-WUO_ERR'!A178, ":"))))</f>
        <v/>
      </c>
    </row>
    <row r="179">
      <c r="A179" s="38">
        <f>IF('Additional Documents'!B179 = "", "", IF('Additional Documents-WUO_ERR'!A179 = "", "Validated", HYPERLINK("#" &amp; ADDRESS(179, 'Additional Documents-WUO_TRK'!A179),_xlfn.TEXTAFTER('Additional Documents-WUO_ERR'!A179, ":"))))</f>
        <v/>
      </c>
    </row>
    <row r="180">
      <c r="A180" s="38">
        <f>IF('Additional Documents'!B180 = "", "", IF('Additional Documents-WUO_ERR'!A180 = "", "Validated", HYPERLINK("#" &amp; ADDRESS(180, 'Additional Documents-WUO_TRK'!A180),_xlfn.TEXTAFTER('Additional Documents-WUO_ERR'!A180, ":"))))</f>
        <v/>
      </c>
    </row>
    <row r="181">
      <c r="A181" s="38">
        <f>IF('Additional Documents'!B181 = "", "", IF('Additional Documents-WUO_ERR'!A181 = "", "Validated", HYPERLINK("#" &amp; ADDRESS(181, 'Additional Documents-WUO_TRK'!A181),_xlfn.TEXTAFTER('Additional Documents-WUO_ERR'!A181, ":"))))</f>
        <v/>
      </c>
    </row>
    <row r="182">
      <c r="A182" s="38">
        <f>IF('Additional Documents'!B182 = "", "", IF('Additional Documents-WUO_ERR'!A182 = "", "Validated", HYPERLINK("#" &amp; ADDRESS(182, 'Additional Documents-WUO_TRK'!A182),_xlfn.TEXTAFTER('Additional Documents-WUO_ERR'!A182, ":"))))</f>
        <v/>
      </c>
    </row>
    <row r="183">
      <c r="A183" s="38">
        <f>IF('Additional Documents'!B183 = "", "", IF('Additional Documents-WUO_ERR'!A183 = "", "Validated", HYPERLINK("#" &amp; ADDRESS(183, 'Additional Documents-WUO_TRK'!A183),_xlfn.TEXTAFTER('Additional Documents-WUO_ERR'!A183, ":"))))</f>
        <v/>
      </c>
    </row>
    <row r="184">
      <c r="A184" s="38">
        <f>IF('Additional Documents'!B184 = "", "", IF('Additional Documents-WUO_ERR'!A184 = "", "Validated", HYPERLINK("#" &amp; ADDRESS(184, 'Additional Documents-WUO_TRK'!A184),_xlfn.TEXTAFTER('Additional Documents-WUO_ERR'!A184, ":"))))</f>
        <v/>
      </c>
    </row>
    <row r="185">
      <c r="A185" s="38">
        <f>IF('Additional Documents'!B185 = "", "", IF('Additional Documents-WUO_ERR'!A185 = "", "Validated", HYPERLINK("#" &amp; ADDRESS(185, 'Additional Documents-WUO_TRK'!A185),_xlfn.TEXTAFTER('Additional Documents-WUO_ERR'!A185, ":"))))</f>
        <v/>
      </c>
    </row>
    <row r="186">
      <c r="A186" s="38">
        <f>IF('Additional Documents'!B186 = "", "", IF('Additional Documents-WUO_ERR'!A186 = "", "Validated", HYPERLINK("#" &amp; ADDRESS(186, 'Additional Documents-WUO_TRK'!A186),_xlfn.TEXTAFTER('Additional Documents-WUO_ERR'!A186, ":"))))</f>
        <v/>
      </c>
    </row>
    <row r="187">
      <c r="A187" s="38">
        <f>IF('Additional Documents'!B187 = "", "", IF('Additional Documents-WUO_ERR'!A187 = "", "Validated", HYPERLINK("#" &amp; ADDRESS(187, 'Additional Documents-WUO_TRK'!A187),_xlfn.TEXTAFTER('Additional Documents-WUO_ERR'!A187, ":"))))</f>
        <v/>
      </c>
    </row>
    <row r="188">
      <c r="A188" s="38">
        <f>IF('Additional Documents'!B188 = "", "", IF('Additional Documents-WUO_ERR'!A188 = "", "Validated", HYPERLINK("#" &amp; ADDRESS(188, 'Additional Documents-WUO_TRK'!A188),_xlfn.TEXTAFTER('Additional Documents-WUO_ERR'!A188, ":"))))</f>
        <v/>
      </c>
    </row>
    <row r="189">
      <c r="A189" s="38">
        <f>IF('Additional Documents'!B189 = "", "", IF('Additional Documents-WUO_ERR'!A189 = "", "Validated", HYPERLINK("#" &amp; ADDRESS(189, 'Additional Documents-WUO_TRK'!A189),_xlfn.TEXTAFTER('Additional Documents-WUO_ERR'!A189, ":"))))</f>
        <v/>
      </c>
    </row>
    <row r="190">
      <c r="A190" s="38">
        <f>IF('Additional Documents'!B190 = "", "", IF('Additional Documents-WUO_ERR'!A190 = "", "Validated", HYPERLINK("#" &amp; ADDRESS(190, 'Additional Documents-WUO_TRK'!A190),_xlfn.TEXTAFTER('Additional Documents-WUO_ERR'!A190, ":"))))</f>
        <v/>
      </c>
    </row>
    <row r="191">
      <c r="A191" s="38">
        <f>IF('Additional Documents'!B191 = "", "", IF('Additional Documents-WUO_ERR'!A191 = "", "Validated", HYPERLINK("#" &amp; ADDRESS(191, 'Additional Documents-WUO_TRK'!A191),_xlfn.TEXTAFTER('Additional Documents-WUO_ERR'!A191, ":"))))</f>
        <v/>
      </c>
    </row>
    <row r="192">
      <c r="A192" s="38">
        <f>IF('Additional Documents'!B192 = "", "", IF('Additional Documents-WUO_ERR'!A192 = "", "Validated", HYPERLINK("#" &amp; ADDRESS(192, 'Additional Documents-WUO_TRK'!A192),_xlfn.TEXTAFTER('Additional Documents-WUO_ERR'!A192, ":"))))</f>
        <v/>
      </c>
    </row>
    <row r="193">
      <c r="A193" s="38">
        <f>IF('Additional Documents'!B193 = "", "", IF('Additional Documents-WUO_ERR'!A193 = "", "Validated", HYPERLINK("#" &amp; ADDRESS(193, 'Additional Documents-WUO_TRK'!A193),_xlfn.TEXTAFTER('Additional Documents-WUO_ERR'!A193, ":"))))</f>
        <v/>
      </c>
    </row>
    <row r="194">
      <c r="A194" s="38">
        <f>IF('Additional Documents'!B194 = "", "", IF('Additional Documents-WUO_ERR'!A194 = "", "Validated", HYPERLINK("#" &amp; ADDRESS(194, 'Additional Documents-WUO_TRK'!A194),_xlfn.TEXTAFTER('Additional Documents-WUO_ERR'!A194, ":"))))</f>
        <v/>
      </c>
    </row>
    <row r="195">
      <c r="A195" s="38">
        <f>IF('Additional Documents'!B195 = "", "", IF('Additional Documents-WUO_ERR'!A195 = "", "Validated", HYPERLINK("#" &amp; ADDRESS(195, 'Additional Documents-WUO_TRK'!A195),_xlfn.TEXTAFTER('Additional Documents-WUO_ERR'!A195, ":"))))</f>
        <v/>
      </c>
    </row>
    <row r="196">
      <c r="A196" s="38">
        <f>IF('Additional Documents'!B196 = "", "", IF('Additional Documents-WUO_ERR'!A196 = "", "Validated", HYPERLINK("#" &amp; ADDRESS(196, 'Additional Documents-WUO_TRK'!A196),_xlfn.TEXTAFTER('Additional Documents-WUO_ERR'!A196, ":"))))</f>
        <v/>
      </c>
    </row>
    <row r="197">
      <c r="A197" s="38">
        <f>IF('Additional Documents'!B197 = "", "", IF('Additional Documents-WUO_ERR'!A197 = "", "Validated", HYPERLINK("#" &amp; ADDRESS(197, 'Additional Documents-WUO_TRK'!A197),_xlfn.TEXTAFTER('Additional Documents-WUO_ERR'!A197, ":"))))</f>
        <v/>
      </c>
    </row>
    <row r="198">
      <c r="A198" s="38">
        <f>IF('Additional Documents'!B198 = "", "", IF('Additional Documents-WUO_ERR'!A198 = "", "Validated", HYPERLINK("#" &amp; ADDRESS(198, 'Additional Documents-WUO_TRK'!A198),_xlfn.TEXTAFTER('Additional Documents-WUO_ERR'!A198, ":"))))</f>
        <v/>
      </c>
    </row>
    <row r="199">
      <c r="A199" s="38">
        <f>IF('Additional Documents'!B199 = "", "", IF('Additional Documents-WUO_ERR'!A199 = "", "Validated", HYPERLINK("#" &amp; ADDRESS(199, 'Additional Documents-WUO_TRK'!A199),_xlfn.TEXTAFTER('Additional Documents-WUO_ERR'!A199, ":"))))</f>
        <v/>
      </c>
    </row>
    <row r="200">
      <c r="A200" s="38">
        <f>IF('Additional Documents'!B200 = "", "", IF('Additional Documents-WUO_ERR'!A200 = "", "Validated", HYPERLINK("#" &amp; ADDRESS(200, 'Additional Documents-WUO_TRK'!A200),_xlfn.TEXTAFTER('Additional Documents-WUO_ERR'!A200, ":"))))</f>
        <v/>
      </c>
    </row>
    <row r="201">
      <c r="A201" s="38">
        <f>IF('Additional Documents'!B201 = "", "", IF('Additional Documents-WUO_ERR'!A201 = "", "Validated", HYPERLINK("#" &amp; ADDRESS(201, 'Additional Documents-WUO_TRK'!A201),_xlfn.TEXTAFTER('Additional Documents-WUO_ERR'!A201, ":"))))</f>
        <v/>
      </c>
    </row>
    <row r="202">
      <c r="A202" s="38">
        <f>IF('Additional Documents'!B202 = "", "", IF('Additional Documents-WUO_ERR'!A202 = "", "Validated", HYPERLINK("#" &amp; ADDRESS(202, 'Additional Documents-WUO_TRK'!A202),_xlfn.TEXTAFTER('Additional Documents-WUO_ERR'!A202, ":"))))</f>
        <v/>
      </c>
    </row>
    <row r="203">
      <c r="A203" s="38">
        <f>IF('Additional Documents'!B203 = "", "", IF('Additional Documents-WUO_ERR'!A203 = "", "Validated", HYPERLINK("#" &amp; ADDRESS(203, 'Additional Documents-WUO_TRK'!A203),_xlfn.TEXTAFTER('Additional Documents-WUO_ERR'!A203, ":"))))</f>
        <v/>
      </c>
    </row>
    <row r="204">
      <c r="A204" s="38">
        <f>IF('Additional Documents'!B204 = "", "", IF('Additional Documents-WUO_ERR'!A204 = "", "Validated", HYPERLINK("#" &amp; ADDRESS(204, 'Additional Documents-WUO_TRK'!A204),_xlfn.TEXTAFTER('Additional Documents-WUO_ERR'!A204, ":"))))</f>
        <v/>
      </c>
    </row>
    <row r="205">
      <c r="A205" s="38">
        <f>IF('Additional Documents'!B205 = "", "", IF('Additional Documents-WUO_ERR'!A205 = "", "Validated", HYPERLINK("#" &amp; ADDRESS(205, 'Additional Documents-WUO_TRK'!A205),_xlfn.TEXTAFTER('Additional Documents-WUO_ERR'!A205, ":"))))</f>
        <v/>
      </c>
    </row>
    <row r="206">
      <c r="A206" s="38">
        <f>IF('Additional Documents'!B206 = "", "", IF('Additional Documents-WUO_ERR'!A206 = "", "Validated", HYPERLINK("#" &amp; ADDRESS(206, 'Additional Documents-WUO_TRK'!A206),_xlfn.TEXTAFTER('Additional Documents-WUO_ERR'!A206, ":"))))</f>
        <v/>
      </c>
    </row>
    <row r="207">
      <c r="A207" s="38">
        <f>IF('Additional Documents'!B207 = "", "", IF('Additional Documents-WUO_ERR'!A207 = "", "Validated", HYPERLINK("#" &amp; ADDRESS(207, 'Additional Documents-WUO_TRK'!A207),_xlfn.TEXTAFTER('Additional Documents-WUO_ERR'!A207, ":"))))</f>
        <v/>
      </c>
    </row>
    <row r="208">
      <c r="A208" s="38">
        <f>IF('Additional Documents'!B208 = "", "", IF('Additional Documents-WUO_ERR'!A208 = "", "Validated", HYPERLINK("#" &amp; ADDRESS(208, 'Additional Documents-WUO_TRK'!A208),_xlfn.TEXTAFTER('Additional Documents-WUO_ERR'!A208, ":"))))</f>
        <v/>
      </c>
    </row>
    <row r="209">
      <c r="A209" s="38">
        <f>IF('Additional Documents'!B209 = "", "", IF('Additional Documents-WUO_ERR'!A209 = "", "Validated", HYPERLINK("#" &amp; ADDRESS(209, 'Additional Documents-WUO_TRK'!A209),_xlfn.TEXTAFTER('Additional Documents-WUO_ERR'!A209, ":"))))</f>
        <v/>
      </c>
    </row>
    <row r="210">
      <c r="A210" s="38">
        <f>IF('Additional Documents'!B210 = "", "", IF('Additional Documents-WUO_ERR'!A210 = "", "Validated", HYPERLINK("#" &amp; ADDRESS(210, 'Additional Documents-WUO_TRK'!A210),_xlfn.TEXTAFTER('Additional Documents-WUO_ERR'!A210, ":"))))</f>
        <v/>
      </c>
    </row>
    <row r="211">
      <c r="A211" s="38">
        <f>IF('Additional Documents'!B211 = "", "", IF('Additional Documents-WUO_ERR'!A211 = "", "Validated", HYPERLINK("#" &amp; ADDRESS(211, 'Additional Documents-WUO_TRK'!A211),_xlfn.TEXTAFTER('Additional Documents-WUO_ERR'!A211, ":"))))</f>
        <v/>
      </c>
    </row>
    <row r="212">
      <c r="A212" s="38">
        <f>IF('Additional Documents'!B212 = "", "", IF('Additional Documents-WUO_ERR'!A212 = "", "Validated", HYPERLINK("#" &amp; ADDRESS(212, 'Additional Documents-WUO_TRK'!A212),_xlfn.TEXTAFTER('Additional Documents-WUO_ERR'!A212, ":"))))</f>
        <v/>
      </c>
    </row>
    <row r="213">
      <c r="A213" s="38">
        <f>IF('Additional Documents'!B213 = "", "", IF('Additional Documents-WUO_ERR'!A213 = "", "Validated", HYPERLINK("#" &amp; ADDRESS(213, 'Additional Documents-WUO_TRK'!A213),_xlfn.TEXTAFTER('Additional Documents-WUO_ERR'!A213, ":"))))</f>
        <v/>
      </c>
    </row>
    <row r="214">
      <c r="A214" s="38">
        <f>IF('Additional Documents'!B214 = "", "", IF('Additional Documents-WUO_ERR'!A214 = "", "Validated", HYPERLINK("#" &amp; ADDRESS(214, 'Additional Documents-WUO_TRK'!A214),_xlfn.TEXTAFTER('Additional Documents-WUO_ERR'!A214, ":"))))</f>
        <v/>
      </c>
    </row>
    <row r="215">
      <c r="A215" s="38">
        <f>IF('Additional Documents'!B215 = "", "", IF('Additional Documents-WUO_ERR'!A215 = "", "Validated", HYPERLINK("#" &amp; ADDRESS(215, 'Additional Documents-WUO_TRK'!A215),_xlfn.TEXTAFTER('Additional Documents-WUO_ERR'!A215, ":"))))</f>
        <v/>
      </c>
    </row>
    <row r="216">
      <c r="A216" s="38">
        <f>IF('Additional Documents'!B216 = "", "", IF('Additional Documents-WUO_ERR'!A216 = "", "Validated", HYPERLINK("#" &amp; ADDRESS(216, 'Additional Documents-WUO_TRK'!A216),_xlfn.TEXTAFTER('Additional Documents-WUO_ERR'!A216, ":"))))</f>
        <v/>
      </c>
    </row>
    <row r="217">
      <c r="A217" s="38">
        <f>IF('Additional Documents'!B217 = "", "", IF('Additional Documents-WUO_ERR'!A217 = "", "Validated", HYPERLINK("#" &amp; ADDRESS(217, 'Additional Documents-WUO_TRK'!A217),_xlfn.TEXTAFTER('Additional Documents-WUO_ERR'!A217, ":"))))</f>
        <v/>
      </c>
    </row>
    <row r="218">
      <c r="A218" s="38">
        <f>IF('Additional Documents'!B218 = "", "", IF('Additional Documents-WUO_ERR'!A218 = "", "Validated", HYPERLINK("#" &amp; ADDRESS(218, 'Additional Documents-WUO_TRK'!A218),_xlfn.TEXTAFTER('Additional Documents-WUO_ERR'!A218, ":"))))</f>
        <v/>
      </c>
    </row>
    <row r="219">
      <c r="A219" s="38">
        <f>IF('Additional Documents'!B219 = "", "", IF('Additional Documents-WUO_ERR'!A219 = "", "Validated", HYPERLINK("#" &amp; ADDRESS(219, 'Additional Documents-WUO_TRK'!A219),_xlfn.TEXTAFTER('Additional Documents-WUO_ERR'!A219, ":"))))</f>
        <v/>
      </c>
    </row>
    <row r="220">
      <c r="A220" s="38">
        <f>IF('Additional Documents'!B220 = "", "", IF('Additional Documents-WUO_ERR'!A220 = "", "Validated", HYPERLINK("#" &amp; ADDRESS(220, 'Additional Documents-WUO_TRK'!A220),_xlfn.TEXTAFTER('Additional Documents-WUO_ERR'!A220, ":"))))</f>
        <v/>
      </c>
    </row>
    <row r="221">
      <c r="A221" s="38">
        <f>IF('Additional Documents'!B221 = "", "", IF('Additional Documents-WUO_ERR'!A221 = "", "Validated", HYPERLINK("#" &amp; ADDRESS(221, 'Additional Documents-WUO_TRK'!A221),_xlfn.TEXTAFTER('Additional Documents-WUO_ERR'!A221, ":"))))</f>
        <v/>
      </c>
    </row>
    <row r="222">
      <c r="A222" s="38">
        <f>IF('Additional Documents'!B222 = "", "", IF('Additional Documents-WUO_ERR'!A222 = "", "Validated", HYPERLINK("#" &amp; ADDRESS(222, 'Additional Documents-WUO_TRK'!A222),_xlfn.TEXTAFTER('Additional Documents-WUO_ERR'!A222, ":"))))</f>
        <v/>
      </c>
    </row>
    <row r="223">
      <c r="A223" s="38">
        <f>IF('Additional Documents'!B223 = "", "", IF('Additional Documents-WUO_ERR'!A223 = "", "Validated", HYPERLINK("#" &amp; ADDRESS(223, 'Additional Documents-WUO_TRK'!A223),_xlfn.TEXTAFTER('Additional Documents-WUO_ERR'!A223, ":"))))</f>
        <v/>
      </c>
    </row>
    <row r="224">
      <c r="A224" s="38">
        <f>IF('Additional Documents'!B224 = "", "", IF('Additional Documents-WUO_ERR'!A224 = "", "Validated", HYPERLINK("#" &amp; ADDRESS(224, 'Additional Documents-WUO_TRK'!A224),_xlfn.TEXTAFTER('Additional Documents-WUO_ERR'!A224, ":"))))</f>
        <v/>
      </c>
    </row>
    <row r="225">
      <c r="A225" s="38">
        <f>IF('Additional Documents'!B225 = "", "", IF('Additional Documents-WUO_ERR'!A225 = "", "Validated", HYPERLINK("#" &amp; ADDRESS(225, 'Additional Documents-WUO_TRK'!A225),_xlfn.TEXTAFTER('Additional Documents-WUO_ERR'!A225, ":"))))</f>
        <v/>
      </c>
    </row>
    <row r="226">
      <c r="A226" s="38">
        <f>IF('Additional Documents'!B226 = "", "", IF('Additional Documents-WUO_ERR'!A226 = "", "Validated", HYPERLINK("#" &amp; ADDRESS(226, 'Additional Documents-WUO_TRK'!A226),_xlfn.TEXTAFTER('Additional Documents-WUO_ERR'!A226, ":"))))</f>
        <v/>
      </c>
    </row>
    <row r="227">
      <c r="A227" s="38">
        <f>IF('Additional Documents'!B227 = "", "", IF('Additional Documents-WUO_ERR'!A227 = "", "Validated", HYPERLINK("#" &amp; ADDRESS(227, 'Additional Documents-WUO_TRK'!A227),_xlfn.TEXTAFTER('Additional Documents-WUO_ERR'!A227, ":"))))</f>
        <v/>
      </c>
    </row>
    <row r="228">
      <c r="A228" s="38">
        <f>IF('Additional Documents'!B228 = "", "", IF('Additional Documents-WUO_ERR'!A228 = "", "Validated", HYPERLINK("#" &amp; ADDRESS(228, 'Additional Documents-WUO_TRK'!A228),_xlfn.TEXTAFTER('Additional Documents-WUO_ERR'!A228, ":"))))</f>
        <v/>
      </c>
    </row>
    <row r="229">
      <c r="A229" s="38">
        <f>IF('Additional Documents'!B229 = "", "", IF('Additional Documents-WUO_ERR'!A229 = "", "Validated", HYPERLINK("#" &amp; ADDRESS(229, 'Additional Documents-WUO_TRK'!A229),_xlfn.TEXTAFTER('Additional Documents-WUO_ERR'!A229, ":"))))</f>
        <v/>
      </c>
    </row>
    <row r="230">
      <c r="A230" s="38">
        <f>IF('Additional Documents'!B230 = "", "", IF('Additional Documents-WUO_ERR'!A230 = "", "Validated", HYPERLINK("#" &amp; ADDRESS(230, 'Additional Documents-WUO_TRK'!A230),_xlfn.TEXTAFTER('Additional Documents-WUO_ERR'!A230, ":"))))</f>
        <v/>
      </c>
    </row>
    <row r="231">
      <c r="A231" s="38">
        <f>IF('Additional Documents'!B231 = "", "", IF('Additional Documents-WUO_ERR'!A231 = "", "Validated", HYPERLINK("#" &amp; ADDRESS(231, 'Additional Documents-WUO_TRK'!A231),_xlfn.TEXTAFTER('Additional Documents-WUO_ERR'!A231, ":"))))</f>
        <v/>
      </c>
    </row>
    <row r="232">
      <c r="A232" s="38">
        <f>IF('Additional Documents'!B232 = "", "", IF('Additional Documents-WUO_ERR'!A232 = "", "Validated", HYPERLINK("#" &amp; ADDRESS(232, 'Additional Documents-WUO_TRK'!A232),_xlfn.TEXTAFTER('Additional Documents-WUO_ERR'!A232, ":"))))</f>
        <v/>
      </c>
    </row>
    <row r="233">
      <c r="A233" s="38">
        <f>IF('Additional Documents'!B233 = "", "", IF('Additional Documents-WUO_ERR'!A233 = "", "Validated", HYPERLINK("#" &amp; ADDRESS(233, 'Additional Documents-WUO_TRK'!A233),_xlfn.TEXTAFTER('Additional Documents-WUO_ERR'!A233, ":"))))</f>
        <v/>
      </c>
    </row>
    <row r="234">
      <c r="A234" s="38">
        <f>IF('Additional Documents'!B234 = "", "", IF('Additional Documents-WUO_ERR'!A234 = "", "Validated", HYPERLINK("#" &amp; ADDRESS(234, 'Additional Documents-WUO_TRK'!A234),_xlfn.TEXTAFTER('Additional Documents-WUO_ERR'!A234, ":"))))</f>
        <v/>
      </c>
    </row>
    <row r="235">
      <c r="A235" s="38">
        <f>IF('Additional Documents'!B235 = "", "", IF('Additional Documents-WUO_ERR'!A235 = "", "Validated", HYPERLINK("#" &amp; ADDRESS(235, 'Additional Documents-WUO_TRK'!A235),_xlfn.TEXTAFTER('Additional Documents-WUO_ERR'!A235, ":"))))</f>
        <v/>
      </c>
    </row>
    <row r="236">
      <c r="A236" s="38">
        <f>IF('Additional Documents'!B236 = "", "", IF('Additional Documents-WUO_ERR'!A236 = "", "Validated", HYPERLINK("#" &amp; ADDRESS(236, 'Additional Documents-WUO_TRK'!A236),_xlfn.TEXTAFTER('Additional Documents-WUO_ERR'!A236, ":"))))</f>
        <v/>
      </c>
    </row>
    <row r="237">
      <c r="A237" s="38">
        <f>IF('Additional Documents'!B237 = "", "", IF('Additional Documents-WUO_ERR'!A237 = "", "Validated", HYPERLINK("#" &amp; ADDRESS(237, 'Additional Documents-WUO_TRK'!A237),_xlfn.TEXTAFTER('Additional Documents-WUO_ERR'!A237, ":"))))</f>
        <v/>
      </c>
    </row>
    <row r="238">
      <c r="A238" s="38">
        <f>IF('Additional Documents'!B238 = "", "", IF('Additional Documents-WUO_ERR'!A238 = "", "Validated", HYPERLINK("#" &amp; ADDRESS(238, 'Additional Documents-WUO_TRK'!A238),_xlfn.TEXTAFTER('Additional Documents-WUO_ERR'!A238, ":"))))</f>
        <v/>
      </c>
    </row>
    <row r="239">
      <c r="A239" s="38">
        <f>IF('Additional Documents'!B239 = "", "", IF('Additional Documents-WUO_ERR'!A239 = "", "Validated", HYPERLINK("#" &amp; ADDRESS(239, 'Additional Documents-WUO_TRK'!A239),_xlfn.TEXTAFTER('Additional Documents-WUO_ERR'!A239, ":"))))</f>
        <v/>
      </c>
    </row>
    <row r="240">
      <c r="A240" s="38">
        <f>IF('Additional Documents'!B240 = "", "", IF('Additional Documents-WUO_ERR'!A240 = "", "Validated", HYPERLINK("#" &amp; ADDRESS(240, 'Additional Documents-WUO_TRK'!A240),_xlfn.TEXTAFTER('Additional Documents-WUO_ERR'!A240, ":"))))</f>
        <v/>
      </c>
    </row>
    <row r="241">
      <c r="A241" s="38">
        <f>IF('Additional Documents'!B241 = "", "", IF('Additional Documents-WUO_ERR'!A241 = "", "Validated", HYPERLINK("#" &amp; ADDRESS(241, 'Additional Documents-WUO_TRK'!A241),_xlfn.TEXTAFTER('Additional Documents-WUO_ERR'!A241, ":"))))</f>
        <v/>
      </c>
    </row>
    <row r="242">
      <c r="A242" s="38">
        <f>IF('Additional Documents'!B242 = "", "", IF('Additional Documents-WUO_ERR'!A242 = "", "Validated", HYPERLINK("#" &amp; ADDRESS(242, 'Additional Documents-WUO_TRK'!A242),_xlfn.TEXTAFTER('Additional Documents-WUO_ERR'!A242, ":"))))</f>
        <v/>
      </c>
    </row>
    <row r="243">
      <c r="A243" s="38">
        <f>IF('Additional Documents'!B243 = "", "", IF('Additional Documents-WUO_ERR'!A243 = "", "Validated", HYPERLINK("#" &amp; ADDRESS(243, 'Additional Documents-WUO_TRK'!A243),_xlfn.TEXTAFTER('Additional Documents-WUO_ERR'!A243, ":"))))</f>
        <v/>
      </c>
    </row>
    <row r="244">
      <c r="A244" s="38">
        <f>IF('Additional Documents'!B244 = "", "", IF('Additional Documents-WUO_ERR'!A244 = "", "Validated", HYPERLINK("#" &amp; ADDRESS(244, 'Additional Documents-WUO_TRK'!A244),_xlfn.TEXTAFTER('Additional Documents-WUO_ERR'!A244, ":"))))</f>
        <v/>
      </c>
    </row>
    <row r="245">
      <c r="A245" s="38">
        <f>IF('Additional Documents'!B245 = "", "", IF('Additional Documents-WUO_ERR'!A245 = "", "Validated", HYPERLINK("#" &amp; ADDRESS(245, 'Additional Documents-WUO_TRK'!A245),_xlfn.TEXTAFTER('Additional Documents-WUO_ERR'!A245, ":"))))</f>
        <v/>
      </c>
    </row>
    <row r="246">
      <c r="A246" s="38">
        <f>IF('Additional Documents'!B246 = "", "", IF('Additional Documents-WUO_ERR'!A246 = "", "Validated", HYPERLINK("#" &amp; ADDRESS(246, 'Additional Documents-WUO_TRK'!A246),_xlfn.TEXTAFTER('Additional Documents-WUO_ERR'!A246, ":"))))</f>
        <v/>
      </c>
    </row>
    <row r="247">
      <c r="A247" s="38">
        <f>IF('Additional Documents'!B247 = "", "", IF('Additional Documents-WUO_ERR'!A247 = "", "Validated", HYPERLINK("#" &amp; ADDRESS(247, 'Additional Documents-WUO_TRK'!A247),_xlfn.TEXTAFTER('Additional Documents-WUO_ERR'!A247, ":"))))</f>
        <v/>
      </c>
    </row>
    <row r="248">
      <c r="A248" s="38">
        <f>IF('Additional Documents'!B248 = "", "", IF('Additional Documents-WUO_ERR'!A248 = "", "Validated", HYPERLINK("#" &amp; ADDRESS(248, 'Additional Documents-WUO_TRK'!A248),_xlfn.TEXTAFTER('Additional Documents-WUO_ERR'!A248, ":"))))</f>
        <v/>
      </c>
    </row>
    <row r="249">
      <c r="A249" s="38">
        <f>IF('Additional Documents'!B249 = "", "", IF('Additional Documents-WUO_ERR'!A249 = "", "Validated", HYPERLINK("#" &amp; ADDRESS(249, 'Additional Documents-WUO_TRK'!A249),_xlfn.TEXTAFTER('Additional Documents-WUO_ERR'!A249, ":"))))</f>
        <v/>
      </c>
    </row>
    <row r="250">
      <c r="A250" s="38">
        <f>IF('Additional Documents'!B250 = "", "", IF('Additional Documents-WUO_ERR'!A250 = "", "Validated", HYPERLINK("#" &amp; ADDRESS(250, 'Additional Documents-WUO_TRK'!A250),_xlfn.TEXTAFTER('Additional Documents-WUO_ERR'!A250, ":"))))</f>
        <v/>
      </c>
    </row>
    <row r="251">
      <c r="A251" s="38">
        <f>IF('Additional Documents'!B251 = "", "", IF('Additional Documents-WUO_ERR'!A251 = "", "Validated", HYPERLINK("#" &amp; ADDRESS(251, 'Additional Documents-WUO_TRK'!A251),_xlfn.TEXTAFTER('Additional Documents-WUO_ERR'!A251, ":"))))</f>
        <v/>
      </c>
    </row>
    <row r="252">
      <c r="A252" s="38">
        <f>IF('Additional Documents'!B252 = "", "", IF('Additional Documents-WUO_ERR'!A252 = "", "Validated", HYPERLINK("#" &amp; ADDRESS(252, 'Additional Documents-WUO_TRK'!A252),_xlfn.TEXTAFTER('Additional Documents-WUO_ERR'!A252, ":"))))</f>
        <v/>
      </c>
    </row>
    <row r="253">
      <c r="A253" s="38">
        <f>IF('Additional Documents'!B253 = "", "", IF('Additional Documents-WUO_ERR'!A253 = "", "Validated", HYPERLINK("#" &amp; ADDRESS(253, 'Additional Documents-WUO_TRK'!A253),_xlfn.TEXTAFTER('Additional Documents-WUO_ERR'!A253, ":"))))</f>
        <v/>
      </c>
    </row>
    <row r="254">
      <c r="A254" s="38">
        <f>IF('Additional Documents'!B254 = "", "", IF('Additional Documents-WUO_ERR'!A254 = "", "Validated", HYPERLINK("#" &amp; ADDRESS(254, 'Additional Documents-WUO_TRK'!A254),_xlfn.TEXTAFTER('Additional Documents-WUO_ERR'!A254, ":"))))</f>
        <v/>
      </c>
    </row>
    <row r="255">
      <c r="A255" s="38">
        <f>IF('Additional Documents'!B255 = "", "", IF('Additional Documents-WUO_ERR'!A255 = "", "Validated", HYPERLINK("#" &amp; ADDRESS(255, 'Additional Documents-WUO_TRK'!A255),_xlfn.TEXTAFTER('Additional Documents-WUO_ERR'!A255, ":"))))</f>
        <v/>
      </c>
    </row>
    <row r="256">
      <c r="A256" s="38">
        <f>IF('Additional Documents'!B256 = "", "", IF('Additional Documents-WUO_ERR'!A256 = "", "Validated", HYPERLINK("#" &amp; ADDRESS(256, 'Additional Documents-WUO_TRK'!A256),_xlfn.TEXTAFTER('Additional Documents-WUO_ERR'!A256, ":"))))</f>
        <v/>
      </c>
    </row>
    <row r="257">
      <c r="A257" s="38">
        <f>IF('Additional Documents'!B257 = "", "", IF('Additional Documents-WUO_ERR'!A257 = "", "Validated", HYPERLINK("#" &amp; ADDRESS(257, 'Additional Documents-WUO_TRK'!A257),_xlfn.TEXTAFTER('Additional Documents-WUO_ERR'!A257, ":"))))</f>
        <v/>
      </c>
    </row>
    <row r="258">
      <c r="A258" s="38">
        <f>IF('Additional Documents'!B258 = "", "", IF('Additional Documents-WUO_ERR'!A258 = "", "Validated", HYPERLINK("#" &amp; ADDRESS(258, 'Additional Documents-WUO_TRK'!A258),_xlfn.TEXTAFTER('Additional Documents-WUO_ERR'!A258, ":"))))</f>
        <v/>
      </c>
    </row>
    <row r="259">
      <c r="A259" s="38">
        <f>IF('Additional Documents'!B259 = "", "", IF('Additional Documents-WUO_ERR'!A259 = "", "Validated", HYPERLINK("#" &amp; ADDRESS(259, 'Additional Documents-WUO_TRK'!A259),_xlfn.TEXTAFTER('Additional Documents-WUO_ERR'!A259, ":"))))</f>
        <v/>
      </c>
    </row>
    <row r="260">
      <c r="A260" s="38">
        <f>IF('Additional Documents'!B260 = "", "", IF('Additional Documents-WUO_ERR'!A260 = "", "Validated", HYPERLINK("#" &amp; ADDRESS(260, 'Additional Documents-WUO_TRK'!A260),_xlfn.TEXTAFTER('Additional Documents-WUO_ERR'!A260, ":"))))</f>
        <v/>
      </c>
    </row>
    <row r="261">
      <c r="A261" s="38">
        <f>IF('Additional Documents'!B261 = "", "", IF('Additional Documents-WUO_ERR'!A261 = "", "Validated", HYPERLINK("#" &amp; ADDRESS(261, 'Additional Documents-WUO_TRK'!A261),_xlfn.TEXTAFTER('Additional Documents-WUO_ERR'!A261, ":"))))</f>
        <v/>
      </c>
    </row>
    <row r="262">
      <c r="A262" s="38">
        <f>IF('Additional Documents'!B262 = "", "", IF('Additional Documents-WUO_ERR'!A262 = "", "Validated", HYPERLINK("#" &amp; ADDRESS(262, 'Additional Documents-WUO_TRK'!A262),_xlfn.TEXTAFTER('Additional Documents-WUO_ERR'!A262, ":"))))</f>
        <v/>
      </c>
    </row>
    <row r="263">
      <c r="A263" s="38">
        <f>IF('Additional Documents'!B263 = "", "", IF('Additional Documents-WUO_ERR'!A263 = "", "Validated", HYPERLINK("#" &amp; ADDRESS(263, 'Additional Documents-WUO_TRK'!A263),_xlfn.TEXTAFTER('Additional Documents-WUO_ERR'!A263, ":"))))</f>
        <v/>
      </c>
    </row>
    <row r="264">
      <c r="A264" s="38">
        <f>IF('Additional Documents'!B264 = "", "", IF('Additional Documents-WUO_ERR'!A264 = "", "Validated", HYPERLINK("#" &amp; ADDRESS(264, 'Additional Documents-WUO_TRK'!A264),_xlfn.TEXTAFTER('Additional Documents-WUO_ERR'!A264, ":"))))</f>
        <v/>
      </c>
    </row>
    <row r="265">
      <c r="A265" s="38">
        <f>IF('Additional Documents'!B265 = "", "", IF('Additional Documents-WUO_ERR'!A265 = "", "Validated", HYPERLINK("#" &amp; ADDRESS(265, 'Additional Documents-WUO_TRK'!A265),_xlfn.TEXTAFTER('Additional Documents-WUO_ERR'!A265, ":"))))</f>
        <v/>
      </c>
    </row>
    <row r="266">
      <c r="A266" s="38">
        <f>IF('Additional Documents'!B266 = "", "", IF('Additional Documents-WUO_ERR'!A266 = "", "Validated", HYPERLINK("#" &amp; ADDRESS(266, 'Additional Documents-WUO_TRK'!A266),_xlfn.TEXTAFTER('Additional Documents-WUO_ERR'!A266, ":"))))</f>
        <v/>
      </c>
    </row>
    <row r="267">
      <c r="A267" s="38">
        <f>IF('Additional Documents'!B267 = "", "", IF('Additional Documents-WUO_ERR'!A267 = "", "Validated", HYPERLINK("#" &amp; ADDRESS(267, 'Additional Documents-WUO_TRK'!A267),_xlfn.TEXTAFTER('Additional Documents-WUO_ERR'!A267, ":"))))</f>
        <v/>
      </c>
    </row>
    <row r="268">
      <c r="A268" s="38">
        <f>IF('Additional Documents'!B268 = "", "", IF('Additional Documents-WUO_ERR'!A268 = "", "Validated", HYPERLINK("#" &amp; ADDRESS(268, 'Additional Documents-WUO_TRK'!A268),_xlfn.TEXTAFTER('Additional Documents-WUO_ERR'!A268, ":"))))</f>
        <v/>
      </c>
    </row>
    <row r="269">
      <c r="A269" s="38">
        <f>IF('Additional Documents'!B269 = "", "", IF('Additional Documents-WUO_ERR'!A269 = "", "Validated", HYPERLINK("#" &amp; ADDRESS(269, 'Additional Documents-WUO_TRK'!A269),_xlfn.TEXTAFTER('Additional Documents-WUO_ERR'!A269, ":"))))</f>
        <v/>
      </c>
    </row>
    <row r="270">
      <c r="A270" s="38">
        <f>IF('Additional Documents'!B270 = "", "", IF('Additional Documents-WUO_ERR'!A270 = "", "Validated", HYPERLINK("#" &amp; ADDRESS(270, 'Additional Documents-WUO_TRK'!A270),_xlfn.TEXTAFTER('Additional Documents-WUO_ERR'!A270, ":"))))</f>
        <v/>
      </c>
    </row>
    <row r="271">
      <c r="A271" s="38">
        <f>IF('Additional Documents'!B271 = "", "", IF('Additional Documents-WUO_ERR'!A271 = "", "Validated", HYPERLINK("#" &amp; ADDRESS(271, 'Additional Documents-WUO_TRK'!A271),_xlfn.TEXTAFTER('Additional Documents-WUO_ERR'!A271, ":"))))</f>
        <v/>
      </c>
    </row>
    <row r="272">
      <c r="A272" s="38">
        <f>IF('Additional Documents'!B272 = "", "", IF('Additional Documents-WUO_ERR'!A272 = "", "Validated", HYPERLINK("#" &amp; ADDRESS(272, 'Additional Documents-WUO_TRK'!A272),_xlfn.TEXTAFTER('Additional Documents-WUO_ERR'!A272, ":"))))</f>
        <v/>
      </c>
    </row>
    <row r="273">
      <c r="A273" s="38">
        <f>IF('Additional Documents'!B273 = "", "", IF('Additional Documents-WUO_ERR'!A273 = "", "Validated", HYPERLINK("#" &amp; ADDRESS(273, 'Additional Documents-WUO_TRK'!A273),_xlfn.TEXTAFTER('Additional Documents-WUO_ERR'!A273, ":"))))</f>
        <v/>
      </c>
    </row>
    <row r="274">
      <c r="A274" s="38">
        <f>IF('Additional Documents'!B274 = "", "", IF('Additional Documents-WUO_ERR'!A274 = "", "Validated", HYPERLINK("#" &amp; ADDRESS(274, 'Additional Documents-WUO_TRK'!A274),_xlfn.TEXTAFTER('Additional Documents-WUO_ERR'!A274, ":"))))</f>
        <v/>
      </c>
    </row>
    <row r="275">
      <c r="A275" s="38">
        <f>IF('Additional Documents'!B275 = "", "", IF('Additional Documents-WUO_ERR'!A275 = "", "Validated", HYPERLINK("#" &amp; ADDRESS(275, 'Additional Documents-WUO_TRK'!A275),_xlfn.TEXTAFTER('Additional Documents-WUO_ERR'!A275, ":"))))</f>
        <v/>
      </c>
    </row>
    <row r="276">
      <c r="A276" s="38">
        <f>IF('Additional Documents'!B276 = "", "", IF('Additional Documents-WUO_ERR'!A276 = "", "Validated", HYPERLINK("#" &amp; ADDRESS(276, 'Additional Documents-WUO_TRK'!A276),_xlfn.TEXTAFTER('Additional Documents-WUO_ERR'!A276, ":"))))</f>
        <v/>
      </c>
    </row>
    <row r="277">
      <c r="A277" s="38">
        <f>IF('Additional Documents'!B277 = "", "", IF('Additional Documents-WUO_ERR'!A277 = "", "Validated", HYPERLINK("#" &amp; ADDRESS(277, 'Additional Documents-WUO_TRK'!A277),_xlfn.TEXTAFTER('Additional Documents-WUO_ERR'!A277, ":"))))</f>
        <v/>
      </c>
    </row>
    <row r="278">
      <c r="A278" s="38">
        <f>IF('Additional Documents'!B278 = "", "", IF('Additional Documents-WUO_ERR'!A278 = "", "Validated", HYPERLINK("#" &amp; ADDRESS(278, 'Additional Documents-WUO_TRK'!A278),_xlfn.TEXTAFTER('Additional Documents-WUO_ERR'!A278, ":"))))</f>
        <v/>
      </c>
    </row>
    <row r="279">
      <c r="A279" s="38">
        <f>IF('Additional Documents'!B279 = "", "", IF('Additional Documents-WUO_ERR'!A279 = "", "Validated", HYPERLINK("#" &amp; ADDRESS(279, 'Additional Documents-WUO_TRK'!A279),_xlfn.TEXTAFTER('Additional Documents-WUO_ERR'!A279, ":"))))</f>
        <v/>
      </c>
    </row>
    <row r="280">
      <c r="A280" s="38">
        <f>IF('Additional Documents'!B280 = "", "", IF('Additional Documents-WUO_ERR'!A280 = "", "Validated", HYPERLINK("#" &amp; ADDRESS(280, 'Additional Documents-WUO_TRK'!A280),_xlfn.TEXTAFTER('Additional Documents-WUO_ERR'!A280, ":"))))</f>
        <v/>
      </c>
    </row>
    <row r="281">
      <c r="A281" s="38">
        <f>IF('Additional Documents'!B281 = "", "", IF('Additional Documents-WUO_ERR'!A281 = "", "Validated", HYPERLINK("#" &amp; ADDRESS(281, 'Additional Documents-WUO_TRK'!A281),_xlfn.TEXTAFTER('Additional Documents-WUO_ERR'!A281, ":"))))</f>
        <v/>
      </c>
    </row>
    <row r="282">
      <c r="A282" s="38">
        <f>IF('Additional Documents'!B282 = "", "", IF('Additional Documents-WUO_ERR'!A282 = "", "Validated", HYPERLINK("#" &amp; ADDRESS(282, 'Additional Documents-WUO_TRK'!A282),_xlfn.TEXTAFTER('Additional Documents-WUO_ERR'!A282, ":"))))</f>
        <v/>
      </c>
    </row>
    <row r="283">
      <c r="A283" s="38">
        <f>IF('Additional Documents'!B283 = "", "", IF('Additional Documents-WUO_ERR'!A283 = "", "Validated", HYPERLINK("#" &amp; ADDRESS(283, 'Additional Documents-WUO_TRK'!A283),_xlfn.TEXTAFTER('Additional Documents-WUO_ERR'!A283, ":"))))</f>
        <v/>
      </c>
    </row>
    <row r="284">
      <c r="A284" s="38">
        <f>IF('Additional Documents'!B284 = "", "", IF('Additional Documents-WUO_ERR'!A284 = "", "Validated", HYPERLINK("#" &amp; ADDRESS(284, 'Additional Documents-WUO_TRK'!A284),_xlfn.TEXTAFTER('Additional Documents-WUO_ERR'!A284, ":"))))</f>
        <v/>
      </c>
    </row>
    <row r="285">
      <c r="A285" s="38">
        <f>IF('Additional Documents'!B285 = "", "", IF('Additional Documents-WUO_ERR'!A285 = "", "Validated", HYPERLINK("#" &amp; ADDRESS(285, 'Additional Documents-WUO_TRK'!A285),_xlfn.TEXTAFTER('Additional Documents-WUO_ERR'!A285, ":"))))</f>
        <v/>
      </c>
    </row>
    <row r="286">
      <c r="A286" s="38">
        <f>IF('Additional Documents'!B286 = "", "", IF('Additional Documents-WUO_ERR'!A286 = "", "Validated", HYPERLINK("#" &amp; ADDRESS(286, 'Additional Documents-WUO_TRK'!A286),_xlfn.TEXTAFTER('Additional Documents-WUO_ERR'!A286, ":"))))</f>
        <v/>
      </c>
    </row>
    <row r="287">
      <c r="A287" s="38">
        <f>IF('Additional Documents'!B287 = "", "", IF('Additional Documents-WUO_ERR'!A287 = "", "Validated", HYPERLINK("#" &amp; ADDRESS(287, 'Additional Documents-WUO_TRK'!A287),_xlfn.TEXTAFTER('Additional Documents-WUO_ERR'!A287, ":"))))</f>
        <v/>
      </c>
    </row>
    <row r="288">
      <c r="A288" s="38">
        <f>IF('Additional Documents'!B288 = "", "", IF('Additional Documents-WUO_ERR'!A288 = "", "Validated", HYPERLINK("#" &amp; ADDRESS(288, 'Additional Documents-WUO_TRK'!A288),_xlfn.TEXTAFTER('Additional Documents-WUO_ERR'!A288, ":"))))</f>
        <v/>
      </c>
    </row>
    <row r="289">
      <c r="A289" s="38">
        <f>IF('Additional Documents'!B289 = "", "", IF('Additional Documents-WUO_ERR'!A289 = "", "Validated", HYPERLINK("#" &amp; ADDRESS(289, 'Additional Documents-WUO_TRK'!A289),_xlfn.TEXTAFTER('Additional Documents-WUO_ERR'!A289, ":"))))</f>
        <v/>
      </c>
    </row>
    <row r="290">
      <c r="A290" s="38">
        <f>IF('Additional Documents'!B290 = "", "", IF('Additional Documents-WUO_ERR'!A290 = "", "Validated", HYPERLINK("#" &amp; ADDRESS(290, 'Additional Documents-WUO_TRK'!A290),_xlfn.TEXTAFTER('Additional Documents-WUO_ERR'!A290, ":"))))</f>
        <v/>
      </c>
    </row>
    <row r="291">
      <c r="A291" s="38">
        <f>IF('Additional Documents'!B291 = "", "", IF('Additional Documents-WUO_ERR'!A291 = "", "Validated", HYPERLINK("#" &amp; ADDRESS(291, 'Additional Documents-WUO_TRK'!A291),_xlfn.TEXTAFTER('Additional Documents-WUO_ERR'!A291, ":"))))</f>
        <v/>
      </c>
    </row>
    <row r="292">
      <c r="A292" s="38">
        <f>IF('Additional Documents'!B292 = "", "", IF('Additional Documents-WUO_ERR'!A292 = "", "Validated", HYPERLINK("#" &amp; ADDRESS(292, 'Additional Documents-WUO_TRK'!A292),_xlfn.TEXTAFTER('Additional Documents-WUO_ERR'!A292, ":"))))</f>
        <v/>
      </c>
    </row>
    <row r="293">
      <c r="A293" s="38">
        <f>IF('Additional Documents'!B293 = "", "", IF('Additional Documents-WUO_ERR'!A293 = "", "Validated", HYPERLINK("#" &amp; ADDRESS(293, 'Additional Documents-WUO_TRK'!A293),_xlfn.TEXTAFTER('Additional Documents-WUO_ERR'!A293, ":"))))</f>
        <v/>
      </c>
    </row>
    <row r="294">
      <c r="A294" s="38">
        <f>IF('Additional Documents'!B294 = "", "", IF('Additional Documents-WUO_ERR'!A294 = "", "Validated", HYPERLINK("#" &amp; ADDRESS(294, 'Additional Documents-WUO_TRK'!A294),_xlfn.TEXTAFTER('Additional Documents-WUO_ERR'!A294, ":"))))</f>
        <v/>
      </c>
    </row>
    <row r="295">
      <c r="A295" s="38">
        <f>IF('Additional Documents'!B295 = "", "", IF('Additional Documents-WUO_ERR'!A295 = "", "Validated", HYPERLINK("#" &amp; ADDRESS(295, 'Additional Documents-WUO_TRK'!A295),_xlfn.TEXTAFTER('Additional Documents-WUO_ERR'!A295, ":"))))</f>
        <v/>
      </c>
    </row>
    <row r="296">
      <c r="A296" s="38">
        <f>IF('Additional Documents'!B296 = "", "", IF('Additional Documents-WUO_ERR'!A296 = "", "Validated", HYPERLINK("#" &amp; ADDRESS(296, 'Additional Documents-WUO_TRK'!A296),_xlfn.TEXTAFTER('Additional Documents-WUO_ERR'!A296, ":"))))</f>
        <v/>
      </c>
    </row>
    <row r="297">
      <c r="A297" s="38">
        <f>IF('Additional Documents'!B297 = "", "", IF('Additional Documents-WUO_ERR'!A297 = "", "Validated", HYPERLINK("#" &amp; ADDRESS(297, 'Additional Documents-WUO_TRK'!A297),_xlfn.TEXTAFTER('Additional Documents-WUO_ERR'!A297, ":"))))</f>
        <v/>
      </c>
    </row>
    <row r="298">
      <c r="A298" s="38">
        <f>IF('Additional Documents'!B298 = "", "", IF('Additional Documents-WUO_ERR'!A298 = "", "Validated", HYPERLINK("#" &amp; ADDRESS(298, 'Additional Documents-WUO_TRK'!A298),_xlfn.TEXTAFTER('Additional Documents-WUO_ERR'!A298, ":"))))</f>
        <v/>
      </c>
    </row>
    <row r="299">
      <c r="A299" s="38">
        <f>IF('Additional Documents'!B299 = "", "", IF('Additional Documents-WUO_ERR'!A299 = "", "Validated", HYPERLINK("#" &amp; ADDRESS(299, 'Additional Documents-WUO_TRK'!A299),_xlfn.TEXTAFTER('Additional Documents-WUO_ERR'!A299, ":"))))</f>
        <v/>
      </c>
    </row>
    <row r="300">
      <c r="A300" s="38">
        <f>IF('Additional Documents'!B300 = "", "", IF('Additional Documents-WUO_ERR'!A300 = "", "Validated", HYPERLINK("#" &amp; ADDRESS(300, 'Additional Documents-WUO_TRK'!A300),_xlfn.TEXTAFTER('Additional Documents-WUO_ERR'!A300, ":"))))</f>
        <v/>
      </c>
    </row>
    <row r="301">
      <c r="A301" s="38">
        <f>IF('Additional Documents'!B301 = "", "", IF('Additional Documents-WUO_ERR'!A301 = "", "Validated", HYPERLINK("#" &amp; ADDRESS(301, 'Additional Documents-WUO_TRK'!A301),_xlfn.TEXTAFTER('Additional Documents-WUO_ERR'!A301, ":"))))</f>
        <v/>
      </c>
    </row>
    <row r="302">
      <c r="A302" s="38">
        <f>IF('Additional Documents'!B302 = "", "", IF('Additional Documents-WUO_ERR'!A302 = "", "Validated", HYPERLINK("#" &amp; ADDRESS(302, 'Additional Documents-WUO_TRK'!A302),_xlfn.TEXTAFTER('Additional Documents-WUO_ERR'!A302, ":"))))</f>
        <v/>
      </c>
    </row>
    <row r="303">
      <c r="A303" s="38">
        <f>IF('Additional Documents'!B303 = "", "", IF('Additional Documents-WUO_ERR'!A303 = "", "Validated", HYPERLINK("#" &amp; ADDRESS(303, 'Additional Documents-WUO_TRK'!A303),_xlfn.TEXTAFTER('Additional Documents-WUO_ERR'!A303, ":"))))</f>
        <v/>
      </c>
    </row>
    <row r="304">
      <c r="A304" s="38">
        <f>IF('Additional Documents'!B304 = "", "", IF('Additional Documents-WUO_ERR'!A304 = "", "Validated", HYPERLINK("#" &amp; ADDRESS(304, 'Additional Documents-WUO_TRK'!A304),_xlfn.TEXTAFTER('Additional Documents-WUO_ERR'!A304, ":"))))</f>
        <v/>
      </c>
    </row>
    <row r="305">
      <c r="A305" s="38">
        <f>IF('Additional Documents'!B305 = "", "", IF('Additional Documents-WUO_ERR'!A305 = "", "Validated", HYPERLINK("#" &amp; ADDRESS(305, 'Additional Documents-WUO_TRK'!A305),_xlfn.TEXTAFTER('Additional Documents-WUO_ERR'!A305, ":"))))</f>
        <v/>
      </c>
    </row>
    <row r="306">
      <c r="A306" s="38">
        <f>IF('Additional Documents'!B306 = "", "", IF('Additional Documents-WUO_ERR'!A306 = "", "Validated", HYPERLINK("#" &amp; ADDRESS(306, 'Additional Documents-WUO_TRK'!A306),_xlfn.TEXTAFTER('Additional Documents-WUO_ERR'!A306, ":"))))</f>
        <v/>
      </c>
    </row>
    <row r="307">
      <c r="A307" s="38">
        <f>IF('Additional Documents'!B307 = "", "", IF('Additional Documents-WUO_ERR'!A307 = "", "Validated", HYPERLINK("#" &amp; ADDRESS(307, 'Additional Documents-WUO_TRK'!A307),_xlfn.TEXTAFTER('Additional Documents-WUO_ERR'!A307, ":"))))</f>
        <v/>
      </c>
    </row>
    <row r="308">
      <c r="A308" s="38">
        <f>IF('Additional Documents'!B308 = "", "", IF('Additional Documents-WUO_ERR'!A308 = "", "Validated", HYPERLINK("#" &amp; ADDRESS(308, 'Additional Documents-WUO_TRK'!A308),_xlfn.TEXTAFTER('Additional Documents-WUO_ERR'!A308, ":"))))</f>
        <v/>
      </c>
    </row>
    <row r="309">
      <c r="A309" s="38">
        <f>IF('Additional Documents'!B309 = "", "", IF('Additional Documents-WUO_ERR'!A309 = "", "Validated", HYPERLINK("#" &amp; ADDRESS(309, 'Additional Documents-WUO_TRK'!A309),_xlfn.TEXTAFTER('Additional Documents-WUO_ERR'!A309, ":"))))</f>
        <v/>
      </c>
    </row>
    <row r="310">
      <c r="A310" s="38">
        <f>IF('Additional Documents'!B310 = "", "", IF('Additional Documents-WUO_ERR'!A310 = "", "Validated", HYPERLINK("#" &amp; ADDRESS(310, 'Additional Documents-WUO_TRK'!A310),_xlfn.TEXTAFTER('Additional Documents-WUO_ERR'!A310, ":"))))</f>
        <v/>
      </c>
    </row>
    <row r="311">
      <c r="A311" s="38">
        <f>IF('Additional Documents'!B311 = "", "", IF('Additional Documents-WUO_ERR'!A311 = "", "Validated", HYPERLINK("#" &amp; ADDRESS(311, 'Additional Documents-WUO_TRK'!A311),_xlfn.TEXTAFTER('Additional Documents-WUO_ERR'!A311, ":"))))</f>
        <v/>
      </c>
    </row>
    <row r="312">
      <c r="A312" s="38">
        <f>IF('Additional Documents'!B312 = "", "", IF('Additional Documents-WUO_ERR'!A312 = "", "Validated", HYPERLINK("#" &amp; ADDRESS(312, 'Additional Documents-WUO_TRK'!A312),_xlfn.TEXTAFTER('Additional Documents-WUO_ERR'!A312, ":"))))</f>
        <v/>
      </c>
    </row>
    <row r="313">
      <c r="A313" s="38">
        <f>IF('Additional Documents'!B313 = "", "", IF('Additional Documents-WUO_ERR'!A313 = "", "Validated", HYPERLINK("#" &amp; ADDRESS(313, 'Additional Documents-WUO_TRK'!A313),_xlfn.TEXTAFTER('Additional Documents-WUO_ERR'!A313, ":"))))</f>
        <v/>
      </c>
    </row>
    <row r="314">
      <c r="A314" s="38">
        <f>IF('Additional Documents'!B314 = "", "", IF('Additional Documents-WUO_ERR'!A314 = "", "Validated", HYPERLINK("#" &amp; ADDRESS(314, 'Additional Documents-WUO_TRK'!A314),_xlfn.TEXTAFTER('Additional Documents-WUO_ERR'!A314, ":"))))</f>
        <v/>
      </c>
    </row>
    <row r="315">
      <c r="A315" s="38">
        <f>IF('Additional Documents'!B315 = "", "", IF('Additional Documents-WUO_ERR'!A315 = "", "Validated", HYPERLINK("#" &amp; ADDRESS(315, 'Additional Documents-WUO_TRK'!A315),_xlfn.TEXTAFTER('Additional Documents-WUO_ERR'!A315, ":"))))</f>
        <v/>
      </c>
    </row>
    <row r="316">
      <c r="A316" s="38">
        <f>IF('Additional Documents'!B316 = "", "", IF('Additional Documents-WUO_ERR'!A316 = "", "Validated", HYPERLINK("#" &amp; ADDRESS(316, 'Additional Documents-WUO_TRK'!A316),_xlfn.TEXTAFTER('Additional Documents-WUO_ERR'!A316, ":"))))</f>
        <v/>
      </c>
    </row>
    <row r="317">
      <c r="A317" s="38">
        <f>IF('Additional Documents'!B317 = "", "", IF('Additional Documents-WUO_ERR'!A317 = "", "Validated", HYPERLINK("#" &amp; ADDRESS(317, 'Additional Documents-WUO_TRK'!A317),_xlfn.TEXTAFTER('Additional Documents-WUO_ERR'!A317, ":"))))</f>
        <v/>
      </c>
    </row>
    <row r="318">
      <c r="A318" s="38">
        <f>IF('Additional Documents'!B318 = "", "", IF('Additional Documents-WUO_ERR'!A318 = "", "Validated", HYPERLINK("#" &amp; ADDRESS(318, 'Additional Documents-WUO_TRK'!A318),_xlfn.TEXTAFTER('Additional Documents-WUO_ERR'!A318, ":"))))</f>
        <v/>
      </c>
    </row>
    <row r="319">
      <c r="A319" s="38">
        <f>IF('Additional Documents'!B319 = "", "", IF('Additional Documents-WUO_ERR'!A319 = "", "Validated", HYPERLINK("#" &amp; ADDRESS(319, 'Additional Documents-WUO_TRK'!A319),_xlfn.TEXTAFTER('Additional Documents-WUO_ERR'!A319, ":"))))</f>
        <v/>
      </c>
    </row>
    <row r="320">
      <c r="A320" s="38">
        <f>IF('Additional Documents'!B320 = "", "", IF('Additional Documents-WUO_ERR'!A320 = "", "Validated", HYPERLINK("#" &amp; ADDRESS(320, 'Additional Documents-WUO_TRK'!A320),_xlfn.TEXTAFTER('Additional Documents-WUO_ERR'!A320, ":"))))</f>
        <v/>
      </c>
    </row>
    <row r="321">
      <c r="A321" s="38">
        <f>IF('Additional Documents'!B321 = "", "", IF('Additional Documents-WUO_ERR'!A321 = "", "Validated", HYPERLINK("#" &amp; ADDRESS(321, 'Additional Documents-WUO_TRK'!A321),_xlfn.TEXTAFTER('Additional Documents-WUO_ERR'!A321, ":"))))</f>
        <v/>
      </c>
    </row>
    <row r="322">
      <c r="A322" s="38">
        <f>IF('Additional Documents'!B322 = "", "", IF('Additional Documents-WUO_ERR'!A322 = "", "Validated", HYPERLINK("#" &amp; ADDRESS(322, 'Additional Documents-WUO_TRK'!A322),_xlfn.TEXTAFTER('Additional Documents-WUO_ERR'!A322, ":"))))</f>
        <v/>
      </c>
    </row>
    <row r="323">
      <c r="A323" s="38">
        <f>IF('Additional Documents'!B323 = "", "", IF('Additional Documents-WUO_ERR'!A323 = "", "Validated", HYPERLINK("#" &amp; ADDRESS(323, 'Additional Documents-WUO_TRK'!A323),_xlfn.TEXTAFTER('Additional Documents-WUO_ERR'!A323, ":"))))</f>
        <v/>
      </c>
    </row>
    <row r="324">
      <c r="A324" s="38">
        <f>IF('Additional Documents'!B324 = "", "", IF('Additional Documents-WUO_ERR'!A324 = "", "Validated", HYPERLINK("#" &amp; ADDRESS(324, 'Additional Documents-WUO_TRK'!A324),_xlfn.TEXTAFTER('Additional Documents-WUO_ERR'!A324, ":"))))</f>
        <v/>
      </c>
    </row>
    <row r="325">
      <c r="A325" s="38">
        <f>IF('Additional Documents'!B325 = "", "", IF('Additional Documents-WUO_ERR'!A325 = "", "Validated", HYPERLINK("#" &amp; ADDRESS(325, 'Additional Documents-WUO_TRK'!A325),_xlfn.TEXTAFTER('Additional Documents-WUO_ERR'!A325, ":"))))</f>
        <v/>
      </c>
    </row>
    <row r="326">
      <c r="A326" s="38">
        <f>IF('Additional Documents'!B326 = "", "", IF('Additional Documents-WUO_ERR'!A326 = "", "Validated", HYPERLINK("#" &amp; ADDRESS(326, 'Additional Documents-WUO_TRK'!A326),_xlfn.TEXTAFTER('Additional Documents-WUO_ERR'!A326, ":"))))</f>
        <v/>
      </c>
    </row>
    <row r="327">
      <c r="A327" s="38">
        <f>IF('Additional Documents'!B327 = "", "", IF('Additional Documents-WUO_ERR'!A327 = "", "Validated", HYPERLINK("#" &amp; ADDRESS(327, 'Additional Documents-WUO_TRK'!A327),_xlfn.TEXTAFTER('Additional Documents-WUO_ERR'!A327, ":"))))</f>
        <v/>
      </c>
    </row>
    <row r="328">
      <c r="A328" s="38">
        <f>IF('Additional Documents'!B328 = "", "", IF('Additional Documents-WUO_ERR'!A328 = "", "Validated", HYPERLINK("#" &amp; ADDRESS(328, 'Additional Documents-WUO_TRK'!A328),_xlfn.TEXTAFTER('Additional Documents-WUO_ERR'!A328, ":"))))</f>
        <v/>
      </c>
    </row>
    <row r="329">
      <c r="A329" s="38">
        <f>IF('Additional Documents'!B329 = "", "", IF('Additional Documents-WUO_ERR'!A329 = "", "Validated", HYPERLINK("#" &amp; ADDRESS(329, 'Additional Documents-WUO_TRK'!A329),_xlfn.TEXTAFTER('Additional Documents-WUO_ERR'!A329, ":"))))</f>
        <v/>
      </c>
    </row>
    <row r="330">
      <c r="A330" s="38">
        <f>IF('Additional Documents'!B330 = "", "", IF('Additional Documents-WUO_ERR'!A330 = "", "Validated", HYPERLINK("#" &amp; ADDRESS(330, 'Additional Documents-WUO_TRK'!A330),_xlfn.TEXTAFTER('Additional Documents-WUO_ERR'!A330, ":"))))</f>
        <v/>
      </c>
    </row>
    <row r="331">
      <c r="A331" s="38">
        <f>IF('Additional Documents'!B331 = "", "", IF('Additional Documents-WUO_ERR'!A331 = "", "Validated", HYPERLINK("#" &amp; ADDRESS(331, 'Additional Documents-WUO_TRK'!A331),_xlfn.TEXTAFTER('Additional Documents-WUO_ERR'!A331, ":"))))</f>
        <v/>
      </c>
    </row>
    <row r="332">
      <c r="A332" s="38">
        <f>IF('Additional Documents'!B332 = "", "", IF('Additional Documents-WUO_ERR'!A332 = "", "Validated", HYPERLINK("#" &amp; ADDRESS(332, 'Additional Documents-WUO_TRK'!A332),_xlfn.TEXTAFTER('Additional Documents-WUO_ERR'!A332, ":"))))</f>
        <v/>
      </c>
    </row>
    <row r="333">
      <c r="A333" s="38">
        <f>IF('Additional Documents'!B333 = "", "", IF('Additional Documents-WUO_ERR'!A333 = "", "Validated", HYPERLINK("#" &amp; ADDRESS(333, 'Additional Documents-WUO_TRK'!A333),_xlfn.TEXTAFTER('Additional Documents-WUO_ERR'!A333, ":"))))</f>
        <v/>
      </c>
    </row>
    <row r="334">
      <c r="A334" s="38">
        <f>IF('Additional Documents'!B334 = "", "", IF('Additional Documents-WUO_ERR'!A334 = "", "Validated", HYPERLINK("#" &amp; ADDRESS(334, 'Additional Documents-WUO_TRK'!A334),_xlfn.TEXTAFTER('Additional Documents-WUO_ERR'!A334, ":"))))</f>
        <v/>
      </c>
    </row>
    <row r="335">
      <c r="A335" s="38">
        <f>IF('Additional Documents'!B335 = "", "", IF('Additional Documents-WUO_ERR'!A335 = "", "Validated", HYPERLINK("#" &amp; ADDRESS(335, 'Additional Documents-WUO_TRK'!A335),_xlfn.TEXTAFTER('Additional Documents-WUO_ERR'!A335, ":"))))</f>
        <v/>
      </c>
    </row>
    <row r="336">
      <c r="A336" s="38">
        <f>IF('Additional Documents'!B336 = "", "", IF('Additional Documents-WUO_ERR'!A336 = "", "Validated", HYPERLINK("#" &amp; ADDRESS(336, 'Additional Documents-WUO_TRK'!A336),_xlfn.TEXTAFTER('Additional Documents-WUO_ERR'!A336, ":"))))</f>
        <v/>
      </c>
    </row>
    <row r="337">
      <c r="A337" s="38">
        <f>IF('Additional Documents'!B337 = "", "", IF('Additional Documents-WUO_ERR'!A337 = "", "Validated", HYPERLINK("#" &amp; ADDRESS(337, 'Additional Documents-WUO_TRK'!A337),_xlfn.TEXTAFTER('Additional Documents-WUO_ERR'!A337, ":"))))</f>
        <v/>
      </c>
    </row>
    <row r="338">
      <c r="A338" s="38">
        <f>IF('Additional Documents'!B338 = "", "", IF('Additional Documents-WUO_ERR'!A338 = "", "Validated", HYPERLINK("#" &amp; ADDRESS(338, 'Additional Documents-WUO_TRK'!A338),_xlfn.TEXTAFTER('Additional Documents-WUO_ERR'!A338, ":"))))</f>
        <v/>
      </c>
    </row>
    <row r="339">
      <c r="A339" s="38">
        <f>IF('Additional Documents'!B339 = "", "", IF('Additional Documents-WUO_ERR'!A339 = "", "Validated", HYPERLINK("#" &amp; ADDRESS(339, 'Additional Documents-WUO_TRK'!A339),_xlfn.TEXTAFTER('Additional Documents-WUO_ERR'!A339, ":"))))</f>
        <v/>
      </c>
    </row>
    <row r="340">
      <c r="A340" s="38">
        <f>IF('Additional Documents'!B340 = "", "", IF('Additional Documents-WUO_ERR'!A340 = "", "Validated", HYPERLINK("#" &amp; ADDRESS(340, 'Additional Documents-WUO_TRK'!A340),_xlfn.TEXTAFTER('Additional Documents-WUO_ERR'!A340, ":"))))</f>
        <v/>
      </c>
    </row>
    <row r="341">
      <c r="A341" s="38">
        <f>IF('Additional Documents'!B341 = "", "", IF('Additional Documents-WUO_ERR'!A341 = "", "Validated", HYPERLINK("#" &amp; ADDRESS(341, 'Additional Documents-WUO_TRK'!A341),_xlfn.TEXTAFTER('Additional Documents-WUO_ERR'!A341, ":"))))</f>
        <v/>
      </c>
    </row>
    <row r="342">
      <c r="A342" s="38">
        <f>IF('Additional Documents'!B342 = "", "", IF('Additional Documents-WUO_ERR'!A342 = "", "Validated", HYPERLINK("#" &amp; ADDRESS(342, 'Additional Documents-WUO_TRK'!A342),_xlfn.TEXTAFTER('Additional Documents-WUO_ERR'!A342, ":"))))</f>
        <v/>
      </c>
    </row>
    <row r="343">
      <c r="A343" s="38">
        <f>IF('Additional Documents'!B343 = "", "", IF('Additional Documents-WUO_ERR'!A343 = "", "Validated", HYPERLINK("#" &amp; ADDRESS(343, 'Additional Documents-WUO_TRK'!A343),_xlfn.TEXTAFTER('Additional Documents-WUO_ERR'!A343, ":"))))</f>
        <v/>
      </c>
    </row>
    <row r="344">
      <c r="A344" s="38">
        <f>IF('Additional Documents'!B344 = "", "", IF('Additional Documents-WUO_ERR'!A344 = "", "Validated", HYPERLINK("#" &amp; ADDRESS(344, 'Additional Documents-WUO_TRK'!A344),_xlfn.TEXTAFTER('Additional Documents-WUO_ERR'!A344, ":"))))</f>
        <v/>
      </c>
    </row>
    <row r="345">
      <c r="A345" s="38">
        <f>IF('Additional Documents'!B345 = "", "", IF('Additional Documents-WUO_ERR'!A345 = "", "Validated", HYPERLINK("#" &amp; ADDRESS(345, 'Additional Documents-WUO_TRK'!A345),_xlfn.TEXTAFTER('Additional Documents-WUO_ERR'!A345, ":"))))</f>
        <v/>
      </c>
    </row>
    <row r="346">
      <c r="A346" s="38">
        <f>IF('Additional Documents'!B346 = "", "", IF('Additional Documents-WUO_ERR'!A346 = "", "Validated", HYPERLINK("#" &amp; ADDRESS(346, 'Additional Documents-WUO_TRK'!A346),_xlfn.TEXTAFTER('Additional Documents-WUO_ERR'!A346, ":"))))</f>
        <v/>
      </c>
    </row>
    <row r="347">
      <c r="A347" s="38">
        <f>IF('Additional Documents'!B347 = "", "", IF('Additional Documents-WUO_ERR'!A347 = "", "Validated", HYPERLINK("#" &amp; ADDRESS(347, 'Additional Documents-WUO_TRK'!A347),_xlfn.TEXTAFTER('Additional Documents-WUO_ERR'!A347, ":"))))</f>
        <v/>
      </c>
    </row>
    <row r="348">
      <c r="A348" s="38">
        <f>IF('Additional Documents'!B348 = "", "", IF('Additional Documents-WUO_ERR'!A348 = "", "Validated", HYPERLINK("#" &amp; ADDRESS(348, 'Additional Documents-WUO_TRK'!A348),_xlfn.TEXTAFTER('Additional Documents-WUO_ERR'!A348, ":"))))</f>
        <v/>
      </c>
    </row>
    <row r="349">
      <c r="A349" s="38">
        <f>IF('Additional Documents'!B349 = "", "", IF('Additional Documents-WUO_ERR'!A349 = "", "Validated", HYPERLINK("#" &amp; ADDRESS(349, 'Additional Documents-WUO_TRK'!A349),_xlfn.TEXTAFTER('Additional Documents-WUO_ERR'!A349, ":"))))</f>
        <v/>
      </c>
    </row>
    <row r="350">
      <c r="A350" s="38">
        <f>IF('Additional Documents'!B350 = "", "", IF('Additional Documents-WUO_ERR'!A350 = "", "Validated", HYPERLINK("#" &amp; ADDRESS(350, 'Additional Documents-WUO_TRK'!A350),_xlfn.TEXTAFTER('Additional Documents-WUO_ERR'!A350, ":"))))</f>
        <v/>
      </c>
    </row>
    <row r="351">
      <c r="A351" s="38">
        <f>IF('Additional Documents'!B351 = "", "", IF('Additional Documents-WUO_ERR'!A351 = "", "Validated", HYPERLINK("#" &amp; ADDRESS(351, 'Additional Documents-WUO_TRK'!A351),_xlfn.TEXTAFTER('Additional Documents-WUO_ERR'!A351, ":"))))</f>
        <v/>
      </c>
    </row>
    <row r="352">
      <c r="A352" s="38">
        <f>IF('Additional Documents'!B352 = "", "", IF('Additional Documents-WUO_ERR'!A352 = "", "Validated", HYPERLINK("#" &amp; ADDRESS(352, 'Additional Documents-WUO_TRK'!A352),_xlfn.TEXTAFTER('Additional Documents-WUO_ERR'!A352, ":"))))</f>
        <v/>
      </c>
    </row>
    <row r="353">
      <c r="A353" s="38">
        <f>IF('Additional Documents'!B353 = "", "", IF('Additional Documents-WUO_ERR'!A353 = "", "Validated", HYPERLINK("#" &amp; ADDRESS(353, 'Additional Documents-WUO_TRK'!A353),_xlfn.TEXTAFTER('Additional Documents-WUO_ERR'!A353, ":"))))</f>
        <v/>
      </c>
    </row>
    <row r="354">
      <c r="A354" s="38">
        <f>IF('Additional Documents'!B354 = "", "", IF('Additional Documents-WUO_ERR'!A354 = "", "Validated", HYPERLINK("#" &amp; ADDRESS(354, 'Additional Documents-WUO_TRK'!A354),_xlfn.TEXTAFTER('Additional Documents-WUO_ERR'!A354, ":"))))</f>
        <v/>
      </c>
    </row>
    <row r="355">
      <c r="A355" s="38">
        <f>IF('Additional Documents'!B355 = "", "", IF('Additional Documents-WUO_ERR'!A355 = "", "Validated", HYPERLINK("#" &amp; ADDRESS(355, 'Additional Documents-WUO_TRK'!A355),_xlfn.TEXTAFTER('Additional Documents-WUO_ERR'!A355, ":"))))</f>
        <v/>
      </c>
    </row>
    <row r="356">
      <c r="A356" s="38">
        <f>IF('Additional Documents'!B356 = "", "", IF('Additional Documents-WUO_ERR'!A356 = "", "Validated", HYPERLINK("#" &amp; ADDRESS(356, 'Additional Documents-WUO_TRK'!A356),_xlfn.TEXTAFTER('Additional Documents-WUO_ERR'!A356, ":"))))</f>
        <v/>
      </c>
    </row>
    <row r="357">
      <c r="A357" s="38">
        <f>IF('Additional Documents'!B357 = "", "", IF('Additional Documents-WUO_ERR'!A357 = "", "Validated", HYPERLINK("#" &amp; ADDRESS(357, 'Additional Documents-WUO_TRK'!A357),_xlfn.TEXTAFTER('Additional Documents-WUO_ERR'!A357, ":"))))</f>
        <v/>
      </c>
    </row>
    <row r="358">
      <c r="A358" s="38">
        <f>IF('Additional Documents'!B358 = "", "", IF('Additional Documents-WUO_ERR'!A358 = "", "Validated", HYPERLINK("#" &amp; ADDRESS(358, 'Additional Documents-WUO_TRK'!A358),_xlfn.TEXTAFTER('Additional Documents-WUO_ERR'!A358, ":"))))</f>
        <v/>
      </c>
    </row>
    <row r="359">
      <c r="A359" s="38">
        <f>IF('Additional Documents'!B359 = "", "", IF('Additional Documents-WUO_ERR'!A359 = "", "Validated", HYPERLINK("#" &amp; ADDRESS(359, 'Additional Documents-WUO_TRK'!A359),_xlfn.TEXTAFTER('Additional Documents-WUO_ERR'!A359, ":"))))</f>
        <v/>
      </c>
    </row>
    <row r="360">
      <c r="A360" s="38">
        <f>IF('Additional Documents'!B360 = "", "", IF('Additional Documents-WUO_ERR'!A360 = "", "Validated", HYPERLINK("#" &amp; ADDRESS(360, 'Additional Documents-WUO_TRK'!A360),_xlfn.TEXTAFTER('Additional Documents-WUO_ERR'!A360, ":"))))</f>
        <v/>
      </c>
    </row>
    <row r="361">
      <c r="A361" s="38">
        <f>IF('Additional Documents'!B361 = "", "", IF('Additional Documents-WUO_ERR'!A361 = "", "Validated", HYPERLINK("#" &amp; ADDRESS(361, 'Additional Documents-WUO_TRK'!A361),_xlfn.TEXTAFTER('Additional Documents-WUO_ERR'!A361, ":"))))</f>
        <v/>
      </c>
    </row>
    <row r="362">
      <c r="A362" s="38">
        <f>IF('Additional Documents'!B362 = "", "", IF('Additional Documents-WUO_ERR'!A362 = "", "Validated", HYPERLINK("#" &amp; ADDRESS(362, 'Additional Documents-WUO_TRK'!A362),_xlfn.TEXTAFTER('Additional Documents-WUO_ERR'!A362, ":"))))</f>
        <v/>
      </c>
    </row>
    <row r="363">
      <c r="A363" s="38">
        <f>IF('Additional Documents'!B363 = "", "", IF('Additional Documents-WUO_ERR'!A363 = "", "Validated", HYPERLINK("#" &amp; ADDRESS(363, 'Additional Documents-WUO_TRK'!A363),_xlfn.TEXTAFTER('Additional Documents-WUO_ERR'!A363, ":"))))</f>
        <v/>
      </c>
    </row>
    <row r="364">
      <c r="A364" s="38">
        <f>IF('Additional Documents'!B364 = "", "", IF('Additional Documents-WUO_ERR'!A364 = "", "Validated", HYPERLINK("#" &amp; ADDRESS(364, 'Additional Documents-WUO_TRK'!A364),_xlfn.TEXTAFTER('Additional Documents-WUO_ERR'!A364, ":"))))</f>
        <v/>
      </c>
    </row>
    <row r="365">
      <c r="A365" s="38">
        <f>IF('Additional Documents'!B365 = "", "", IF('Additional Documents-WUO_ERR'!A365 = "", "Validated", HYPERLINK("#" &amp; ADDRESS(365, 'Additional Documents-WUO_TRK'!A365),_xlfn.TEXTAFTER('Additional Documents-WUO_ERR'!A365, ":"))))</f>
        <v/>
      </c>
    </row>
    <row r="366">
      <c r="A366" s="38">
        <f>IF('Additional Documents'!B366 = "", "", IF('Additional Documents-WUO_ERR'!A366 = "", "Validated", HYPERLINK("#" &amp; ADDRESS(366, 'Additional Documents-WUO_TRK'!A366),_xlfn.TEXTAFTER('Additional Documents-WUO_ERR'!A366, ":"))))</f>
        <v/>
      </c>
    </row>
    <row r="367">
      <c r="A367" s="38">
        <f>IF('Additional Documents'!B367 = "", "", IF('Additional Documents-WUO_ERR'!A367 = "", "Validated", HYPERLINK("#" &amp; ADDRESS(367, 'Additional Documents-WUO_TRK'!A367),_xlfn.TEXTAFTER('Additional Documents-WUO_ERR'!A367, ":"))))</f>
        <v/>
      </c>
    </row>
    <row r="368">
      <c r="A368" s="38">
        <f>IF('Additional Documents'!B368 = "", "", IF('Additional Documents-WUO_ERR'!A368 = "", "Validated", HYPERLINK("#" &amp; ADDRESS(368, 'Additional Documents-WUO_TRK'!A368),_xlfn.TEXTAFTER('Additional Documents-WUO_ERR'!A368, ":"))))</f>
        <v/>
      </c>
    </row>
    <row r="369">
      <c r="A369" s="38">
        <f>IF('Additional Documents'!B369 = "", "", IF('Additional Documents-WUO_ERR'!A369 = "", "Validated", HYPERLINK("#" &amp; ADDRESS(369, 'Additional Documents-WUO_TRK'!A369),_xlfn.TEXTAFTER('Additional Documents-WUO_ERR'!A369, ":"))))</f>
        <v/>
      </c>
    </row>
    <row r="370">
      <c r="A370" s="38">
        <f>IF('Additional Documents'!B370 = "", "", IF('Additional Documents-WUO_ERR'!A370 = "", "Validated", HYPERLINK("#" &amp; ADDRESS(370, 'Additional Documents-WUO_TRK'!A370),_xlfn.TEXTAFTER('Additional Documents-WUO_ERR'!A370, ":"))))</f>
        <v/>
      </c>
    </row>
    <row r="371">
      <c r="A371" s="38">
        <f>IF('Additional Documents'!B371 = "", "", IF('Additional Documents-WUO_ERR'!A371 = "", "Validated", HYPERLINK("#" &amp; ADDRESS(371, 'Additional Documents-WUO_TRK'!A371),_xlfn.TEXTAFTER('Additional Documents-WUO_ERR'!A371, ":"))))</f>
        <v/>
      </c>
    </row>
    <row r="372">
      <c r="A372" s="38">
        <f>IF('Additional Documents'!B372 = "", "", IF('Additional Documents-WUO_ERR'!A372 = "", "Validated", HYPERLINK("#" &amp; ADDRESS(372, 'Additional Documents-WUO_TRK'!A372),_xlfn.TEXTAFTER('Additional Documents-WUO_ERR'!A372, ":"))))</f>
        <v/>
      </c>
    </row>
    <row r="373">
      <c r="A373" s="38">
        <f>IF('Additional Documents'!B373 = "", "", IF('Additional Documents-WUO_ERR'!A373 = "", "Validated", HYPERLINK("#" &amp; ADDRESS(373, 'Additional Documents-WUO_TRK'!A373),_xlfn.TEXTAFTER('Additional Documents-WUO_ERR'!A373, ":"))))</f>
        <v/>
      </c>
    </row>
    <row r="374">
      <c r="A374" s="38">
        <f>IF('Additional Documents'!B374 = "", "", IF('Additional Documents-WUO_ERR'!A374 = "", "Validated", HYPERLINK("#" &amp; ADDRESS(374, 'Additional Documents-WUO_TRK'!A374),_xlfn.TEXTAFTER('Additional Documents-WUO_ERR'!A374, ":"))))</f>
        <v/>
      </c>
    </row>
    <row r="375">
      <c r="A375" s="38">
        <f>IF('Additional Documents'!B375 = "", "", IF('Additional Documents-WUO_ERR'!A375 = "", "Validated", HYPERLINK("#" &amp; ADDRESS(375, 'Additional Documents-WUO_TRK'!A375),_xlfn.TEXTAFTER('Additional Documents-WUO_ERR'!A375, ":"))))</f>
        <v/>
      </c>
    </row>
    <row r="376">
      <c r="A376" s="38">
        <f>IF('Additional Documents'!B376 = "", "", IF('Additional Documents-WUO_ERR'!A376 = "", "Validated", HYPERLINK("#" &amp; ADDRESS(376, 'Additional Documents-WUO_TRK'!A376),_xlfn.TEXTAFTER('Additional Documents-WUO_ERR'!A376, ":"))))</f>
        <v/>
      </c>
    </row>
    <row r="377">
      <c r="A377" s="38">
        <f>IF('Additional Documents'!B377 = "", "", IF('Additional Documents-WUO_ERR'!A377 = "", "Validated", HYPERLINK("#" &amp; ADDRESS(377, 'Additional Documents-WUO_TRK'!A377),_xlfn.TEXTAFTER('Additional Documents-WUO_ERR'!A377, ":"))))</f>
        <v/>
      </c>
    </row>
    <row r="378">
      <c r="A378" s="38">
        <f>IF('Additional Documents'!B378 = "", "", IF('Additional Documents-WUO_ERR'!A378 = "", "Validated", HYPERLINK("#" &amp; ADDRESS(378, 'Additional Documents-WUO_TRK'!A378),_xlfn.TEXTAFTER('Additional Documents-WUO_ERR'!A378, ":"))))</f>
        <v/>
      </c>
    </row>
    <row r="379">
      <c r="A379" s="38">
        <f>IF('Additional Documents'!B379 = "", "", IF('Additional Documents-WUO_ERR'!A379 = "", "Validated", HYPERLINK("#" &amp; ADDRESS(379, 'Additional Documents-WUO_TRK'!A379),_xlfn.TEXTAFTER('Additional Documents-WUO_ERR'!A379, ":"))))</f>
        <v/>
      </c>
    </row>
    <row r="380">
      <c r="A380" s="38">
        <f>IF('Additional Documents'!B380 = "", "", IF('Additional Documents-WUO_ERR'!A380 = "", "Validated", HYPERLINK("#" &amp; ADDRESS(380, 'Additional Documents-WUO_TRK'!A380),_xlfn.TEXTAFTER('Additional Documents-WUO_ERR'!A380, ":"))))</f>
        <v/>
      </c>
    </row>
    <row r="381">
      <c r="A381" s="38">
        <f>IF('Additional Documents'!B381 = "", "", IF('Additional Documents-WUO_ERR'!A381 = "", "Validated", HYPERLINK("#" &amp; ADDRESS(381, 'Additional Documents-WUO_TRK'!A381),_xlfn.TEXTAFTER('Additional Documents-WUO_ERR'!A381, ":"))))</f>
        <v/>
      </c>
    </row>
    <row r="382">
      <c r="A382" s="38">
        <f>IF('Additional Documents'!B382 = "", "", IF('Additional Documents-WUO_ERR'!A382 = "", "Validated", HYPERLINK("#" &amp; ADDRESS(382, 'Additional Documents-WUO_TRK'!A382),_xlfn.TEXTAFTER('Additional Documents-WUO_ERR'!A382, ":"))))</f>
        <v/>
      </c>
    </row>
    <row r="383">
      <c r="A383" s="38">
        <f>IF('Additional Documents'!B383 = "", "", IF('Additional Documents-WUO_ERR'!A383 = "", "Validated", HYPERLINK("#" &amp; ADDRESS(383, 'Additional Documents-WUO_TRK'!A383),_xlfn.TEXTAFTER('Additional Documents-WUO_ERR'!A383, ":"))))</f>
        <v/>
      </c>
    </row>
    <row r="384">
      <c r="A384" s="38">
        <f>IF('Additional Documents'!B384 = "", "", IF('Additional Documents-WUO_ERR'!A384 = "", "Validated", HYPERLINK("#" &amp; ADDRESS(384, 'Additional Documents-WUO_TRK'!A384),_xlfn.TEXTAFTER('Additional Documents-WUO_ERR'!A384, ":"))))</f>
        <v/>
      </c>
    </row>
    <row r="385">
      <c r="A385" s="38">
        <f>IF('Additional Documents'!B385 = "", "", IF('Additional Documents-WUO_ERR'!A385 = "", "Validated", HYPERLINK("#" &amp; ADDRESS(385, 'Additional Documents-WUO_TRK'!A385),_xlfn.TEXTAFTER('Additional Documents-WUO_ERR'!A385, ":"))))</f>
        <v/>
      </c>
    </row>
    <row r="386">
      <c r="A386" s="38">
        <f>IF('Additional Documents'!B386 = "", "", IF('Additional Documents-WUO_ERR'!A386 = "", "Validated", HYPERLINK("#" &amp; ADDRESS(386, 'Additional Documents-WUO_TRK'!A386),_xlfn.TEXTAFTER('Additional Documents-WUO_ERR'!A386, ":"))))</f>
        <v/>
      </c>
    </row>
    <row r="387">
      <c r="A387" s="38">
        <f>IF('Additional Documents'!B387 = "", "", IF('Additional Documents-WUO_ERR'!A387 = "", "Validated", HYPERLINK("#" &amp; ADDRESS(387, 'Additional Documents-WUO_TRK'!A387),_xlfn.TEXTAFTER('Additional Documents-WUO_ERR'!A387, ":"))))</f>
        <v/>
      </c>
    </row>
    <row r="388">
      <c r="A388" s="38">
        <f>IF('Additional Documents'!B388 = "", "", IF('Additional Documents-WUO_ERR'!A388 = "", "Validated", HYPERLINK("#" &amp; ADDRESS(388, 'Additional Documents-WUO_TRK'!A388),_xlfn.TEXTAFTER('Additional Documents-WUO_ERR'!A388, ":"))))</f>
        <v/>
      </c>
    </row>
    <row r="389">
      <c r="A389" s="38">
        <f>IF('Additional Documents'!B389 = "", "", IF('Additional Documents-WUO_ERR'!A389 = "", "Validated", HYPERLINK("#" &amp; ADDRESS(389, 'Additional Documents-WUO_TRK'!A389),_xlfn.TEXTAFTER('Additional Documents-WUO_ERR'!A389, ":"))))</f>
        <v/>
      </c>
    </row>
    <row r="390">
      <c r="A390" s="38">
        <f>IF('Additional Documents'!B390 = "", "", IF('Additional Documents-WUO_ERR'!A390 = "", "Validated", HYPERLINK("#" &amp; ADDRESS(390, 'Additional Documents-WUO_TRK'!A390),_xlfn.TEXTAFTER('Additional Documents-WUO_ERR'!A390, ":"))))</f>
        <v/>
      </c>
    </row>
    <row r="391">
      <c r="A391" s="38">
        <f>IF('Additional Documents'!B391 = "", "", IF('Additional Documents-WUO_ERR'!A391 = "", "Validated", HYPERLINK("#" &amp; ADDRESS(391, 'Additional Documents-WUO_TRK'!A391),_xlfn.TEXTAFTER('Additional Documents-WUO_ERR'!A391, ":"))))</f>
        <v/>
      </c>
    </row>
    <row r="392">
      <c r="A392" s="38">
        <f>IF('Additional Documents'!B392 = "", "", IF('Additional Documents-WUO_ERR'!A392 = "", "Validated", HYPERLINK("#" &amp; ADDRESS(392, 'Additional Documents-WUO_TRK'!A392),_xlfn.TEXTAFTER('Additional Documents-WUO_ERR'!A392, ":"))))</f>
        <v/>
      </c>
    </row>
    <row r="393">
      <c r="A393" s="38">
        <f>IF('Additional Documents'!B393 = "", "", IF('Additional Documents-WUO_ERR'!A393 = "", "Validated", HYPERLINK("#" &amp; ADDRESS(393, 'Additional Documents-WUO_TRK'!A393),_xlfn.TEXTAFTER('Additional Documents-WUO_ERR'!A393, ":"))))</f>
        <v/>
      </c>
    </row>
    <row r="394">
      <c r="A394" s="38">
        <f>IF('Additional Documents'!B394 = "", "", IF('Additional Documents-WUO_ERR'!A394 = "", "Validated", HYPERLINK("#" &amp; ADDRESS(394, 'Additional Documents-WUO_TRK'!A394),_xlfn.TEXTAFTER('Additional Documents-WUO_ERR'!A394, ":"))))</f>
        <v/>
      </c>
    </row>
    <row r="395">
      <c r="A395" s="38">
        <f>IF('Additional Documents'!B395 = "", "", IF('Additional Documents-WUO_ERR'!A395 = "", "Validated", HYPERLINK("#" &amp; ADDRESS(395, 'Additional Documents-WUO_TRK'!A395),_xlfn.TEXTAFTER('Additional Documents-WUO_ERR'!A395, ":"))))</f>
        <v/>
      </c>
    </row>
    <row r="396">
      <c r="A396" s="38">
        <f>IF('Additional Documents'!B396 = "", "", IF('Additional Documents-WUO_ERR'!A396 = "", "Validated", HYPERLINK("#" &amp; ADDRESS(396, 'Additional Documents-WUO_TRK'!A396),_xlfn.TEXTAFTER('Additional Documents-WUO_ERR'!A396, ":"))))</f>
        <v/>
      </c>
    </row>
    <row r="397">
      <c r="A397" s="38">
        <f>IF('Additional Documents'!B397 = "", "", IF('Additional Documents-WUO_ERR'!A397 = "", "Validated", HYPERLINK("#" &amp; ADDRESS(397, 'Additional Documents-WUO_TRK'!A397),_xlfn.TEXTAFTER('Additional Documents-WUO_ERR'!A397, ":"))))</f>
        <v/>
      </c>
    </row>
    <row r="398">
      <c r="A398" s="38">
        <f>IF('Additional Documents'!B398 = "", "", IF('Additional Documents-WUO_ERR'!A398 = "", "Validated", HYPERLINK("#" &amp; ADDRESS(398, 'Additional Documents-WUO_TRK'!A398),_xlfn.TEXTAFTER('Additional Documents-WUO_ERR'!A398, ":"))))</f>
        <v/>
      </c>
    </row>
    <row r="399">
      <c r="A399" s="38">
        <f>IF('Additional Documents'!B399 = "", "", IF('Additional Documents-WUO_ERR'!A399 = "", "Validated", HYPERLINK("#" &amp; ADDRESS(399, 'Additional Documents-WUO_TRK'!A399),_xlfn.TEXTAFTER('Additional Documents-WUO_ERR'!A399, ":"))))</f>
        <v/>
      </c>
    </row>
    <row r="400">
      <c r="A400" s="38">
        <f>IF('Additional Documents'!B400 = "", "", IF('Additional Documents-WUO_ERR'!A400 = "", "Validated", HYPERLINK("#" &amp; ADDRESS(400, 'Additional Documents-WUO_TRK'!A400),_xlfn.TEXTAFTER('Additional Documents-WUO_ERR'!A400, ":"))))</f>
        <v/>
      </c>
    </row>
    <row r="401">
      <c r="A401" s="38">
        <f>IF('Additional Documents'!B401 = "", "", IF('Additional Documents-WUO_ERR'!A401 = "", "Validated", HYPERLINK("#" &amp; ADDRESS(401, 'Additional Documents-WUO_TRK'!A401),_xlfn.TEXTAFTER('Additional Documents-WUO_ERR'!A401, ":"))))</f>
        <v/>
      </c>
    </row>
    <row r="402">
      <c r="A402" s="38">
        <f>IF('Additional Documents'!B402 = "", "", IF('Additional Documents-WUO_ERR'!A402 = "", "Validated", HYPERLINK("#" &amp; ADDRESS(402, 'Additional Documents-WUO_TRK'!A402),_xlfn.TEXTAFTER('Additional Documents-WUO_ERR'!A402, ":"))))</f>
        <v/>
      </c>
    </row>
    <row r="403">
      <c r="A403" s="38">
        <f>IF('Additional Documents'!B403 = "", "", IF('Additional Documents-WUO_ERR'!A403 = "", "Validated", HYPERLINK("#" &amp; ADDRESS(403, 'Additional Documents-WUO_TRK'!A403),_xlfn.TEXTAFTER('Additional Documents-WUO_ERR'!A403, ":"))))</f>
        <v/>
      </c>
    </row>
    <row r="404">
      <c r="A404" s="38">
        <f>IF('Additional Documents'!B404 = "", "", IF('Additional Documents-WUO_ERR'!A404 = "", "Validated", HYPERLINK("#" &amp; ADDRESS(404, 'Additional Documents-WUO_TRK'!A404),_xlfn.TEXTAFTER('Additional Documents-WUO_ERR'!A404, ":"))))</f>
        <v/>
      </c>
    </row>
    <row r="405">
      <c r="A405" s="38">
        <f>IF('Additional Documents'!B405 = "", "", IF('Additional Documents-WUO_ERR'!A405 = "", "Validated", HYPERLINK("#" &amp; ADDRESS(405, 'Additional Documents-WUO_TRK'!A405),_xlfn.TEXTAFTER('Additional Documents-WUO_ERR'!A405, ":"))))</f>
        <v/>
      </c>
    </row>
    <row r="406">
      <c r="A406" s="38">
        <f>IF('Additional Documents'!B406 = "", "", IF('Additional Documents-WUO_ERR'!A406 = "", "Validated", HYPERLINK("#" &amp; ADDRESS(406, 'Additional Documents-WUO_TRK'!A406),_xlfn.TEXTAFTER('Additional Documents-WUO_ERR'!A406, ":"))))</f>
        <v/>
      </c>
    </row>
    <row r="407">
      <c r="A407" s="38">
        <f>IF('Additional Documents'!B407 = "", "", IF('Additional Documents-WUO_ERR'!A407 = "", "Validated", HYPERLINK("#" &amp; ADDRESS(407, 'Additional Documents-WUO_TRK'!A407),_xlfn.TEXTAFTER('Additional Documents-WUO_ERR'!A407, ":"))))</f>
        <v/>
      </c>
    </row>
    <row r="408">
      <c r="A408" s="38">
        <f>IF('Additional Documents'!B408 = "", "", IF('Additional Documents-WUO_ERR'!A408 = "", "Validated", HYPERLINK("#" &amp; ADDRESS(408, 'Additional Documents-WUO_TRK'!A408),_xlfn.TEXTAFTER('Additional Documents-WUO_ERR'!A408, ":"))))</f>
        <v/>
      </c>
    </row>
    <row r="409">
      <c r="A409" s="38">
        <f>IF('Additional Documents'!B409 = "", "", IF('Additional Documents-WUO_ERR'!A409 = "", "Validated", HYPERLINK("#" &amp; ADDRESS(409, 'Additional Documents-WUO_TRK'!A409),_xlfn.TEXTAFTER('Additional Documents-WUO_ERR'!A409, ":"))))</f>
        <v/>
      </c>
    </row>
    <row r="410">
      <c r="A410" s="38">
        <f>IF('Additional Documents'!B410 = "", "", IF('Additional Documents-WUO_ERR'!A410 = "", "Validated", HYPERLINK("#" &amp; ADDRESS(410, 'Additional Documents-WUO_TRK'!A410),_xlfn.TEXTAFTER('Additional Documents-WUO_ERR'!A410, ":"))))</f>
        <v/>
      </c>
    </row>
    <row r="411">
      <c r="A411" s="38">
        <f>IF('Additional Documents'!B411 = "", "", IF('Additional Documents-WUO_ERR'!A411 = "", "Validated", HYPERLINK("#" &amp; ADDRESS(411, 'Additional Documents-WUO_TRK'!A411),_xlfn.TEXTAFTER('Additional Documents-WUO_ERR'!A411, ":"))))</f>
        <v/>
      </c>
    </row>
    <row r="412">
      <c r="A412" s="38">
        <f>IF('Additional Documents'!B412 = "", "", IF('Additional Documents-WUO_ERR'!A412 = "", "Validated", HYPERLINK("#" &amp; ADDRESS(412, 'Additional Documents-WUO_TRK'!A412),_xlfn.TEXTAFTER('Additional Documents-WUO_ERR'!A412, ":"))))</f>
        <v/>
      </c>
    </row>
    <row r="413">
      <c r="A413" s="38">
        <f>IF('Additional Documents'!B413 = "", "", IF('Additional Documents-WUO_ERR'!A413 = "", "Validated", HYPERLINK("#" &amp; ADDRESS(413, 'Additional Documents-WUO_TRK'!A413),_xlfn.TEXTAFTER('Additional Documents-WUO_ERR'!A413, ":"))))</f>
        <v/>
      </c>
    </row>
    <row r="414">
      <c r="A414" s="38">
        <f>IF('Additional Documents'!B414 = "", "", IF('Additional Documents-WUO_ERR'!A414 = "", "Validated", HYPERLINK("#" &amp; ADDRESS(414, 'Additional Documents-WUO_TRK'!A414),_xlfn.TEXTAFTER('Additional Documents-WUO_ERR'!A414, ":"))))</f>
        <v/>
      </c>
    </row>
    <row r="415">
      <c r="A415" s="38">
        <f>IF('Additional Documents'!B415 = "", "", IF('Additional Documents-WUO_ERR'!A415 = "", "Validated", HYPERLINK("#" &amp; ADDRESS(415, 'Additional Documents-WUO_TRK'!A415),_xlfn.TEXTAFTER('Additional Documents-WUO_ERR'!A415, ":"))))</f>
        <v/>
      </c>
    </row>
    <row r="416">
      <c r="A416" s="38">
        <f>IF('Additional Documents'!B416 = "", "", IF('Additional Documents-WUO_ERR'!A416 = "", "Validated", HYPERLINK("#" &amp; ADDRESS(416, 'Additional Documents-WUO_TRK'!A416),_xlfn.TEXTAFTER('Additional Documents-WUO_ERR'!A416, ":"))))</f>
        <v/>
      </c>
    </row>
    <row r="417">
      <c r="A417" s="38">
        <f>IF('Additional Documents'!B417 = "", "", IF('Additional Documents-WUO_ERR'!A417 = "", "Validated", HYPERLINK("#" &amp; ADDRESS(417, 'Additional Documents-WUO_TRK'!A417),_xlfn.TEXTAFTER('Additional Documents-WUO_ERR'!A417, ":"))))</f>
        <v/>
      </c>
    </row>
    <row r="418">
      <c r="A418" s="38">
        <f>IF('Additional Documents'!B418 = "", "", IF('Additional Documents-WUO_ERR'!A418 = "", "Validated", HYPERLINK("#" &amp; ADDRESS(418, 'Additional Documents-WUO_TRK'!A418),_xlfn.TEXTAFTER('Additional Documents-WUO_ERR'!A418, ":"))))</f>
        <v/>
      </c>
    </row>
    <row r="419">
      <c r="A419" s="38">
        <f>IF('Additional Documents'!B419 = "", "", IF('Additional Documents-WUO_ERR'!A419 = "", "Validated", HYPERLINK("#" &amp; ADDRESS(419, 'Additional Documents-WUO_TRK'!A419),_xlfn.TEXTAFTER('Additional Documents-WUO_ERR'!A419, ":"))))</f>
        <v/>
      </c>
    </row>
    <row r="420">
      <c r="A420" s="38">
        <f>IF('Additional Documents'!B420 = "", "", IF('Additional Documents-WUO_ERR'!A420 = "", "Validated", HYPERLINK("#" &amp; ADDRESS(420, 'Additional Documents-WUO_TRK'!A420),_xlfn.TEXTAFTER('Additional Documents-WUO_ERR'!A420, ":"))))</f>
        <v/>
      </c>
    </row>
    <row r="421">
      <c r="A421" s="38">
        <f>IF('Additional Documents'!B421 = "", "", IF('Additional Documents-WUO_ERR'!A421 = "", "Validated", HYPERLINK("#" &amp; ADDRESS(421, 'Additional Documents-WUO_TRK'!A421),_xlfn.TEXTAFTER('Additional Documents-WUO_ERR'!A421, ":"))))</f>
        <v/>
      </c>
    </row>
    <row r="422">
      <c r="A422" s="38">
        <f>IF('Additional Documents'!B422 = "", "", IF('Additional Documents-WUO_ERR'!A422 = "", "Validated", HYPERLINK("#" &amp; ADDRESS(422, 'Additional Documents-WUO_TRK'!A422),_xlfn.TEXTAFTER('Additional Documents-WUO_ERR'!A422, ":"))))</f>
        <v/>
      </c>
    </row>
    <row r="423">
      <c r="A423" s="38">
        <f>IF('Additional Documents'!B423 = "", "", IF('Additional Documents-WUO_ERR'!A423 = "", "Validated", HYPERLINK("#" &amp; ADDRESS(423, 'Additional Documents-WUO_TRK'!A423),_xlfn.TEXTAFTER('Additional Documents-WUO_ERR'!A423, ":"))))</f>
        <v/>
      </c>
    </row>
    <row r="424">
      <c r="A424" s="38">
        <f>IF('Additional Documents'!B424 = "", "", IF('Additional Documents-WUO_ERR'!A424 = "", "Validated", HYPERLINK("#" &amp; ADDRESS(424, 'Additional Documents-WUO_TRK'!A424),_xlfn.TEXTAFTER('Additional Documents-WUO_ERR'!A424, ":"))))</f>
        <v/>
      </c>
    </row>
    <row r="425">
      <c r="A425" s="38">
        <f>IF('Additional Documents'!B425 = "", "", IF('Additional Documents-WUO_ERR'!A425 = "", "Validated", HYPERLINK("#" &amp; ADDRESS(425, 'Additional Documents-WUO_TRK'!A425),_xlfn.TEXTAFTER('Additional Documents-WUO_ERR'!A425, ":"))))</f>
        <v/>
      </c>
    </row>
    <row r="426">
      <c r="A426" s="38">
        <f>IF('Additional Documents'!B426 = "", "", IF('Additional Documents-WUO_ERR'!A426 = "", "Validated", HYPERLINK("#" &amp; ADDRESS(426, 'Additional Documents-WUO_TRK'!A426),_xlfn.TEXTAFTER('Additional Documents-WUO_ERR'!A426, ":"))))</f>
        <v/>
      </c>
    </row>
    <row r="427">
      <c r="A427" s="38">
        <f>IF('Additional Documents'!B427 = "", "", IF('Additional Documents-WUO_ERR'!A427 = "", "Validated", HYPERLINK("#" &amp; ADDRESS(427, 'Additional Documents-WUO_TRK'!A427),_xlfn.TEXTAFTER('Additional Documents-WUO_ERR'!A427, ":"))))</f>
        <v/>
      </c>
    </row>
    <row r="428">
      <c r="A428" s="38">
        <f>IF('Additional Documents'!B428 = "", "", IF('Additional Documents-WUO_ERR'!A428 = "", "Validated", HYPERLINK("#" &amp; ADDRESS(428, 'Additional Documents-WUO_TRK'!A428),_xlfn.TEXTAFTER('Additional Documents-WUO_ERR'!A428, ":"))))</f>
        <v/>
      </c>
    </row>
    <row r="429">
      <c r="A429" s="38">
        <f>IF('Additional Documents'!B429 = "", "", IF('Additional Documents-WUO_ERR'!A429 = "", "Validated", HYPERLINK("#" &amp; ADDRESS(429, 'Additional Documents-WUO_TRK'!A429),_xlfn.TEXTAFTER('Additional Documents-WUO_ERR'!A429, ":"))))</f>
        <v/>
      </c>
    </row>
    <row r="430">
      <c r="A430" s="38">
        <f>IF('Additional Documents'!B430 = "", "", IF('Additional Documents-WUO_ERR'!A430 = "", "Validated", HYPERLINK("#" &amp; ADDRESS(430, 'Additional Documents-WUO_TRK'!A430),_xlfn.TEXTAFTER('Additional Documents-WUO_ERR'!A430, ":"))))</f>
        <v/>
      </c>
    </row>
    <row r="431">
      <c r="A431" s="38">
        <f>IF('Additional Documents'!B431 = "", "", IF('Additional Documents-WUO_ERR'!A431 = "", "Validated", HYPERLINK("#" &amp; ADDRESS(431, 'Additional Documents-WUO_TRK'!A431),_xlfn.TEXTAFTER('Additional Documents-WUO_ERR'!A431, ":"))))</f>
        <v/>
      </c>
    </row>
    <row r="432">
      <c r="A432" s="38">
        <f>IF('Additional Documents'!B432 = "", "", IF('Additional Documents-WUO_ERR'!A432 = "", "Validated", HYPERLINK("#" &amp; ADDRESS(432, 'Additional Documents-WUO_TRK'!A432),_xlfn.TEXTAFTER('Additional Documents-WUO_ERR'!A432, ":"))))</f>
        <v/>
      </c>
    </row>
    <row r="433">
      <c r="A433" s="38">
        <f>IF('Additional Documents'!B433 = "", "", IF('Additional Documents-WUO_ERR'!A433 = "", "Validated", HYPERLINK("#" &amp; ADDRESS(433, 'Additional Documents-WUO_TRK'!A433),_xlfn.TEXTAFTER('Additional Documents-WUO_ERR'!A433, ":"))))</f>
        <v/>
      </c>
    </row>
    <row r="434">
      <c r="A434" s="38">
        <f>IF('Additional Documents'!B434 = "", "", IF('Additional Documents-WUO_ERR'!A434 = "", "Validated", HYPERLINK("#" &amp; ADDRESS(434, 'Additional Documents-WUO_TRK'!A434),_xlfn.TEXTAFTER('Additional Documents-WUO_ERR'!A434, ":"))))</f>
        <v/>
      </c>
    </row>
    <row r="435">
      <c r="A435" s="38">
        <f>IF('Additional Documents'!B435 = "", "", IF('Additional Documents-WUO_ERR'!A435 = "", "Validated", HYPERLINK("#" &amp; ADDRESS(435, 'Additional Documents-WUO_TRK'!A435),_xlfn.TEXTAFTER('Additional Documents-WUO_ERR'!A435, ":"))))</f>
        <v/>
      </c>
    </row>
    <row r="436">
      <c r="A436" s="38">
        <f>IF('Additional Documents'!B436 = "", "", IF('Additional Documents-WUO_ERR'!A436 = "", "Validated", HYPERLINK("#" &amp; ADDRESS(436, 'Additional Documents-WUO_TRK'!A436),_xlfn.TEXTAFTER('Additional Documents-WUO_ERR'!A436, ":"))))</f>
        <v/>
      </c>
    </row>
    <row r="437">
      <c r="A437" s="38">
        <f>IF('Additional Documents'!B437 = "", "", IF('Additional Documents-WUO_ERR'!A437 = "", "Validated", HYPERLINK("#" &amp; ADDRESS(437, 'Additional Documents-WUO_TRK'!A437),_xlfn.TEXTAFTER('Additional Documents-WUO_ERR'!A437, ":"))))</f>
        <v/>
      </c>
    </row>
    <row r="438">
      <c r="A438" s="38">
        <f>IF('Additional Documents'!B438 = "", "", IF('Additional Documents-WUO_ERR'!A438 = "", "Validated", HYPERLINK("#" &amp; ADDRESS(438, 'Additional Documents-WUO_TRK'!A438),_xlfn.TEXTAFTER('Additional Documents-WUO_ERR'!A438, ":"))))</f>
        <v/>
      </c>
    </row>
    <row r="439">
      <c r="A439" s="38">
        <f>IF('Additional Documents'!B439 = "", "", IF('Additional Documents-WUO_ERR'!A439 = "", "Validated", HYPERLINK("#" &amp; ADDRESS(439, 'Additional Documents-WUO_TRK'!A439),_xlfn.TEXTAFTER('Additional Documents-WUO_ERR'!A439, ":"))))</f>
        <v/>
      </c>
    </row>
    <row r="440">
      <c r="A440" s="38">
        <f>IF('Additional Documents'!B440 = "", "", IF('Additional Documents-WUO_ERR'!A440 = "", "Validated", HYPERLINK("#" &amp; ADDRESS(440, 'Additional Documents-WUO_TRK'!A440),_xlfn.TEXTAFTER('Additional Documents-WUO_ERR'!A440, ":"))))</f>
        <v/>
      </c>
    </row>
    <row r="441">
      <c r="A441" s="38">
        <f>IF('Additional Documents'!B441 = "", "", IF('Additional Documents-WUO_ERR'!A441 = "", "Validated", HYPERLINK("#" &amp; ADDRESS(441, 'Additional Documents-WUO_TRK'!A441),_xlfn.TEXTAFTER('Additional Documents-WUO_ERR'!A441, ":"))))</f>
        <v/>
      </c>
    </row>
    <row r="442">
      <c r="A442" s="38">
        <f>IF('Additional Documents'!B442 = "", "", IF('Additional Documents-WUO_ERR'!A442 = "", "Validated", HYPERLINK("#" &amp; ADDRESS(442, 'Additional Documents-WUO_TRK'!A442),_xlfn.TEXTAFTER('Additional Documents-WUO_ERR'!A442, ":"))))</f>
        <v/>
      </c>
    </row>
    <row r="443">
      <c r="A443" s="38">
        <f>IF('Additional Documents'!B443 = "", "", IF('Additional Documents-WUO_ERR'!A443 = "", "Validated", HYPERLINK("#" &amp; ADDRESS(443, 'Additional Documents-WUO_TRK'!A443),_xlfn.TEXTAFTER('Additional Documents-WUO_ERR'!A443, ":"))))</f>
        <v/>
      </c>
    </row>
    <row r="444">
      <c r="A444" s="38">
        <f>IF('Additional Documents'!B444 = "", "", IF('Additional Documents-WUO_ERR'!A444 = "", "Validated", HYPERLINK("#" &amp; ADDRESS(444, 'Additional Documents-WUO_TRK'!A444),_xlfn.TEXTAFTER('Additional Documents-WUO_ERR'!A444, ":"))))</f>
        <v/>
      </c>
    </row>
    <row r="445">
      <c r="A445" s="38">
        <f>IF('Additional Documents'!B445 = "", "", IF('Additional Documents-WUO_ERR'!A445 = "", "Validated", HYPERLINK("#" &amp; ADDRESS(445, 'Additional Documents-WUO_TRK'!A445),_xlfn.TEXTAFTER('Additional Documents-WUO_ERR'!A445, ":"))))</f>
        <v/>
      </c>
    </row>
    <row r="446">
      <c r="A446" s="38">
        <f>IF('Additional Documents'!B446 = "", "", IF('Additional Documents-WUO_ERR'!A446 = "", "Validated", HYPERLINK("#" &amp; ADDRESS(446, 'Additional Documents-WUO_TRK'!A446),_xlfn.TEXTAFTER('Additional Documents-WUO_ERR'!A446, ":"))))</f>
        <v/>
      </c>
    </row>
    <row r="447">
      <c r="A447" s="38">
        <f>IF('Additional Documents'!B447 = "", "", IF('Additional Documents-WUO_ERR'!A447 = "", "Validated", HYPERLINK("#" &amp; ADDRESS(447, 'Additional Documents-WUO_TRK'!A447),_xlfn.TEXTAFTER('Additional Documents-WUO_ERR'!A447, ":"))))</f>
        <v/>
      </c>
    </row>
    <row r="448">
      <c r="A448" s="38">
        <f>IF('Additional Documents'!B448 = "", "", IF('Additional Documents-WUO_ERR'!A448 = "", "Validated", HYPERLINK("#" &amp; ADDRESS(448, 'Additional Documents-WUO_TRK'!A448),_xlfn.TEXTAFTER('Additional Documents-WUO_ERR'!A448, ":"))))</f>
        <v/>
      </c>
    </row>
    <row r="449">
      <c r="A449" s="38">
        <f>IF('Additional Documents'!B449 = "", "", IF('Additional Documents-WUO_ERR'!A449 = "", "Validated", HYPERLINK("#" &amp; ADDRESS(449, 'Additional Documents-WUO_TRK'!A449),_xlfn.TEXTAFTER('Additional Documents-WUO_ERR'!A449, ":"))))</f>
        <v/>
      </c>
    </row>
    <row r="450">
      <c r="A450" s="38">
        <f>IF('Additional Documents'!B450 = "", "", IF('Additional Documents-WUO_ERR'!A450 = "", "Validated", HYPERLINK("#" &amp; ADDRESS(450, 'Additional Documents-WUO_TRK'!A450),_xlfn.TEXTAFTER('Additional Documents-WUO_ERR'!A450, ":"))))</f>
        <v/>
      </c>
    </row>
    <row r="451">
      <c r="A451" s="38">
        <f>IF('Additional Documents'!B451 = "", "", IF('Additional Documents-WUO_ERR'!A451 = "", "Validated", HYPERLINK("#" &amp; ADDRESS(451, 'Additional Documents-WUO_TRK'!A451),_xlfn.TEXTAFTER('Additional Documents-WUO_ERR'!A451, ":"))))</f>
        <v/>
      </c>
    </row>
    <row r="452">
      <c r="A452" s="38">
        <f>IF('Additional Documents'!B452 = "", "", IF('Additional Documents-WUO_ERR'!A452 = "", "Validated", HYPERLINK("#" &amp; ADDRESS(452, 'Additional Documents-WUO_TRK'!A452),_xlfn.TEXTAFTER('Additional Documents-WUO_ERR'!A452, ":"))))</f>
        <v/>
      </c>
    </row>
    <row r="453">
      <c r="A453" s="38">
        <f>IF('Additional Documents'!B453 = "", "", IF('Additional Documents-WUO_ERR'!A453 = "", "Validated", HYPERLINK("#" &amp; ADDRESS(453, 'Additional Documents-WUO_TRK'!A453),_xlfn.TEXTAFTER('Additional Documents-WUO_ERR'!A453, ":"))))</f>
        <v/>
      </c>
    </row>
    <row r="454">
      <c r="A454" s="38">
        <f>IF('Additional Documents'!B454 = "", "", IF('Additional Documents-WUO_ERR'!A454 = "", "Validated", HYPERLINK("#" &amp; ADDRESS(454, 'Additional Documents-WUO_TRK'!A454),_xlfn.TEXTAFTER('Additional Documents-WUO_ERR'!A454, ":"))))</f>
        <v/>
      </c>
    </row>
    <row r="455">
      <c r="A455" s="38">
        <f>IF('Additional Documents'!B455 = "", "", IF('Additional Documents-WUO_ERR'!A455 = "", "Validated", HYPERLINK("#" &amp; ADDRESS(455, 'Additional Documents-WUO_TRK'!A455),_xlfn.TEXTAFTER('Additional Documents-WUO_ERR'!A455, ":"))))</f>
        <v/>
      </c>
    </row>
    <row r="456">
      <c r="A456" s="38">
        <f>IF('Additional Documents'!B456 = "", "", IF('Additional Documents-WUO_ERR'!A456 = "", "Validated", HYPERLINK("#" &amp; ADDRESS(456, 'Additional Documents-WUO_TRK'!A456),_xlfn.TEXTAFTER('Additional Documents-WUO_ERR'!A456, ":"))))</f>
        <v/>
      </c>
    </row>
    <row r="457">
      <c r="A457" s="38">
        <f>IF('Additional Documents'!B457 = "", "", IF('Additional Documents-WUO_ERR'!A457 = "", "Validated", HYPERLINK("#" &amp; ADDRESS(457, 'Additional Documents-WUO_TRK'!A457),_xlfn.TEXTAFTER('Additional Documents-WUO_ERR'!A457, ":"))))</f>
        <v/>
      </c>
    </row>
    <row r="458">
      <c r="A458" s="38">
        <f>IF('Additional Documents'!B458 = "", "", IF('Additional Documents-WUO_ERR'!A458 = "", "Validated", HYPERLINK("#" &amp; ADDRESS(458, 'Additional Documents-WUO_TRK'!A458),_xlfn.TEXTAFTER('Additional Documents-WUO_ERR'!A458, ":"))))</f>
        <v/>
      </c>
    </row>
    <row r="459">
      <c r="A459" s="38">
        <f>IF('Additional Documents'!B459 = "", "", IF('Additional Documents-WUO_ERR'!A459 = "", "Validated", HYPERLINK("#" &amp; ADDRESS(459, 'Additional Documents-WUO_TRK'!A459),_xlfn.TEXTAFTER('Additional Documents-WUO_ERR'!A459, ":"))))</f>
        <v/>
      </c>
    </row>
    <row r="460">
      <c r="A460" s="38">
        <f>IF('Additional Documents'!B460 = "", "", IF('Additional Documents-WUO_ERR'!A460 = "", "Validated", HYPERLINK("#" &amp; ADDRESS(460, 'Additional Documents-WUO_TRK'!A460),_xlfn.TEXTAFTER('Additional Documents-WUO_ERR'!A460, ":"))))</f>
        <v/>
      </c>
    </row>
    <row r="461">
      <c r="A461" s="38">
        <f>IF('Additional Documents'!B461 = "", "", IF('Additional Documents-WUO_ERR'!A461 = "", "Validated", HYPERLINK("#" &amp; ADDRESS(461, 'Additional Documents-WUO_TRK'!A461),_xlfn.TEXTAFTER('Additional Documents-WUO_ERR'!A461, ":"))))</f>
        <v/>
      </c>
    </row>
    <row r="462">
      <c r="A462" s="38">
        <f>IF('Additional Documents'!B462 = "", "", IF('Additional Documents-WUO_ERR'!A462 = "", "Validated", HYPERLINK("#" &amp; ADDRESS(462, 'Additional Documents-WUO_TRK'!A462),_xlfn.TEXTAFTER('Additional Documents-WUO_ERR'!A462, ":"))))</f>
        <v/>
      </c>
    </row>
    <row r="463">
      <c r="A463" s="38">
        <f>IF('Additional Documents'!B463 = "", "", IF('Additional Documents-WUO_ERR'!A463 = "", "Validated", HYPERLINK("#" &amp; ADDRESS(463, 'Additional Documents-WUO_TRK'!A463),_xlfn.TEXTAFTER('Additional Documents-WUO_ERR'!A463, ":"))))</f>
        <v/>
      </c>
    </row>
    <row r="464">
      <c r="A464" s="38">
        <f>IF('Additional Documents'!B464 = "", "", IF('Additional Documents-WUO_ERR'!A464 = "", "Validated", HYPERLINK("#" &amp; ADDRESS(464, 'Additional Documents-WUO_TRK'!A464),_xlfn.TEXTAFTER('Additional Documents-WUO_ERR'!A464, ":"))))</f>
        <v/>
      </c>
    </row>
    <row r="465">
      <c r="A465" s="38">
        <f>IF('Additional Documents'!B465 = "", "", IF('Additional Documents-WUO_ERR'!A465 = "", "Validated", HYPERLINK("#" &amp; ADDRESS(465, 'Additional Documents-WUO_TRK'!A465),_xlfn.TEXTAFTER('Additional Documents-WUO_ERR'!A465, ":"))))</f>
        <v/>
      </c>
    </row>
    <row r="466">
      <c r="A466" s="38">
        <f>IF('Additional Documents'!B466 = "", "", IF('Additional Documents-WUO_ERR'!A466 = "", "Validated", HYPERLINK("#" &amp; ADDRESS(466, 'Additional Documents-WUO_TRK'!A466),_xlfn.TEXTAFTER('Additional Documents-WUO_ERR'!A466, ":"))))</f>
        <v/>
      </c>
    </row>
    <row r="467">
      <c r="A467" s="38">
        <f>IF('Additional Documents'!B467 = "", "", IF('Additional Documents-WUO_ERR'!A467 = "", "Validated", HYPERLINK("#" &amp; ADDRESS(467, 'Additional Documents-WUO_TRK'!A467),_xlfn.TEXTAFTER('Additional Documents-WUO_ERR'!A467, ":"))))</f>
        <v/>
      </c>
    </row>
    <row r="468">
      <c r="A468" s="38">
        <f>IF('Additional Documents'!B468 = "", "", IF('Additional Documents-WUO_ERR'!A468 = "", "Validated", HYPERLINK("#" &amp; ADDRESS(468, 'Additional Documents-WUO_TRK'!A468),_xlfn.TEXTAFTER('Additional Documents-WUO_ERR'!A468, ":"))))</f>
        <v/>
      </c>
    </row>
    <row r="469">
      <c r="A469" s="38">
        <f>IF('Additional Documents'!B469 = "", "", IF('Additional Documents-WUO_ERR'!A469 = "", "Validated", HYPERLINK("#" &amp; ADDRESS(469, 'Additional Documents-WUO_TRK'!A469),_xlfn.TEXTAFTER('Additional Documents-WUO_ERR'!A469, ":"))))</f>
        <v/>
      </c>
    </row>
    <row r="470">
      <c r="A470" s="38">
        <f>IF('Additional Documents'!B470 = "", "", IF('Additional Documents-WUO_ERR'!A470 = "", "Validated", HYPERLINK("#" &amp; ADDRESS(470, 'Additional Documents-WUO_TRK'!A470),_xlfn.TEXTAFTER('Additional Documents-WUO_ERR'!A470, ":"))))</f>
        <v/>
      </c>
    </row>
    <row r="471">
      <c r="A471" s="38">
        <f>IF('Additional Documents'!B471 = "", "", IF('Additional Documents-WUO_ERR'!A471 = "", "Validated", HYPERLINK("#" &amp; ADDRESS(471, 'Additional Documents-WUO_TRK'!A471),_xlfn.TEXTAFTER('Additional Documents-WUO_ERR'!A471, ":"))))</f>
        <v/>
      </c>
    </row>
    <row r="472">
      <c r="A472" s="38">
        <f>IF('Additional Documents'!B472 = "", "", IF('Additional Documents-WUO_ERR'!A472 = "", "Validated", HYPERLINK("#" &amp; ADDRESS(472, 'Additional Documents-WUO_TRK'!A472),_xlfn.TEXTAFTER('Additional Documents-WUO_ERR'!A472, ":"))))</f>
        <v/>
      </c>
    </row>
    <row r="473">
      <c r="A473" s="38">
        <f>IF('Additional Documents'!B473 = "", "", IF('Additional Documents-WUO_ERR'!A473 = "", "Validated", HYPERLINK("#" &amp; ADDRESS(473, 'Additional Documents-WUO_TRK'!A473),_xlfn.TEXTAFTER('Additional Documents-WUO_ERR'!A473, ":"))))</f>
        <v/>
      </c>
    </row>
    <row r="474">
      <c r="A474" s="38">
        <f>IF('Additional Documents'!B474 = "", "", IF('Additional Documents-WUO_ERR'!A474 = "", "Validated", HYPERLINK("#" &amp; ADDRESS(474, 'Additional Documents-WUO_TRK'!A474),_xlfn.TEXTAFTER('Additional Documents-WUO_ERR'!A474, ":"))))</f>
        <v/>
      </c>
    </row>
    <row r="475">
      <c r="A475" s="38">
        <f>IF('Additional Documents'!B475 = "", "", IF('Additional Documents-WUO_ERR'!A475 = "", "Validated", HYPERLINK("#" &amp; ADDRESS(475, 'Additional Documents-WUO_TRK'!A475),_xlfn.TEXTAFTER('Additional Documents-WUO_ERR'!A475, ":"))))</f>
        <v/>
      </c>
    </row>
    <row r="476">
      <c r="A476" s="38">
        <f>IF('Additional Documents'!B476 = "", "", IF('Additional Documents-WUO_ERR'!A476 = "", "Validated", HYPERLINK("#" &amp; ADDRESS(476, 'Additional Documents-WUO_TRK'!A476),_xlfn.TEXTAFTER('Additional Documents-WUO_ERR'!A476, ":"))))</f>
        <v/>
      </c>
    </row>
    <row r="477">
      <c r="A477" s="38">
        <f>IF('Additional Documents'!B477 = "", "", IF('Additional Documents-WUO_ERR'!A477 = "", "Validated", HYPERLINK("#" &amp; ADDRESS(477, 'Additional Documents-WUO_TRK'!A477),_xlfn.TEXTAFTER('Additional Documents-WUO_ERR'!A477, ":"))))</f>
        <v/>
      </c>
    </row>
    <row r="478">
      <c r="A478" s="38">
        <f>IF('Additional Documents'!B478 = "", "", IF('Additional Documents-WUO_ERR'!A478 = "", "Validated", HYPERLINK("#" &amp; ADDRESS(478, 'Additional Documents-WUO_TRK'!A478),_xlfn.TEXTAFTER('Additional Documents-WUO_ERR'!A478, ":"))))</f>
        <v/>
      </c>
    </row>
    <row r="479">
      <c r="A479" s="38">
        <f>IF('Additional Documents'!B479 = "", "", IF('Additional Documents-WUO_ERR'!A479 = "", "Validated", HYPERLINK("#" &amp; ADDRESS(479, 'Additional Documents-WUO_TRK'!A479),_xlfn.TEXTAFTER('Additional Documents-WUO_ERR'!A479, ":"))))</f>
        <v/>
      </c>
    </row>
    <row r="480">
      <c r="A480" s="38">
        <f>IF('Additional Documents'!B480 = "", "", IF('Additional Documents-WUO_ERR'!A480 = "", "Validated", HYPERLINK("#" &amp; ADDRESS(480, 'Additional Documents-WUO_TRK'!A480),_xlfn.TEXTAFTER('Additional Documents-WUO_ERR'!A480, ":"))))</f>
        <v/>
      </c>
    </row>
    <row r="481">
      <c r="A481" s="38">
        <f>IF('Additional Documents'!B481 = "", "", IF('Additional Documents-WUO_ERR'!A481 = "", "Validated", HYPERLINK("#" &amp; ADDRESS(481, 'Additional Documents-WUO_TRK'!A481),_xlfn.TEXTAFTER('Additional Documents-WUO_ERR'!A481, ":"))))</f>
        <v/>
      </c>
    </row>
    <row r="482">
      <c r="A482" s="38">
        <f>IF('Additional Documents'!B482 = "", "", IF('Additional Documents-WUO_ERR'!A482 = "", "Validated", HYPERLINK("#" &amp; ADDRESS(482, 'Additional Documents-WUO_TRK'!A482),_xlfn.TEXTAFTER('Additional Documents-WUO_ERR'!A482, ":"))))</f>
        <v/>
      </c>
    </row>
    <row r="483">
      <c r="A483" s="38">
        <f>IF('Additional Documents'!B483 = "", "", IF('Additional Documents-WUO_ERR'!A483 = "", "Validated", HYPERLINK("#" &amp; ADDRESS(483, 'Additional Documents-WUO_TRK'!A483),_xlfn.TEXTAFTER('Additional Documents-WUO_ERR'!A483, ":"))))</f>
        <v/>
      </c>
    </row>
    <row r="484">
      <c r="A484" s="38">
        <f>IF('Additional Documents'!B484 = "", "", IF('Additional Documents-WUO_ERR'!A484 = "", "Validated", HYPERLINK("#" &amp; ADDRESS(484, 'Additional Documents-WUO_TRK'!A484),_xlfn.TEXTAFTER('Additional Documents-WUO_ERR'!A484, ":"))))</f>
        <v/>
      </c>
    </row>
    <row r="485">
      <c r="A485" s="38">
        <f>IF('Additional Documents'!B485 = "", "", IF('Additional Documents-WUO_ERR'!A485 = "", "Validated", HYPERLINK("#" &amp; ADDRESS(485, 'Additional Documents-WUO_TRK'!A485),_xlfn.TEXTAFTER('Additional Documents-WUO_ERR'!A485, ":"))))</f>
        <v/>
      </c>
    </row>
    <row r="486">
      <c r="A486" s="38">
        <f>IF('Additional Documents'!B486 = "", "", IF('Additional Documents-WUO_ERR'!A486 = "", "Validated", HYPERLINK("#" &amp; ADDRESS(486, 'Additional Documents-WUO_TRK'!A486),_xlfn.TEXTAFTER('Additional Documents-WUO_ERR'!A486, ":"))))</f>
        <v/>
      </c>
    </row>
    <row r="487">
      <c r="A487" s="38">
        <f>IF('Additional Documents'!B487 = "", "", IF('Additional Documents-WUO_ERR'!A487 = "", "Validated", HYPERLINK("#" &amp; ADDRESS(487, 'Additional Documents-WUO_TRK'!A487),_xlfn.TEXTAFTER('Additional Documents-WUO_ERR'!A487, ":"))))</f>
        <v/>
      </c>
    </row>
    <row r="488">
      <c r="A488" s="38">
        <f>IF('Additional Documents'!B488 = "", "", IF('Additional Documents-WUO_ERR'!A488 = "", "Validated", HYPERLINK("#" &amp; ADDRESS(488, 'Additional Documents-WUO_TRK'!A488),_xlfn.TEXTAFTER('Additional Documents-WUO_ERR'!A488, ":"))))</f>
        <v/>
      </c>
    </row>
    <row r="489">
      <c r="A489" s="38">
        <f>IF('Additional Documents'!B489 = "", "", IF('Additional Documents-WUO_ERR'!A489 = "", "Validated", HYPERLINK("#" &amp; ADDRESS(489, 'Additional Documents-WUO_TRK'!A489),_xlfn.TEXTAFTER('Additional Documents-WUO_ERR'!A489, ":"))))</f>
        <v/>
      </c>
    </row>
    <row r="490">
      <c r="A490" s="38">
        <f>IF('Additional Documents'!B490 = "", "", IF('Additional Documents-WUO_ERR'!A490 = "", "Validated", HYPERLINK("#" &amp; ADDRESS(490, 'Additional Documents-WUO_TRK'!A490),_xlfn.TEXTAFTER('Additional Documents-WUO_ERR'!A490, ":"))))</f>
        <v/>
      </c>
    </row>
    <row r="491">
      <c r="A491" s="38">
        <f>IF('Additional Documents'!B491 = "", "", IF('Additional Documents-WUO_ERR'!A491 = "", "Validated", HYPERLINK("#" &amp; ADDRESS(491, 'Additional Documents-WUO_TRK'!A491),_xlfn.TEXTAFTER('Additional Documents-WUO_ERR'!A491, ":"))))</f>
        <v/>
      </c>
    </row>
    <row r="492">
      <c r="A492" s="38">
        <f>IF('Additional Documents'!B492 = "", "", IF('Additional Documents-WUO_ERR'!A492 = "", "Validated", HYPERLINK("#" &amp; ADDRESS(492, 'Additional Documents-WUO_TRK'!A492),_xlfn.TEXTAFTER('Additional Documents-WUO_ERR'!A492, ":"))))</f>
        <v/>
      </c>
    </row>
    <row r="493">
      <c r="A493" s="38">
        <f>IF('Additional Documents'!B493 = "", "", IF('Additional Documents-WUO_ERR'!A493 = "", "Validated", HYPERLINK("#" &amp; ADDRESS(493, 'Additional Documents-WUO_TRK'!A493),_xlfn.TEXTAFTER('Additional Documents-WUO_ERR'!A493, ":"))))</f>
        <v/>
      </c>
    </row>
    <row r="494">
      <c r="A494" s="38">
        <f>IF('Additional Documents'!B494 = "", "", IF('Additional Documents-WUO_ERR'!A494 = "", "Validated", HYPERLINK("#" &amp; ADDRESS(494, 'Additional Documents-WUO_TRK'!A494),_xlfn.TEXTAFTER('Additional Documents-WUO_ERR'!A494, ":"))))</f>
        <v/>
      </c>
    </row>
    <row r="495">
      <c r="A495" s="38">
        <f>IF('Additional Documents'!B495 = "", "", IF('Additional Documents-WUO_ERR'!A495 = "", "Validated", HYPERLINK("#" &amp; ADDRESS(495, 'Additional Documents-WUO_TRK'!A495),_xlfn.TEXTAFTER('Additional Documents-WUO_ERR'!A495, ":"))))</f>
        <v/>
      </c>
    </row>
    <row r="496">
      <c r="A496" s="38">
        <f>IF('Additional Documents'!B496 = "", "", IF('Additional Documents-WUO_ERR'!A496 = "", "Validated", HYPERLINK("#" &amp; ADDRESS(496, 'Additional Documents-WUO_TRK'!A496),_xlfn.TEXTAFTER('Additional Documents-WUO_ERR'!A496, ":"))))</f>
        <v/>
      </c>
    </row>
    <row r="497">
      <c r="A497" s="38">
        <f>IF('Additional Documents'!B497 = "", "", IF('Additional Documents-WUO_ERR'!A497 = "", "Validated", HYPERLINK("#" &amp; ADDRESS(497, 'Additional Documents-WUO_TRK'!A497),_xlfn.TEXTAFTER('Additional Documents-WUO_ERR'!A497, ":"))))</f>
        <v/>
      </c>
    </row>
    <row r="498">
      <c r="A498" s="38">
        <f>IF('Additional Documents'!B498 = "", "", IF('Additional Documents-WUO_ERR'!A498 = "", "Validated", HYPERLINK("#" &amp; ADDRESS(498, 'Additional Documents-WUO_TRK'!A498),_xlfn.TEXTAFTER('Additional Documents-WUO_ERR'!A498, ":"))))</f>
        <v/>
      </c>
    </row>
    <row r="499">
      <c r="A499" s="38">
        <f>IF('Additional Documents'!B499 = "", "", IF('Additional Documents-WUO_ERR'!A499 = "", "Validated", HYPERLINK("#" &amp; ADDRESS(499, 'Additional Documents-WUO_TRK'!A499),_xlfn.TEXTAFTER('Additional Documents-WUO_ERR'!A499, ":"))))</f>
        <v/>
      </c>
    </row>
    <row r="500">
      <c r="A500" s="38">
        <f>IF('Additional Documents'!B500 = "", "", IF('Additional Documents-WUO_ERR'!A500 = "", "Validated", HYPERLINK("#" &amp; ADDRESS(500, 'Additional Documents-WUO_TRK'!A500),_xlfn.TEXTAFTER('Additional Documents-WUO_ERR'!A500, ":"))))</f>
        <v/>
      </c>
    </row>
    <row r="501">
      <c r="A501" s="38">
        <f>IF('Additional Documents'!B501 = "", "", IF('Additional Documents-WUO_ERR'!A501 = "", "Validated", HYPERLINK("#" &amp; ADDRESS(501, 'Additional Documents-WUO_TRK'!A501),_xlfn.TEXTAFTER('Additional Documents-WUO_ERR'!A501, ":"))))</f>
        <v/>
      </c>
    </row>
    <row r="502">
      <c r="A502" s="38">
        <f>IF('Additional Documents'!B502 = "", "", IF('Additional Documents-WUO_ERR'!A502 = "", "Validated", HYPERLINK("#" &amp; ADDRESS(502, 'Additional Documents-WUO_TRK'!A502),_xlfn.TEXTAFTER('Additional Documents-WUO_ERR'!A502, ":"))))</f>
        <v/>
      </c>
    </row>
    <row r="503">
      <c r="A503" s="38">
        <f>IF('Additional Documents'!B503 = "", "", IF('Additional Documents-WUO_ERR'!A503 = "", "Validated", HYPERLINK("#" &amp; ADDRESS(503, 'Additional Documents-WUO_TRK'!A503),_xlfn.TEXTAFTER('Additional Documents-WUO_ERR'!A503, ":"))))</f>
        <v/>
      </c>
    </row>
    <row r="504">
      <c r="A504" s="38">
        <f>IF('Additional Documents'!B504 = "", "", IF('Additional Documents-WUO_ERR'!A504 = "", "Validated", HYPERLINK("#" &amp; ADDRESS(504, 'Additional Documents-WUO_TRK'!A504),_xlfn.TEXTAFTER('Additional Documents-WUO_ERR'!A504, ":"))))</f>
        <v/>
      </c>
    </row>
    <row r="505">
      <c r="A505" s="38">
        <f>IF('Additional Documents'!B505 = "", "", IF('Additional Documents-WUO_ERR'!A505 = "", "Validated", HYPERLINK("#" &amp; ADDRESS(505, 'Additional Documents-WUO_TRK'!A505),_xlfn.TEXTAFTER('Additional Documents-WUO_ERR'!A505, ":"))))</f>
        <v/>
      </c>
    </row>
    <row r="506">
      <c r="A506" s="38">
        <f>IF('Additional Documents'!B506 = "", "", IF('Additional Documents-WUO_ERR'!A506 = "", "Validated", HYPERLINK("#" &amp; ADDRESS(506, 'Additional Documents-WUO_TRK'!A506),_xlfn.TEXTAFTER('Additional Documents-WUO_ERR'!A506, ":"))))</f>
        <v/>
      </c>
    </row>
    <row r="507">
      <c r="A507" s="38">
        <f>IF('Additional Documents'!B507 = "", "", IF('Additional Documents-WUO_ERR'!A507 = "", "Validated", HYPERLINK("#" &amp; ADDRESS(507, 'Additional Documents-WUO_TRK'!A507),_xlfn.TEXTAFTER('Additional Documents-WUO_ERR'!A507, ":"))))</f>
        <v/>
      </c>
    </row>
  </sheetData>
  <sheetProtection selectLockedCells="0" selectUnlockedCells="0" sheet="1" objects="1" insertRows="1" insertHyperlinks="1" autoFilter="1" scenarios="1" formatColumns="0" deleteColumns="1" insertColumns="1" pivotTables="1" deleteRows="1" formatCells="1" formatRows="0" sort="1" password="9EF4"/>
  <mergeCells count="1">
    <mergeCell ref="C2:G2"/>
  </mergeCells>
  <conditionalFormatting sqref="A7:A507">
    <cfRule type="expression" priority="5" dxfId="4">
      <formula>A7="Validated"</formula>
    </cfRule>
    <cfRule type="expression" priority="6" dxfId="5">
      <formula>OR(COUNTIF('Additional Documents-WUO_TRK'!B7:H7,"Error"),COUNTIF('Additional Documents-WUO_TRK'!B7:H7,"Required"))</formula>
    </cfRule>
    <cfRule type="expression" priority="7" dxfId="6">
      <formula>COUNTIF('Additional Documents-WUO_TRK'!B7:H7,"Warning")</formula>
    </cfRule>
  </conditionalFormatting>
  <conditionalFormatting sqref="B7:H507">
    <cfRule type="expression" priority="1" dxfId="0">
      <formula>'Additional Documents-WUO_TRK'!B7="Error"</formula>
    </cfRule>
    <cfRule type="expression" priority="2" dxfId="1">
      <formula>'Additional Documents-WUO_TRK'!B7="Required"</formula>
    </cfRule>
    <cfRule type="expression" priority="3" dxfId="2">
      <formula>'Additional Documents-WUO_TRK'!B7="Warning"</formula>
    </cfRule>
    <cfRule type="expression" priority="4" dxfId="3">
      <formula>'Additional Documents-WUO_TRK'!B7="Disabled"</formula>
    </cfRule>
  </conditionalFormatting>
  <dataValidations count="3">
    <dataValidation sqref="C7:C2500"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F7:F2500"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G7:G2500"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s>
  <hyperlinks>
    <hyperlink ref="D6" location="'Valid Values'!I1" display="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
    <hyperlink ref="E6" location="'Valid Values'!J1" display="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
    <hyperlink ref="F6" location="'Valid Values'!K1" display="Select"/>
    <hyperlink ref="G6" location="'Valid Values'!L1" display="Select"/>
  </hyperlinks>
  <pageMargins left="0.7" right="0.7" top="0.75" bottom="0.75" header="0.3" footer="0.3"/>
</worksheet>
</file>

<file path=xl/worksheets/sheet20.xml><?xml version="1.0" encoding="utf-8"?>
<worksheet xmlns="http://schemas.openxmlformats.org/spreadsheetml/2006/main">
  <sheetPr>
    <outlinePr summaryBelow="1" summaryRight="1"/>
    <pageSetUpPr/>
  </sheetPr>
  <dimension ref="A1:G7"/>
  <sheetViews>
    <sheetView workbookViewId="0">
      <selection activeCell="A1" sqref="A1"/>
    </sheetView>
  </sheetViews>
  <sheetFormatPr baseColWidth="8" defaultRowHeight="15"/>
  <cols>
    <col width="25.7109375" customWidth="1" style="22" min="2" max="2"/>
    <col width="30.7109375" customWidth="1" style="22" min="3" max="3"/>
    <col width="18.7109375" customWidth="1" style="22" min="4" max="4"/>
    <col width="24.7109375" customWidth="1" style="22" min="5" max="5"/>
    <col width="20.7109375" customWidth="1" style="22" min="6" max="6"/>
    <col width="22.7109375" customWidth="1" style="22" min="7" max="7"/>
  </cols>
  <sheetData>
    <row r="1" hidden="1">
      <c r="B1" s="22" t="inlineStr">
        <is>
          <t>core::supplierPartNumber</t>
        </is>
      </c>
      <c r="C1" s="22" t="inlineStr">
        <is>
          <t>media::documentValue</t>
        </is>
      </c>
      <c r="D1" s="22" t="inlineStr">
        <is>
          <t>media::documentType</t>
        </is>
      </c>
      <c r="E1" s="22" t="inlineStr">
        <is>
          <t>media::legalDocumentType</t>
        </is>
      </c>
      <c r="F1" s="22" t="inlineStr">
        <is>
          <t>media::regionType</t>
        </is>
      </c>
      <c r="G1" s="22" t="inlineStr">
        <is>
          <t>media::language</t>
        </is>
      </c>
    </row>
    <row r="3">
      <c r="B3" s="31" t="inlineStr">
        <is>
          <t>Required</t>
        </is>
      </c>
      <c r="C3" s="31" t="inlineStr">
        <is>
          <t>Conditional</t>
        </is>
      </c>
      <c r="D3" s="31" t="inlineStr">
        <is>
          <t>Conditional</t>
        </is>
      </c>
      <c r="E3" s="31" t="inlineStr">
        <is>
          <t>Conditional</t>
        </is>
      </c>
      <c r="F3" s="31" t="inlineStr">
        <is>
          <t>Conditional</t>
        </is>
      </c>
      <c r="G3" s="31" t="inlineStr">
        <is>
          <t>Conditional</t>
        </is>
      </c>
    </row>
    <row r="4" ht="50" customHeight="1">
      <c r="B4" s="19" t="inlineStr">
        <is>
          <t>Supplier Part Number</t>
        </is>
      </c>
      <c r="C4" s="19" t="inlineStr">
        <is>
          <t>Document File Name or URL</t>
        </is>
      </c>
      <c r="D4" s="19" t="inlineStr">
        <is>
          <t>Document Type</t>
        </is>
      </c>
      <c r="E4" s="19" t="inlineStr">
        <is>
          <t>Legal Document Type</t>
        </is>
      </c>
      <c r="F4" s="19" t="inlineStr">
        <is>
          <t>Document Region</t>
        </is>
      </c>
      <c r="G4" s="19" t="inlineStr">
        <is>
          <t>Document Language</t>
        </is>
      </c>
    </row>
    <row r="5" ht="50" customHeight="1">
      <c r="B5" s="34" t="inlineStr">
        <is>
          <t>Must be less than 64 characters and must be a unique value (products cannot be added if they have the same part number as something you already have in your catalog). This is the supplier-specific value for the product as it appears on your Inventory Feed and Purchased Orders.</t>
        </is>
      </c>
      <c r="C5" s="34" t="inlineStr">
        <is>
          <t>Provide the document’s file name with extension for separate uploads or a direct public URL. Do not exceed 10 documents per product.</t>
        </is>
      </c>
      <c r="D5" s="34" t="inlineStr">
        <is>
          <t>Select one or more values from the provided list that best describe the document’s purpose. This classification helps customers easily find information like “Installation &amp; Assembly” guides, “Warranty Information,” or “Specifications.</t>
        </is>
      </c>
      <c r="E5" s="34" t="inlineStr">
        <is>
          <t>If the document serves as a legal notice or certification (e.g., “ASTM F2057 - 19,” “ANSI A117.1 Compliant”), select the specific type(s) from the provided list. This is used for compliance and to display certifications to customers.</t>
        </is>
      </c>
      <c r="F5" s="34" t="inlineStr">
        <is>
          <t>Select the country or region where this document is legally applicable. This is crucial for compliance-related documents that may differ across locations.</t>
        </is>
      </c>
      <c r="G5" s="34" t="inlineStr">
        <is>
          <t>Select the language in which the document is written.</t>
        </is>
      </c>
    </row>
    <row r="6" ht="50" customHeight="1">
      <c r="B6" s="34" t="inlineStr">
        <is>
          <t>Text</t>
        </is>
      </c>
      <c r="C6" s="34" t="inlineStr">
        <is>
          <t>Text</t>
        </is>
      </c>
      <c r="D6" s="35" t="inlineStr">
        <is>
          <t>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t>
        </is>
      </c>
      <c r="E6" s="35" t="inlineStr">
        <is>
          <t>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t>
        </is>
      </c>
      <c r="F6" s="35" t="inlineStr">
        <is>
          <t>Select</t>
        </is>
      </c>
      <c r="G6" s="35" t="inlineStr">
        <is>
          <t>Select</t>
        </is>
      </c>
    </row>
    <row r="7">
      <c r="A7">
        <f t="array" ref="A7">_xlfn.BYROW(B7:H507, _xlfn.LAMBDA(_xlpm.r, _xlfn.LET(_xlpm.high_priority, IFERROR(INDEX(_xlpm.r, MATCH(TRUE, (_xlpm.r &lt;&gt; "") * ((LEFT(_xlpm.r, 2) = "1:") + (LEFT(_xlpm.r, 2) = "3:")) &gt; 0, 0)), ""), IF(_xlpm.high_priority &lt;&gt; "", _xlpm.high_priority, IFERROR(INDEX(_xlpm.r, MATCH(TRUE, (_xlpm.r &lt;&gt; "") * (LEFT(_xlpm.r, 2) = "4:") &gt; 0, 0)), "")))))</f>
        <v/>
      </c>
      <c r="B7" s="22">
        <f t="array" ref="B7">_xlfn.MAP('Additional Documents'!B7:B507, 'Additional Documents'!B7:B507, _xlfn.LAMBDA(_xlpm.part, _xlpm.val, IF(_xlpm.part = "", "", _xlfn.LET(_xlpm.check1, IF(OR(ISNUMBER(SEARCH({","}, _xlpm.val))), "1:Please enter a single value with no commas for the Supplier Part Number column", ""), IF(LEN(_xlpm.check1) &gt; 0, _xlpm.check1, _xlfn.LET(_xlpm.check2, IF(OR(ISNUMBER(SEARCH({"&lt;","&gt;","^","Ø","•","‣","⁃","⁌","™","∙","⌀","◦"}, _xlpm.val))), "1:Supplier Part Number cannot contain special characters ([™Ø⌀•‣◦⁃⁌⁍∙&lt;&gt;])", ""), IF(LEN(_xlpm.check2) &gt; 0, _xlpm.check2, IF(AND(_xlpm.val = "", B$3="Required"), "3:Supplier Part Number - Value is required", ""))))))))</f>
        <v/>
      </c>
      <c r="C7" s="22">
        <f t="array" ref="C7">_xlfn.MAP('Additional Documents'!B7:B507, 'Additional Documents'!C7:C507, 'Additional Documents'!D7:D507, 'Additional Documents'!E7:E507, 'Additional Documents'!F7:F507, 'Additional Documents'!G7:G507, _xlfn.LAMBDA(_xlpm.part, _xlpm.val, _xlpm.dep1, _xlpm.dep2, _xlpm.dep3, _xlpm.dep4, IF(_xlpm.part = "", "", _xlfn.LET(_xlpm.check1, IF(AND(_xlpm.val = "", C$3="Required"), "3:Document File Name or URL - Value is required", ""), IF(LEN(_xlpm.check1) &gt; 0, _xlpm.check1, IF(OR(_xlpm.dep1 &lt;&gt; "", _xlpm.dep2 &lt;&gt; "", _xlpm.dep3 &lt;&gt; "", _xlpm.dep4 &lt;&gt; ""), IF(_xlpm.val = "", "3:Document value is required", ""), ""))))))</f>
        <v/>
      </c>
      <c r="D7" s="22">
        <f t="array" ref="D7">_xlfn.MAP('Additional Documents'!B7:B507, 'Additional Documents'!D7:D507, _xlfn.LAMBDA(_xlpm.part, _xlpm.val, IF(_xlpm.part = "", "", _xlfn.LET(_xlpm.check1, IF(NOT(ISBLANK(_xlpm.val)),_xlfn.LET(_xlpm.items, _xlfn.TEXTSPLIT(_xlpm.val, ";"),_xlpm.trimmed, _xlfn.MAP(_xlpm.items, _xlfn.LAMBDA(_xlpm.x, TRIM(_xlpm.x))),_xlpm.invalid, _xlfn._xlws.FILTER(_xlpm.trimmed, ISNA(MATCH(_xlpm.trimmed, allowedmedia__documentType, 0)), ""),IF(AND(_xlpm.invalid&lt;&gt;"", COUNTA(_xlpm.invalid)&gt;0),"1:Please select valid values from the provided list. Answers are case-sensitive and must be separated by a semicolon.","")), ""), IF(LEN(_xlpm.check1) &gt; 0, _xlpm.check1, IF(AND(_xlpm.val = "", D$3="Required"), "3:Document Type - Value is required", ""))))))</f>
        <v/>
      </c>
      <c r="E7" s="22">
        <f t="array" ref="E7">_xlfn.MAP('Additional Documents'!B7:B507, 'Additional Documents'!E7:E507, _xlfn.LAMBDA(_xlpm.part, _xlpm.val, IF(_xlpm.part = "", "", _xlfn.LET(_xlpm.check1, IF(NOT(ISBLANK(_xlpm.val)),_xlfn.LET(_xlpm.items, _xlfn.TEXTSPLIT(_xlpm.val, ";"),_xlpm.trimmed, _xlfn.MAP(_xlpm.items, _xlfn.LAMBDA(_xlpm.x, TRIM(_xlpm.x))),_xlpm.invalid, _xlfn._xlws.FILTER(_xlpm.trimmed, ISNA(MATCH(_xlpm.trimmed, allowedmedia__legalDocumentType, 0)), ""),IF(AND(_xlpm.invalid&lt;&gt;"", COUNTA(_xlpm.invalid)&gt;0),"1:Please select valid values from the provided list. Answers are case-sensitive and must be separated by a semicolon.","")), ""), IF(LEN(_xlpm.check1) &gt; 0, _xlpm.check1, IF(AND(_xlpm.val = "", E$3="Required"), "3:Legal Document Type - Value is required", ""))))))</f>
        <v/>
      </c>
      <c r="F7" s="22">
        <f t="array" ref="F7">_xlfn.MAP('Additional Documents'!B7:B507, 'Additional Documents'!F7:F507, _xlfn.LAMBDA(_xlpm.part, _xlpm.val, IF(_xlpm.part = "", "", IF(AND(_xlpm.val = "", F$3="Required"), "3:Document Region - Value is required", ""))))</f>
        <v/>
      </c>
      <c r="G7" s="22">
        <f t="array" ref="G7">_xlfn.MAP('Additional Documents'!B7:B507, 'Additional Documents'!G7:G507, _xlfn.LAMBDA(_xlpm.part, _xlpm.val, IF(_xlpm.part = "", "", IF(AND(_xlpm.val = "", G$3="Required"), "3:Document Language - Value is required", ""))))</f>
        <v/>
      </c>
    </row>
  </sheetData>
  <sheetProtection selectLockedCells="0" selectUnlockedCells="0" sheet="1" objects="1" insertRows="1" insertHyperlinks="1" autoFilter="1" scenarios="1" formatColumns="1" deleteColumns="1" insertColumns="1" pivotTables="1" deleteRows="1" formatCells="1" formatRows="1" sort="1" password="C125"/>
  <hyperlinks>
    <hyperlink ref="D6" location="'Valid Values'!I1" display="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
    <hyperlink ref="E6" location="'Valid Values'!J1" display="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
    <hyperlink ref="F6" location="'Valid Values'!K1" display="Select"/>
    <hyperlink ref="G6" location="'Valid Values'!L1" display="Select"/>
  </hyperlinks>
  <pageMargins left="0.7" right="0.7" top="0.75" bottom="0.75" header="0.3" footer="0.3"/>
</worksheet>
</file>

<file path=xl/worksheets/sheet21.xml><?xml version="1.0" encoding="utf-8"?>
<worksheet xmlns="http://schemas.openxmlformats.org/spreadsheetml/2006/main">
  <sheetPr>
    <outlinePr summaryBelow="1" summaryRight="1"/>
    <pageSetUpPr/>
  </sheetPr>
  <dimension ref="A1:G7"/>
  <sheetViews>
    <sheetView workbookViewId="0">
      <selection activeCell="A1" sqref="A1"/>
    </sheetView>
  </sheetViews>
  <sheetFormatPr baseColWidth="8" defaultRowHeight="15"/>
  <cols>
    <col width="25.7109375" customWidth="1" style="22" min="2" max="2"/>
    <col width="30.7109375" customWidth="1" style="22" min="3" max="3"/>
    <col width="18.7109375" customWidth="1" style="22" min="4" max="4"/>
    <col width="24.7109375" customWidth="1" style="22" min="5" max="5"/>
    <col width="20.7109375" customWidth="1" style="22" min="6" max="6"/>
    <col width="22.7109375" customWidth="1" style="22" min="7" max="7"/>
  </cols>
  <sheetData>
    <row r="1" hidden="1">
      <c r="B1" s="22" t="inlineStr">
        <is>
          <t>core::supplierPartNumber</t>
        </is>
      </c>
      <c r="C1" s="22" t="inlineStr">
        <is>
          <t>media::documentValue</t>
        </is>
      </c>
      <c r="D1" s="22" t="inlineStr">
        <is>
          <t>media::documentType</t>
        </is>
      </c>
      <c r="E1" s="22" t="inlineStr">
        <is>
          <t>media::legalDocumentType</t>
        </is>
      </c>
      <c r="F1" s="22" t="inlineStr">
        <is>
          <t>media::regionType</t>
        </is>
      </c>
      <c r="G1" s="22" t="inlineStr">
        <is>
          <t>media::language</t>
        </is>
      </c>
    </row>
    <row r="3">
      <c r="B3" s="31" t="inlineStr">
        <is>
          <t>Required</t>
        </is>
      </c>
      <c r="C3" s="31" t="inlineStr">
        <is>
          <t>Conditional</t>
        </is>
      </c>
      <c r="D3" s="31" t="inlineStr">
        <is>
          <t>Conditional</t>
        </is>
      </c>
      <c r="E3" s="31" t="inlineStr">
        <is>
          <t>Conditional</t>
        </is>
      </c>
      <c r="F3" s="31" t="inlineStr">
        <is>
          <t>Conditional</t>
        </is>
      </c>
      <c r="G3" s="31" t="inlineStr">
        <is>
          <t>Conditional</t>
        </is>
      </c>
    </row>
    <row r="4" ht="50" customHeight="1">
      <c r="B4" s="19" t="inlineStr">
        <is>
          <t>Supplier Part Number</t>
        </is>
      </c>
      <c r="C4" s="19" t="inlineStr">
        <is>
          <t>Document File Name or URL</t>
        </is>
      </c>
      <c r="D4" s="19" t="inlineStr">
        <is>
          <t>Document Type</t>
        </is>
      </c>
      <c r="E4" s="19" t="inlineStr">
        <is>
          <t>Legal Document Type</t>
        </is>
      </c>
      <c r="F4" s="19" t="inlineStr">
        <is>
          <t>Document Region</t>
        </is>
      </c>
      <c r="G4" s="19" t="inlineStr">
        <is>
          <t>Document Language</t>
        </is>
      </c>
    </row>
    <row r="5" ht="50" customHeight="1">
      <c r="B5" s="34" t="inlineStr">
        <is>
          <t>Must be less than 64 characters and must be a unique value (products cannot be added if they have the same part number as something you already have in your catalog). This is the supplier-specific value for the product as it appears on your Inventory Feed and Purchased Orders.</t>
        </is>
      </c>
      <c r="C5" s="34" t="inlineStr">
        <is>
          <t>Provide the document’s file name with extension for separate uploads or a direct public URL. Do not exceed 10 documents per product.</t>
        </is>
      </c>
      <c r="D5" s="34" t="inlineStr">
        <is>
          <t>Select one or more values from the provided list that best describe the document’s purpose. This classification helps customers easily find information like “Installation &amp; Assembly” guides, “Warranty Information,” or “Specifications.</t>
        </is>
      </c>
      <c r="E5" s="34" t="inlineStr">
        <is>
          <t>If the document serves as a legal notice or certification (e.g., “ASTM F2057 - 19,” “ANSI A117.1 Compliant”), select the specific type(s) from the provided list. This is used for compliance and to display certifications to customers.</t>
        </is>
      </c>
      <c r="F5" s="34" t="inlineStr">
        <is>
          <t>Select the country or region where this document is legally applicable. This is crucial for compliance-related documents that may differ across locations.</t>
        </is>
      </c>
      <c r="G5" s="34" t="inlineStr">
        <is>
          <t>Select the language in which the document is written.</t>
        </is>
      </c>
    </row>
    <row r="6" ht="50" customHeight="1">
      <c r="B6" s="34" t="inlineStr">
        <is>
          <t>Text</t>
        </is>
      </c>
      <c r="C6" s="34" t="inlineStr">
        <is>
          <t>Text</t>
        </is>
      </c>
      <c r="D6" s="35" t="inlineStr">
        <is>
          <t>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t>
        </is>
      </c>
      <c r="E6" s="35" t="inlineStr">
        <is>
          <t>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t>
        </is>
      </c>
      <c r="F6" s="35" t="inlineStr">
        <is>
          <t>Select</t>
        </is>
      </c>
      <c r="G6" s="35" t="inlineStr">
        <is>
          <t>Select</t>
        </is>
      </c>
    </row>
    <row r="7">
      <c r="A7">
        <f t="array" ref="A7">_xlfn.BYROW(B7:H507, _xlfn.LAMBDA(_xlpm.r, _xlfn.LET(_xlpm.high_priority_idx, IFERROR(MATCH(TRUE, (_xlpm.r = "Error") + (_xlpm.r = "Required") &gt; 0, 0), 0), IF(_xlpm.high_priority_idx &gt; 0, _xlpm.high_priority_idx + 1, IFERROR(MATCH(1, (_xlpm.r = "Warning") * 1, 0) + 1, "")))))</f>
        <v/>
      </c>
      <c r="B7" s="22">
        <f t="array" ref="B7">_xlfn.MAP('Additional Documents'!B7:B507, 'Additional Documents'!B7:B507, 'Additional Documents-WUO_ERR'!B7:B507, _xlfn.LAMBDA(_xlpm.part, _xlpm.val, _xlpm.error, IF(_xlpm.part = "", "", IF(LEN(_xlpm.error), _xlfn.SWITCH(IFERROR(_xlfn.TEXTBEFORE(_xlpm.error,":"), ""), "1", "Error", "2", "Disabled", "3", "Required", "4", "Warning", "Valid"), "Valid"))))</f>
        <v/>
      </c>
      <c r="C7" s="22">
        <f t="array" ref="C7">_xlfn.MAP('Additional Documents'!B7:B507, 'Additional Documents'!C7:C507, 'Additional Documents-WUO_ERR'!C7:C507, _xlfn.LAMBDA(_xlpm.part, _xlpm.val, _xlpm.error, IF(_xlpm.part = "", "", IF(LEN(_xlpm.error), _xlfn.SWITCH(IFERROR(_xlfn.TEXTBEFORE(_xlpm.error,":"), ""), "1", "Error", "2", "Disabled", "3", "Required", "4", "Warning", "Valid"), "Valid"))))</f>
        <v/>
      </c>
      <c r="D7" s="22">
        <f t="array" ref="D7">_xlfn.MAP('Additional Documents'!B7:B507, 'Additional Documents'!D7:D507, 'Additional Documents-WUO_ERR'!D7:D507, _xlfn.LAMBDA(_xlpm.part, _xlpm.val, _xlpm.error, IF(_xlpm.part = "", "", IF(LEN(_xlpm.error), _xlfn.SWITCH(IFERROR(_xlfn.TEXTBEFORE(_xlpm.error,":"), ""), "1", "Error", "2", "Disabled", "3", "Required", "4", "Warning", "Valid"), "Valid"))))</f>
        <v/>
      </c>
      <c r="E7" s="22">
        <f t="array" ref="E7">_xlfn.MAP('Additional Documents'!B7:B507, 'Additional Documents'!E7:E507, 'Additional Documents-WUO_ERR'!E7:E507, _xlfn.LAMBDA(_xlpm.part, _xlpm.val, _xlpm.error, IF(_xlpm.part = "", "", IF(LEN(_xlpm.error), _xlfn.SWITCH(IFERROR(_xlfn.TEXTBEFORE(_xlpm.error,":"), ""), "1", "Error", "2", "Disabled", "3", "Required", "4", "Warning", "Valid"), "Valid"))))</f>
        <v/>
      </c>
      <c r="F7" s="22">
        <f t="array" ref="F7">_xlfn.MAP('Additional Documents'!B7:B507, 'Additional Documents'!F7:F507, 'Additional Documents-WUO_ERR'!F7:F507, _xlfn.LAMBDA(_xlpm.part, _xlpm.val, _xlpm.error, IF(_xlpm.part = "", "", IF(LEN(_xlpm.error), _xlfn.SWITCH(IFERROR(_xlfn.TEXTBEFORE(_xlpm.error,":"), ""), "1", "Error", "2", "Disabled", "3", "Required", "4", "Warning", "Valid"), "Valid"))))</f>
        <v/>
      </c>
      <c r="G7" s="22">
        <f t="array" ref="G7">_xlfn.MAP('Additional Documents'!B7:B507, 'Additional Documents'!G7:G507, 'Additional Documents-WUO_ERR'!G7:G507, _xlfn.LAMBDA(_xlpm.part, _xlpm.val, _xlpm.error, IF(_xlpm.part = "", "", IF(LEN(_xlpm.error), _xlfn.SWITCH(IFERROR(_xlfn.TEXTBEFORE(_xlpm.error,":"), ""), "1", "Error", "2", "Disabled", "3", "Required", "4", "Warning", "Valid"), "Valid"))))</f>
        <v/>
      </c>
    </row>
  </sheetData>
  <sheetProtection selectLockedCells="0" selectUnlockedCells="0" sheet="1" objects="1" insertRows="1" insertHyperlinks="1" autoFilter="1" scenarios="1" formatColumns="1" deleteColumns="1" insertColumns="1" pivotTables="1" deleteRows="1" formatCells="1" formatRows="1" sort="1" password="E922"/>
  <hyperlinks>
    <hyperlink ref="D6" location="'Valid Values'!I1" display="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
    <hyperlink ref="E6" location="'Valid Values'!J1" display="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
    <hyperlink ref="F6" location="'Valid Values'!K1" display="Select"/>
    <hyperlink ref="G6" location="'Valid Values'!L1" display="Select"/>
  </hyperlinks>
  <pageMargins left="0.7" right="0.7" top="0.75" bottom="0.75" header="0.3" footer="0.3"/>
</worksheet>
</file>

<file path=xl/worksheets/sheet22.xml><?xml version="1.0" encoding="utf-8"?>
<worksheet xmlns="http://schemas.openxmlformats.org/spreadsheetml/2006/main">
  <sheetPr>
    <outlinePr summaryBelow="1" summaryRight="1"/>
    <pageSetUpPr/>
  </sheetPr>
  <dimension ref="A1:BH902"/>
  <sheetViews>
    <sheetView workbookViewId="0">
      <selection activeCell="A1" sqref="A1"/>
    </sheetView>
  </sheetViews>
  <sheetFormatPr baseColWidth="8" defaultRowHeight="15"/>
  <cols>
    <col width="10.7109375" customWidth="1" min="1" max="1"/>
    <col width="14.7109375" customWidth="1" min="2" max="2"/>
    <col width="18.7109375" customWidth="1" min="3" max="3"/>
    <col width="14.7109375" customWidth="1" min="4" max="4"/>
    <col width="26.7109375" customWidth="1" min="5" max="5"/>
    <col width="13.7109375" customWidth="1" min="6" max="7"/>
    <col width="28.7109375" customWidth="1" min="8" max="8"/>
    <col width="18.7109375" customWidth="1" min="9" max="9"/>
    <col width="24.7109375" customWidth="1" min="10" max="10"/>
    <col width="20.7109375" customWidth="1" min="11" max="11"/>
    <col width="22.7109375" customWidth="1" min="12" max="12"/>
    <col width="17.7109375" customWidth="1" min="13" max="13"/>
    <col width="21.7109375" customWidth="1" min="14" max="14"/>
    <col width="13.7109375" customWidth="1" min="15" max="15"/>
    <col width="32.7109375" customWidth="1" min="16" max="16"/>
    <col width="27.7109375" customWidth="1" min="17" max="17"/>
    <col width="38.7109375" customWidth="1" min="18" max="18"/>
    <col width="39.7109375" customWidth="1" min="19" max="19"/>
    <col width="43.7109375" customWidth="1" min="20" max="20"/>
    <col width="29.7109375" customWidth="1" min="21" max="21"/>
    <col width="17.7109375" customWidth="1" min="22" max="22"/>
    <col width="24.7109375" customWidth="1" min="23" max="23"/>
    <col width="17.7109375" customWidth="1" min="24" max="24"/>
    <col width="24.7109375" customWidth="1" min="25" max="25"/>
    <col width="21.7109375" customWidth="1" min="26" max="26"/>
    <col width="20.7109375" customWidth="1" min="27" max="27"/>
    <col width="35.7109375" customWidth="1" min="28" max="28"/>
    <col width="30.7109375" customWidth="1" min="29" max="29"/>
    <col width="17.7109375" customWidth="1" min="30" max="30"/>
    <col width="19.7109375" customWidth="1" min="31" max="32"/>
    <col width="34.7109375" customWidth="1" min="33" max="33"/>
    <col width="14.7109375" customWidth="1" min="34" max="35"/>
    <col width="16.7109375" customWidth="1" min="36" max="36"/>
    <col width="20.7109375" customWidth="1" min="37" max="37"/>
    <col width="19.7109375" customWidth="1" min="38" max="38"/>
    <col width="44.7109375" customWidth="1" min="39" max="39"/>
    <col width="53.7109375" customWidth="1" min="40" max="41"/>
    <col width="21.7109375" customWidth="1" min="42" max="42"/>
    <col width="64.7109375" customWidth="1" min="43" max="43"/>
    <col width="27.7109375" customWidth="1" min="44" max="44"/>
    <col width="19.7109375" customWidth="1" min="45" max="45"/>
    <col width="20.7109375" customWidth="1" min="46" max="46"/>
    <col width="21.7109375" customWidth="1" min="47" max="47"/>
    <col width="18.7109375" customWidth="1" min="48" max="48"/>
    <col width="30.7109375" customWidth="1" min="49" max="49"/>
    <col width="44.7109375" customWidth="1" min="50" max="50"/>
    <col width="22.7109375" customWidth="1" min="51" max="51"/>
    <col width="47.7109375" customWidth="1" min="52" max="52"/>
    <col width="19.7109375" customWidth="1" min="53" max="53"/>
    <col width="30.7109375" customWidth="1" min="54" max="54"/>
    <col width="40.7109375" customWidth="1" min="55" max="55"/>
    <col width="22.7109375" customWidth="1" min="56" max="56"/>
    <col width="45.7109375" customWidth="1" min="57" max="57"/>
    <col width="31.7109375" customWidth="1" min="58" max="58"/>
    <col width="29.7109375" customWidth="1" min="59" max="59"/>
    <col width="20.7109375" customWidth="1" min="60" max="60"/>
  </cols>
  <sheetData>
    <row r="1" ht="50" customHeight="1">
      <c r="A1" s="39" t="inlineStr">
        <is>
          <t>Brand</t>
        </is>
      </c>
      <c r="B1" s="39" t="inlineStr">
        <is>
          <t>Ship Type</t>
        </is>
      </c>
      <c r="C1" s="39" t="inlineStr">
        <is>
          <t>Freight Class</t>
        </is>
      </c>
      <c r="D1" s="39" t="inlineStr">
        <is>
          <t>Lead Time</t>
        </is>
      </c>
      <c r="E1" s="39" t="inlineStr">
        <is>
          <t>Replacement Lead Time</t>
        </is>
      </c>
      <c r="F1" s="39" t="inlineStr">
        <is>
          <t>Chemical</t>
        </is>
      </c>
      <c r="G1" s="39" t="inlineStr">
        <is>
          <t>Toxicity</t>
        </is>
      </c>
      <c r="H1" s="39" t="inlineStr">
        <is>
          <t>Country Of Manufacturer</t>
        </is>
      </c>
      <c r="I1" s="39" t="inlineStr">
        <is>
          <t>Document Type</t>
        </is>
      </c>
      <c r="J1" s="39" t="inlineStr">
        <is>
          <t>Legal Document Type</t>
        </is>
      </c>
      <c r="K1" s="39" t="inlineStr">
        <is>
          <t>Document Region</t>
        </is>
      </c>
      <c r="L1" s="39" t="inlineStr">
        <is>
          <t>Document Language</t>
        </is>
      </c>
      <c r="M1" s="39" t="inlineStr">
        <is>
          <t>Product Type</t>
        </is>
      </c>
      <c r="N1" s="39" t="inlineStr">
        <is>
          <t>Furniture Design</t>
        </is>
      </c>
      <c r="O1" s="39" t="inlineStr">
        <is>
          <t>Material</t>
        </is>
      </c>
      <c r="P1" s="39" t="inlineStr">
        <is>
          <t>Purposeful Distressing Type</t>
        </is>
      </c>
      <c r="Q1" s="39" t="inlineStr">
        <is>
          <t>Natural Variation Type</t>
        </is>
      </c>
      <c r="R1" s="39" t="inlineStr">
        <is>
          <t>Tipover Restraint Device Included</t>
        </is>
      </c>
      <c r="S1" s="39" t="inlineStr">
        <is>
          <t>Supplier Intended and Approved Use</t>
        </is>
      </c>
      <c r="T1" s="39" t="inlineStr">
        <is>
          <t>Country of Origin - Additional Details</t>
        </is>
      </c>
      <c r="U1" s="39" t="inlineStr">
        <is>
          <t>Main Wood Joinery Method</t>
        </is>
      </c>
      <c r="V1" s="39" t="inlineStr">
        <is>
          <t>Wood Species</t>
        </is>
      </c>
      <c r="W1" s="39" t="inlineStr">
        <is>
          <t>Battery Composition</t>
        </is>
      </c>
      <c r="X1" s="39" t="inlineStr">
        <is>
          <t>Battery Type</t>
        </is>
      </c>
      <c r="Y1" s="39" t="inlineStr">
        <is>
          <t>Number of Batteries</t>
        </is>
      </c>
      <c r="Z1" s="39" t="inlineStr">
        <is>
          <t>Battery Shipment</t>
        </is>
      </c>
      <c r="AA1" s="39" t="inlineStr">
        <is>
          <t>Lithium Content</t>
        </is>
      </c>
      <c r="AB1" s="39" t="inlineStr">
        <is>
          <t>Watt Rating of Cells / Battery</t>
        </is>
      </c>
      <c r="AC1" s="39" t="inlineStr">
        <is>
          <t>Weight of Cells / Battery</t>
        </is>
      </c>
      <c r="AD1" s="39" t="inlineStr">
        <is>
          <t>Product Care</t>
        </is>
      </c>
      <c r="AE1" s="39" t="inlineStr">
        <is>
          <t>Shelf Material</t>
        </is>
      </c>
      <c r="AF1" s="39" t="inlineStr">
        <is>
          <t>Color / Finish</t>
        </is>
      </c>
      <c r="AG1" s="39" t="inlineStr">
        <is>
          <t>Drawer Glide Type &amp; Extension</t>
        </is>
      </c>
      <c r="AH1" s="39" t="inlineStr">
        <is>
          <t>Vent Type</t>
        </is>
      </c>
      <c r="AI1" s="39" t="inlineStr">
        <is>
          <t>Fuel Type</t>
        </is>
      </c>
      <c r="AJ1" s="39" t="inlineStr">
        <is>
          <t>Door Design</t>
        </is>
      </c>
      <c r="AK1" s="39" t="inlineStr">
        <is>
          <t>Pieces Included</t>
        </is>
      </c>
      <c r="AL1" s="39" t="inlineStr">
        <is>
          <t>Fireplace Type</t>
        </is>
      </c>
      <c r="AM1" s="39" t="inlineStr">
        <is>
          <t>General Certificate of Conformity (GCC)</t>
        </is>
      </c>
      <c r="AN1" s="39" t="inlineStr">
        <is>
          <t>CARB Phase II Compliant (formaldehyde emissions)</t>
        </is>
      </c>
      <c r="AO1" s="39" t="inlineStr">
        <is>
          <t>TSCA Title VI Compliant (formaldehyde emissions)</t>
        </is>
      </c>
      <c r="AP1" s="39" t="inlineStr">
        <is>
          <t>CANFER Compliant</t>
        </is>
      </c>
      <c r="AQ1" s="39" t="inlineStr">
        <is>
          <t>Uniform Packaging and Labeling Regulations (UPLR) Compliant</t>
        </is>
      </c>
      <c r="AR1" s="39" t="inlineStr">
        <is>
          <t>Reason for Restriction</t>
        </is>
      </c>
      <c r="AS1" s="39" t="inlineStr">
        <is>
          <t>UL 1678 Listed</t>
        </is>
      </c>
      <c r="AT1" s="39" t="inlineStr">
        <is>
          <t>UN or ID number</t>
        </is>
      </c>
      <c r="AU1" s="39" t="inlineStr">
        <is>
          <t>Hazard Class(es)</t>
        </is>
      </c>
      <c r="AV1" s="39" t="inlineStr">
        <is>
          <t>Packing Group</t>
        </is>
      </c>
      <c r="AW1" s="39" t="inlineStr">
        <is>
          <t>Hazardous Material Weight</t>
        </is>
      </c>
      <c r="AX1" s="39" t="inlineStr">
        <is>
          <t>Energy Efficiency Regulations Compliant</t>
        </is>
      </c>
      <c r="AY1" s="39" t="inlineStr">
        <is>
          <t>Safety Listing(s)</t>
        </is>
      </c>
      <c r="AZ1" s="39" t="inlineStr">
        <is>
          <t>CPSC - 16 CFR 1263 Compliant (Reese's Law)</t>
        </is>
      </c>
      <c r="BA1" s="39" t="inlineStr">
        <is>
          <t>ISTA Certified</t>
        </is>
      </c>
      <c r="BB1" s="39" t="inlineStr">
        <is>
          <t>Commercial Certifications</t>
        </is>
      </c>
      <c r="BC1" s="39" t="inlineStr">
        <is>
          <t>Maximum TV Screen Size Accommodated</t>
        </is>
      </c>
      <c r="BD1" s="39" t="inlineStr">
        <is>
          <t>Level of Assembly</t>
        </is>
      </c>
      <c r="BE1" s="39" t="inlineStr">
        <is>
          <t>Additional Tools Required (Not Included)</t>
        </is>
      </c>
      <c r="BF1" s="39" t="inlineStr">
        <is>
          <t>Commercial Warranty Length</t>
        </is>
      </c>
      <c r="BG1" s="39" t="inlineStr">
        <is>
          <t>Full or Limited Warranty</t>
        </is>
      </c>
      <c r="BH1" s="39" t="inlineStr">
        <is>
          <t>Warranty Length</t>
        </is>
      </c>
    </row>
    <row r="2">
      <c r="B2" t="inlineStr">
        <is>
          <t>Small Parcel</t>
        </is>
      </c>
      <c r="C2" t="inlineStr">
        <is>
          <t>50</t>
        </is>
      </c>
      <c r="D2" t="inlineStr">
        <is>
          <t>0</t>
        </is>
      </c>
      <c r="E2" t="inlineStr">
        <is>
          <t>0</t>
        </is>
      </c>
      <c r="F2" t="inlineStr">
        <is>
          <t>A-alpha-C (2-Amino-9H-pyrido[2,3-b]indole)</t>
        </is>
      </c>
      <c r="G2" t="inlineStr">
        <is>
          <t>Cancer</t>
        </is>
      </c>
      <c r="H2" t="inlineStr">
        <is>
          <t>United States</t>
        </is>
      </c>
      <c r="I2" t="inlineStr">
        <is>
          <t>Specifications</t>
        </is>
      </c>
      <c r="J2" t="inlineStr">
        <is>
          <t>AAFA Certified</t>
        </is>
      </c>
      <c r="K2" t="inlineStr">
        <is>
          <t>US</t>
        </is>
      </c>
      <c r="L2" t="inlineStr">
        <is>
          <t>Arabic</t>
        </is>
      </c>
      <c r="M2" t="inlineStr">
        <is>
          <t>Entertainment Center</t>
        </is>
      </c>
      <c r="N2" t="inlineStr">
        <is>
          <t>Cabinet/Enclosed storage</t>
        </is>
      </c>
      <c r="O2" t="inlineStr">
        <is>
          <t>Glass</t>
        </is>
      </c>
      <c r="P2" t="inlineStr">
        <is>
          <t>Distressed Leather</t>
        </is>
      </c>
      <c r="Q2" t="inlineStr">
        <is>
          <t>No Natural Variation</t>
        </is>
      </c>
      <c r="R2" t="inlineStr">
        <is>
          <t>Yes</t>
        </is>
      </c>
      <c r="S2" t="inlineStr">
        <is>
          <t>Non Residential Use</t>
        </is>
      </c>
      <c r="T2" t="inlineStr">
        <is>
          <t>Made in USA</t>
        </is>
      </c>
      <c r="U2" t="inlineStr">
        <is>
          <t>Dovetail</t>
        </is>
      </c>
      <c r="V2" t="inlineStr">
        <is>
          <t>Acacia</t>
        </is>
      </c>
      <c r="W2" t="inlineStr">
        <is>
          <t>Lithium Metal</t>
        </is>
      </c>
      <c r="X2" t="inlineStr">
        <is>
          <t>Cell</t>
        </is>
      </c>
      <c r="Y2" t="inlineStr">
        <is>
          <t>1</t>
        </is>
      </c>
      <c r="Z2" t="inlineStr">
        <is>
          <t>Stand alone</t>
        </is>
      </c>
      <c r="AA2" t="inlineStr">
        <is>
          <t>Cells exceeding 5 grams</t>
        </is>
      </c>
      <c r="AB2" t="inlineStr">
        <is>
          <t>Cells of between 20w/h and 60w/h</t>
        </is>
      </c>
      <c r="AC2" t="inlineStr">
        <is>
          <t>2.5kg or less</t>
        </is>
      </c>
      <c r="AD2" t="inlineStr">
        <is>
          <t>Hand wash recommended</t>
        </is>
      </c>
      <c r="AE2" t="inlineStr">
        <is>
          <t>Polyethylene</t>
        </is>
      </c>
      <c r="AF2" t="inlineStr">
        <is>
          <t>Clear</t>
        </is>
      </c>
      <c r="AG2" t="inlineStr">
        <is>
          <t>0.6 Extension</t>
        </is>
      </c>
      <c r="AH2" t="inlineStr">
        <is>
          <t>Direct Vent</t>
        </is>
      </c>
      <c r="AI2" t="inlineStr">
        <is>
          <t>Electric</t>
        </is>
      </c>
      <c r="AJ2" t="inlineStr">
        <is>
          <t>Flush</t>
        </is>
      </c>
      <c r="AK2" t="inlineStr">
        <is>
          <t>Drawers</t>
        </is>
      </c>
      <c r="AL2" t="inlineStr">
        <is>
          <t>Gel</t>
        </is>
      </c>
      <c r="AM2" t="inlineStr">
        <is>
          <t>Yes</t>
        </is>
      </c>
      <c r="AN2" t="inlineStr">
        <is>
          <t>Yes</t>
        </is>
      </c>
      <c r="AO2" t="inlineStr">
        <is>
          <t>Yes</t>
        </is>
      </c>
      <c r="AP2" t="inlineStr">
        <is>
          <t>Yes</t>
        </is>
      </c>
      <c r="AQ2" t="inlineStr">
        <is>
          <t>Yes</t>
        </is>
      </c>
      <c r="AR2" t="inlineStr">
        <is>
          <t>Dual Language</t>
        </is>
      </c>
      <c r="AS2" t="inlineStr">
        <is>
          <t>Yes</t>
        </is>
      </c>
      <c r="AT2" t="inlineStr">
        <is>
          <t>UN3091</t>
        </is>
      </c>
      <c r="AU2" t="inlineStr">
        <is>
          <t>1</t>
        </is>
      </c>
      <c r="AV2" t="inlineStr">
        <is>
          <t>I</t>
        </is>
      </c>
      <c r="AW2" t="inlineStr">
        <is>
          <t>&gt;0 - ≤25ml</t>
        </is>
      </c>
      <c r="AX2" t="inlineStr">
        <is>
          <t>No</t>
        </is>
      </c>
      <c r="AY2" t="inlineStr">
        <is>
          <t>TÜV Rheinland Certified</t>
        </is>
      </c>
      <c r="AZ2" t="inlineStr">
        <is>
          <t>No</t>
        </is>
      </c>
      <c r="BA2" t="inlineStr">
        <is>
          <t>1A</t>
        </is>
      </c>
      <c r="BB2" t="inlineStr">
        <is>
          <t>BIFMA Accredited</t>
        </is>
      </c>
      <c r="BC2" t="inlineStr">
        <is>
          <t>28"</t>
        </is>
      </c>
      <c r="BD2" t="inlineStr">
        <is>
          <t>No Assembly Needed</t>
        </is>
      </c>
      <c r="BE2" t="inlineStr">
        <is>
          <t>All Tools Included</t>
        </is>
      </c>
      <c r="BF2" t="inlineStr">
        <is>
          <t>30 Days</t>
        </is>
      </c>
      <c r="BG2" t="inlineStr">
        <is>
          <t>Full</t>
        </is>
      </c>
      <c r="BH2" t="inlineStr">
        <is>
          <t>30 Days</t>
        </is>
      </c>
    </row>
    <row r="3">
      <c r="B3" t="inlineStr">
        <is>
          <t>LTL</t>
        </is>
      </c>
      <c r="C3" t="inlineStr">
        <is>
          <t>55</t>
        </is>
      </c>
      <c r="D3" t="inlineStr">
        <is>
          <t>24</t>
        </is>
      </c>
      <c r="E3" t="inlineStr">
        <is>
          <t>24</t>
        </is>
      </c>
      <c r="F3" t="inlineStr">
        <is>
          <t>Abiraterone acetate</t>
        </is>
      </c>
      <c r="G3" t="inlineStr">
        <is>
          <t>Developmental</t>
        </is>
      </c>
      <c r="H3" t="inlineStr">
        <is>
          <t>Canada</t>
        </is>
      </c>
      <c r="I3" t="inlineStr">
        <is>
          <t>Installation &amp; Assembly</t>
        </is>
      </c>
      <c r="J3" t="inlineStr">
        <is>
          <t>AATCC 116 Grade</t>
        </is>
      </c>
      <c r="K3" t="inlineStr">
        <is>
          <t>UK</t>
        </is>
      </c>
      <c r="L3" t="inlineStr">
        <is>
          <t>Bulgarian</t>
        </is>
      </c>
      <c r="M3" t="inlineStr">
        <is>
          <t>TV Stand</t>
        </is>
      </c>
      <c r="N3" t="inlineStr">
        <is>
          <t>TV Stand Fireplace</t>
        </is>
      </c>
      <c r="O3" t="inlineStr">
        <is>
          <t>Stainless Steel</t>
        </is>
      </c>
      <c r="P3" t="inlineStr">
        <is>
          <t>Paint Distressing</t>
        </is>
      </c>
      <c r="Q3" t="inlineStr">
        <is>
          <t>Natural Wood Grain Color Variation</t>
        </is>
      </c>
      <c r="R3" t="inlineStr">
        <is>
          <t>No</t>
        </is>
      </c>
      <c r="S3" t="inlineStr">
        <is>
          <t>Residential Use</t>
        </is>
      </c>
      <c r="T3" t="inlineStr">
        <is>
          <t>Made in USA of Imported Materials</t>
        </is>
      </c>
      <c r="U3" t="inlineStr">
        <is>
          <t>Mortise and Tenon</t>
        </is>
      </c>
      <c r="V3" t="inlineStr">
        <is>
          <t>Alder</t>
        </is>
      </c>
      <c r="W3" t="inlineStr">
        <is>
          <t>Lithium Ion / Lithium Polymer</t>
        </is>
      </c>
      <c r="X3" t="inlineStr">
        <is>
          <t>Battery</t>
        </is>
      </c>
      <c r="Y3" t="inlineStr">
        <is>
          <t>2</t>
        </is>
      </c>
      <c r="Z3" t="inlineStr">
        <is>
          <t>Contained in product</t>
        </is>
      </c>
      <c r="AA3" t="inlineStr">
        <is>
          <t>Batteries of 2 grams or less</t>
        </is>
      </c>
      <c r="AB3" t="inlineStr">
        <is>
          <t>Cells exceeding 60w/h</t>
        </is>
      </c>
      <c r="AC3" t="inlineStr">
        <is>
          <t>2.5kg to 5kg</t>
        </is>
      </c>
      <c r="AD3" t="inlineStr">
        <is>
          <t>Dishwasher safe</t>
        </is>
      </c>
      <c r="AE3" t="inlineStr">
        <is>
          <t>Steel</t>
        </is>
      </c>
      <c r="AF3" t="inlineStr">
        <is>
          <t>Cream</t>
        </is>
      </c>
      <c r="AG3" t="inlineStr">
        <is>
          <t>Ball Bearing</t>
        </is>
      </c>
      <c r="AH3" t="inlineStr">
        <is>
          <t>Natural Vent</t>
        </is>
      </c>
      <c r="AI3" t="inlineStr">
        <is>
          <t>Dual Fuel</t>
        </is>
      </c>
      <c r="AJ3" t="inlineStr">
        <is>
          <t>Glass</t>
        </is>
      </c>
      <c r="AK3" t="inlineStr">
        <is>
          <t>Fireplace</t>
        </is>
      </c>
      <c r="AL3" t="inlineStr">
        <is>
          <t>Gas</t>
        </is>
      </c>
      <c r="AM3" t="inlineStr">
        <is>
          <t>No</t>
        </is>
      </c>
      <c r="AN3" t="inlineStr">
        <is>
          <t>No</t>
        </is>
      </c>
      <c r="AO3" t="inlineStr">
        <is>
          <t>No</t>
        </is>
      </c>
      <c r="AP3" t="inlineStr">
        <is>
          <t>No</t>
        </is>
      </c>
      <c r="AQ3" t="inlineStr">
        <is>
          <t>No</t>
        </is>
      </c>
      <c r="AR3" t="inlineStr">
        <is>
          <t>Distribution Conflict</t>
        </is>
      </c>
      <c r="AS3" t="inlineStr">
        <is>
          <t>No</t>
        </is>
      </c>
      <c r="AT3" t="inlineStr">
        <is>
          <t>UN3481</t>
        </is>
      </c>
      <c r="AU3" t="inlineStr">
        <is>
          <t>2.2</t>
        </is>
      </c>
      <c r="AV3" t="inlineStr">
        <is>
          <t>III</t>
        </is>
      </c>
      <c r="AW3" t="inlineStr">
        <is>
          <t>&gt;1L - ≤5L</t>
        </is>
      </c>
      <c r="AX3" t="inlineStr">
        <is>
          <t>Yes</t>
        </is>
      </c>
      <c r="AY3" t="inlineStr">
        <is>
          <t>MET Listed</t>
        </is>
      </c>
      <c r="AZ3" t="inlineStr">
        <is>
          <t>Yes</t>
        </is>
      </c>
      <c r="BA3" t="inlineStr">
        <is>
          <t>3A or 6A</t>
        </is>
      </c>
      <c r="BB3" t="inlineStr">
        <is>
          <t>BIFMA Equivalent</t>
        </is>
      </c>
      <c r="BC3" t="inlineStr">
        <is>
          <t>24"</t>
        </is>
      </c>
      <c r="BD3" t="inlineStr">
        <is>
          <t>Minimal Assembly Needed</t>
        </is>
      </c>
      <c r="BE3" t="inlineStr">
        <is>
          <t>Tool Free Assembly</t>
        </is>
      </c>
      <c r="BF3" t="inlineStr">
        <is>
          <t>60 Days</t>
        </is>
      </c>
      <c r="BG3" t="inlineStr">
        <is>
          <t>Limited</t>
        </is>
      </c>
      <c r="BH3" t="inlineStr">
        <is>
          <t>60 Days</t>
        </is>
      </c>
    </row>
    <row r="4">
      <c r="C4" t="inlineStr">
        <is>
          <t>60</t>
        </is>
      </c>
      <c r="D4" t="inlineStr">
        <is>
          <t>48</t>
        </is>
      </c>
      <c r="E4" t="inlineStr">
        <is>
          <t>48</t>
        </is>
      </c>
      <c r="F4" t="inlineStr">
        <is>
          <t>Acetaldehyde</t>
        </is>
      </c>
      <c r="H4" t="inlineStr">
        <is>
          <t>Afghanistan</t>
        </is>
      </c>
      <c r="I4" t="inlineStr">
        <is>
          <t>Owner Manual</t>
        </is>
      </c>
      <c r="J4" t="inlineStr">
        <is>
          <t>AATCC 16.1-2014 Grade</t>
        </is>
      </c>
      <c r="K4" t="inlineStr">
        <is>
          <t>EU</t>
        </is>
      </c>
      <c r="L4" t="inlineStr">
        <is>
          <t>Czech (Czech Republic)</t>
        </is>
      </c>
      <c r="N4" t="inlineStr">
        <is>
          <t>Open shelving</t>
        </is>
      </c>
      <c r="O4" t="inlineStr">
        <is>
          <t>Cane</t>
        </is>
      </c>
      <c r="P4" t="inlineStr">
        <is>
          <t>Distressed Grain Accents</t>
        </is>
      </c>
      <c r="Q4" t="inlineStr">
        <is>
          <t>Weathered Steel</t>
        </is>
      </c>
      <c r="T4" t="inlineStr">
        <is>
          <t>Product of Canada</t>
        </is>
      </c>
      <c r="U4" t="inlineStr">
        <is>
          <t>Rabbet Joint</t>
        </is>
      </c>
      <c r="V4" t="inlineStr">
        <is>
          <t>Ash</t>
        </is>
      </c>
      <c r="W4" t="inlineStr">
        <is>
          <t>Nickel Cadmium</t>
        </is>
      </c>
      <c r="X4" t="inlineStr">
        <is>
          <t>Button Cell</t>
        </is>
      </c>
      <c r="Y4" t="inlineStr">
        <is>
          <t>3</t>
        </is>
      </c>
      <c r="Z4" t="inlineStr">
        <is>
          <t>Packed with product</t>
        </is>
      </c>
      <c r="AA4" t="inlineStr">
        <is>
          <t>Batteries of between 2 and 25 grams</t>
        </is>
      </c>
      <c r="AB4" t="inlineStr">
        <is>
          <t>Cells of 20w/h or less</t>
        </is>
      </c>
      <c r="AC4" t="inlineStr">
        <is>
          <t>More than 10kg</t>
        </is>
      </c>
      <c r="AD4" t="inlineStr">
        <is>
          <t>Spot clean only</t>
        </is>
      </c>
      <c r="AE4" t="inlineStr">
        <is>
          <t>Wood Veneers</t>
        </is>
      </c>
      <c r="AF4" t="inlineStr">
        <is>
          <t>Purple</t>
        </is>
      </c>
      <c r="AG4" t="inlineStr">
        <is>
          <t>Soft Close</t>
        </is>
      </c>
      <c r="AH4" t="inlineStr">
        <is>
          <t>Vent Free</t>
        </is>
      </c>
      <c r="AI4" t="inlineStr">
        <is>
          <t>Induction</t>
        </is>
      </c>
      <c r="AJ4" t="inlineStr">
        <is>
          <t>Louvered</t>
        </is>
      </c>
      <c r="AK4" t="inlineStr">
        <is>
          <t>Hutch</t>
        </is>
      </c>
      <c r="AL4" t="inlineStr">
        <is>
          <t>Wood</t>
        </is>
      </c>
      <c r="AM4" t="inlineStr">
        <is>
          <t>Does Not Apply</t>
        </is>
      </c>
      <c r="AN4" t="inlineStr">
        <is>
          <t>Does Not Apply</t>
        </is>
      </c>
      <c r="AO4" t="inlineStr">
        <is>
          <t>Does Not Apply</t>
        </is>
      </c>
      <c r="AP4" t="inlineStr">
        <is>
          <t>Yes, Compliance Verified Program Member</t>
        </is>
      </c>
      <c r="AR4" t="inlineStr">
        <is>
          <t>Logistics</t>
        </is>
      </c>
      <c r="AS4" t="inlineStr">
        <is>
          <t>Yes, Compliance Verified Program Member</t>
        </is>
      </c>
      <c r="AT4" t="inlineStr">
        <is>
          <t>UN2800</t>
        </is>
      </c>
      <c r="AU4" t="inlineStr">
        <is>
          <t>2.1</t>
        </is>
      </c>
      <c r="AV4" t="inlineStr">
        <is>
          <t>No Packing Group</t>
        </is>
      </c>
      <c r="AW4" t="inlineStr">
        <is>
          <t>&gt;0.5L - ≤1L</t>
        </is>
      </c>
      <c r="AX4" t="inlineStr">
        <is>
          <t>Yes, Compliance Verified Program Member</t>
        </is>
      </c>
      <c r="AY4" t="inlineStr">
        <is>
          <t>AFNOR UK Ltd</t>
        </is>
      </c>
      <c r="AZ4" t="inlineStr">
        <is>
          <t>Yes, Compliance Verified Program Member</t>
        </is>
      </c>
      <c r="BA4" t="inlineStr">
        <is>
          <t>Does Not Apply</t>
        </is>
      </c>
      <c r="BB4" t="inlineStr">
        <is>
          <t>Contract Grade Accredited</t>
        </is>
      </c>
      <c r="BC4" t="inlineStr">
        <is>
          <t>40"</t>
        </is>
      </c>
      <c r="BD4" t="inlineStr">
        <is>
          <t>Full Assembly Needed</t>
        </is>
      </c>
      <c r="BE4" t="inlineStr">
        <is>
          <t>Screwdriver</t>
        </is>
      </c>
      <c r="BF4" t="inlineStr">
        <is>
          <t>90 Days</t>
        </is>
      </c>
      <c r="BG4" t="inlineStr">
        <is>
          <t>Does Not Apply</t>
        </is>
      </c>
      <c r="BH4" t="inlineStr">
        <is>
          <t>90 Days</t>
        </is>
      </c>
    </row>
    <row r="5">
      <c r="C5" t="inlineStr">
        <is>
          <t>65</t>
        </is>
      </c>
      <c r="D5" t="inlineStr">
        <is>
          <t>72</t>
        </is>
      </c>
      <c r="E5" t="inlineStr">
        <is>
          <t>72</t>
        </is>
      </c>
      <c r="F5" t="inlineStr">
        <is>
          <t>Acetamide</t>
        </is>
      </c>
      <c r="H5" t="inlineStr">
        <is>
          <t>Åland Islands</t>
        </is>
      </c>
      <c r="I5" t="inlineStr">
        <is>
          <t>Delivery Information</t>
        </is>
      </c>
      <c r="J5" t="inlineStr">
        <is>
          <t>AATCC 16.3-2014 Grade</t>
        </is>
      </c>
      <c r="K5" t="inlineStr">
        <is>
          <t>CA</t>
        </is>
      </c>
      <c r="L5" t="inlineStr">
        <is>
          <t>Danish</t>
        </is>
      </c>
      <c r="N5" t="inlineStr">
        <is>
          <t>Corner unit</t>
        </is>
      </c>
      <c r="O5" t="inlineStr">
        <is>
          <t>Raffia</t>
        </is>
      </c>
      <c r="P5" t="inlineStr">
        <is>
          <t>Coat/Paint Distressing</t>
        </is>
      </c>
      <c r="Q5" t="inlineStr">
        <is>
          <t>Wood Knots</t>
        </is>
      </c>
      <c r="T5" t="inlineStr">
        <is>
          <t>Made In Canada</t>
        </is>
      </c>
      <c r="U5" t="inlineStr">
        <is>
          <t>Basic Butt</t>
        </is>
      </c>
      <c r="V5" t="inlineStr">
        <is>
          <t>Bamboo</t>
        </is>
      </c>
      <c r="W5" t="inlineStr">
        <is>
          <t>Nickel Metal Hydride</t>
        </is>
      </c>
      <c r="X5" t="inlineStr">
        <is>
          <t>Does Not Apply</t>
        </is>
      </c>
      <c r="Y5" t="inlineStr">
        <is>
          <t>6</t>
        </is>
      </c>
      <c r="Z5" t="inlineStr">
        <is>
          <t>Does Not Apply</t>
        </is>
      </c>
      <c r="AA5" t="inlineStr">
        <is>
          <t>Cells of 1gram or less</t>
        </is>
      </c>
      <c r="AB5" t="inlineStr">
        <is>
          <t>Batteries exceeding 300w/h</t>
        </is>
      </c>
      <c r="AC5" t="inlineStr">
        <is>
          <t>5kg to 10kg</t>
        </is>
      </c>
      <c r="AD5" t="inlineStr">
        <is>
          <t>Hand wash only</t>
        </is>
      </c>
      <c r="AE5" t="inlineStr">
        <is>
          <t>Polyvinyl Chloride (PVC)</t>
        </is>
      </c>
      <c r="AF5" t="inlineStr">
        <is>
          <t>Gold</t>
        </is>
      </c>
      <c r="AG5" t="inlineStr">
        <is>
          <t>Roller Glides</t>
        </is>
      </c>
      <c r="AH5" t="inlineStr">
        <is>
          <t>External</t>
        </is>
      </c>
      <c r="AI5" t="inlineStr">
        <is>
          <t>Wood Pellets</t>
        </is>
      </c>
      <c r="AJ5" t="inlineStr">
        <is>
          <t>Paneled</t>
        </is>
      </c>
      <c r="AK5" t="inlineStr">
        <is>
          <t>Shelves</t>
        </is>
      </c>
      <c r="AL5" t="inlineStr">
        <is>
          <t>Electric</t>
        </is>
      </c>
      <c r="AP5" t="inlineStr">
        <is>
          <t>Does Not Apply</t>
        </is>
      </c>
      <c r="AR5" t="inlineStr">
        <is>
          <t>Does Not Apply</t>
        </is>
      </c>
      <c r="AS5" t="inlineStr">
        <is>
          <t>Does Not Apply</t>
        </is>
      </c>
      <c r="AT5" t="inlineStr">
        <is>
          <t>UN1950</t>
        </is>
      </c>
      <c r="AU5" t="inlineStr">
        <is>
          <t>7</t>
        </is>
      </c>
      <c r="AV5" t="inlineStr">
        <is>
          <t>II</t>
        </is>
      </c>
      <c r="AW5" t="inlineStr">
        <is>
          <t>&gt;0 - ≤100g</t>
        </is>
      </c>
      <c r="AX5" t="inlineStr">
        <is>
          <t>Unavailable</t>
        </is>
      </c>
      <c r="AY5" t="inlineStr">
        <is>
          <t>BSI Assurance UK Ltd</t>
        </is>
      </c>
      <c r="AZ5" t="inlineStr">
        <is>
          <t>Does Not Apply</t>
        </is>
      </c>
      <c r="BB5" t="inlineStr">
        <is>
          <t>Unavailable</t>
        </is>
      </c>
      <c r="BC5" t="inlineStr">
        <is>
          <t>32"</t>
        </is>
      </c>
      <c r="BD5" t="inlineStr">
        <is>
          <t>Does Not Apply</t>
        </is>
      </c>
      <c r="BE5" t="inlineStr">
        <is>
          <t>Allen Wrench</t>
        </is>
      </c>
      <c r="BF5" t="inlineStr">
        <is>
          <t>6 Months</t>
        </is>
      </c>
      <c r="BH5" t="inlineStr">
        <is>
          <t>6 Months</t>
        </is>
      </c>
    </row>
    <row r="6">
      <c r="C6" t="inlineStr">
        <is>
          <t>70</t>
        </is>
      </c>
      <c r="D6" t="inlineStr">
        <is>
          <t>96</t>
        </is>
      </c>
      <c r="E6" t="inlineStr">
        <is>
          <t>96</t>
        </is>
      </c>
      <c r="F6" t="inlineStr">
        <is>
          <t>Acetazolamide</t>
        </is>
      </c>
      <c r="H6" t="inlineStr">
        <is>
          <t>Albania</t>
        </is>
      </c>
      <c r="I6" t="inlineStr">
        <is>
          <t>Warranty Information</t>
        </is>
      </c>
      <c r="J6" t="inlineStr">
        <is>
          <t>AATCC 8 Grade</t>
        </is>
      </c>
      <c r="L6" t="inlineStr">
        <is>
          <t>German</t>
        </is>
      </c>
      <c r="N6" t="inlineStr">
        <is>
          <t>Hutch</t>
        </is>
      </c>
      <c r="O6" t="inlineStr">
        <is>
          <t>Mango Wood</t>
        </is>
      </c>
      <c r="P6" t="inlineStr">
        <is>
          <t>Wormholes</t>
        </is>
      </c>
      <c r="Q6" t="inlineStr">
        <is>
          <t>Natural Stone Color Variation</t>
        </is>
      </c>
      <c r="T6" t="inlineStr">
        <is>
          <t>Does Not Apply</t>
        </is>
      </c>
      <c r="U6" t="inlineStr">
        <is>
          <t>Biscuit Joint</t>
        </is>
      </c>
      <c r="V6" t="inlineStr">
        <is>
          <t>Beech</t>
        </is>
      </c>
      <c r="W6" t="inlineStr">
        <is>
          <t>Alkaline</t>
        </is>
      </c>
      <c r="Y6" t="inlineStr">
        <is>
          <t>7</t>
        </is>
      </c>
      <c r="AA6" t="inlineStr">
        <is>
          <t>Cells of between 1 and 5 grams</t>
        </is>
      </c>
      <c r="AB6" t="inlineStr">
        <is>
          <t>Batteries of between 100w/h and 300 w/h</t>
        </is>
      </c>
      <c r="AC6" t="inlineStr">
        <is>
          <t>Does Not Apply</t>
        </is>
      </c>
      <c r="AD6" t="inlineStr">
        <is>
          <t>Delicate cycle</t>
        </is>
      </c>
      <c r="AE6" t="inlineStr">
        <is>
          <t>Polycarbonate</t>
        </is>
      </c>
      <c r="AF6" t="inlineStr">
        <is>
          <t>Silver</t>
        </is>
      </c>
      <c r="AG6" t="inlineStr">
        <is>
          <t>0.75 Extension</t>
        </is>
      </c>
      <c r="AH6" t="inlineStr">
        <is>
          <t>Convertible</t>
        </is>
      </c>
      <c r="AI6" t="inlineStr">
        <is>
          <t>Natural Gas</t>
        </is>
      </c>
      <c r="AJ6" t="inlineStr">
        <is>
          <t>Mirrored</t>
        </is>
      </c>
      <c r="AK6" t="inlineStr">
        <is>
          <t>Bridge</t>
        </is>
      </c>
      <c r="AL6" t="inlineStr">
        <is>
          <t>Unavailable</t>
        </is>
      </c>
      <c r="AT6" t="inlineStr">
        <is>
          <t>UN3496</t>
        </is>
      </c>
      <c r="AU6" t="inlineStr">
        <is>
          <t>5.2</t>
        </is>
      </c>
      <c r="AV6" t="inlineStr">
        <is>
          <t>Does Not Apply</t>
        </is>
      </c>
      <c r="AW6" t="inlineStr">
        <is>
          <t>&gt;100 - ≤500g</t>
        </is>
      </c>
      <c r="AX6" t="inlineStr">
        <is>
          <t>Does Not Apply</t>
        </is>
      </c>
      <c r="AY6" t="inlineStr">
        <is>
          <t>cUL Listed</t>
        </is>
      </c>
      <c r="BB6" t="inlineStr">
        <is>
          <t>Does Not Apply</t>
        </is>
      </c>
      <c r="BC6" t="inlineStr">
        <is>
          <t>42"</t>
        </is>
      </c>
      <c r="BE6" t="inlineStr">
        <is>
          <t>Adjustable Wrench</t>
        </is>
      </c>
      <c r="BF6" t="inlineStr">
        <is>
          <t>1 Year</t>
        </is>
      </c>
      <c r="BH6" t="inlineStr">
        <is>
          <t>1 Year</t>
        </is>
      </c>
    </row>
    <row r="7">
      <c r="C7" t="inlineStr">
        <is>
          <t>77.5</t>
        </is>
      </c>
      <c r="D7" t="inlineStr">
        <is>
          <t>120</t>
        </is>
      </c>
      <c r="E7" t="inlineStr">
        <is>
          <t>120</t>
        </is>
      </c>
      <c r="F7" t="inlineStr">
        <is>
          <t>Acetochlor</t>
        </is>
      </c>
      <c r="H7" t="inlineStr">
        <is>
          <t>Algeria</t>
        </is>
      </c>
      <c r="I7" t="inlineStr">
        <is>
          <t>Certifications</t>
        </is>
      </c>
      <c r="J7" t="inlineStr">
        <is>
          <t>AC Rated</t>
        </is>
      </c>
      <c r="L7" t="inlineStr">
        <is>
          <t>Greek</t>
        </is>
      </c>
      <c r="N7" t="inlineStr">
        <is>
          <t>Piers</t>
        </is>
      </c>
      <c r="O7" t="inlineStr">
        <is>
          <t>Aluminum</t>
        </is>
      </c>
      <c r="P7" t="inlineStr">
        <is>
          <t>No Natural Variation</t>
        </is>
      </c>
      <c r="Q7" t="inlineStr">
        <is>
          <t>Unavailable</t>
        </is>
      </c>
      <c r="U7" t="inlineStr">
        <is>
          <t>Tongue and Groove</t>
        </is>
      </c>
      <c r="V7" t="inlineStr">
        <is>
          <t>Birch</t>
        </is>
      </c>
      <c r="W7" t="inlineStr">
        <is>
          <t>Carbon Zinc</t>
        </is>
      </c>
      <c r="Y7" t="inlineStr">
        <is>
          <t>5</t>
        </is>
      </c>
      <c r="AA7" t="inlineStr">
        <is>
          <t>Batteries exceeding 25 grams</t>
        </is>
      </c>
      <c r="AB7" t="inlineStr">
        <is>
          <t>Batteries of 100w/h or less</t>
        </is>
      </c>
      <c r="AD7" t="inlineStr">
        <is>
          <t>Commercial laundry safe</t>
        </is>
      </c>
      <c r="AE7" t="inlineStr">
        <is>
          <t>Stainless Steel</t>
        </is>
      </c>
      <c r="AF7" t="inlineStr">
        <is>
          <t>Polished Chrome</t>
        </is>
      </c>
      <c r="AG7" t="inlineStr">
        <is>
          <t>Full Extension</t>
        </is>
      </c>
      <c r="AH7" t="inlineStr">
        <is>
          <t>Recirculating</t>
        </is>
      </c>
      <c r="AI7" t="inlineStr">
        <is>
          <t>Liquid Propane</t>
        </is>
      </c>
      <c r="AJ7" t="inlineStr">
        <is>
          <t>Barn Doors</t>
        </is>
      </c>
      <c r="AK7" t="inlineStr">
        <is>
          <t>Exterior Shelves</t>
        </is>
      </c>
      <c r="AL7" t="inlineStr">
        <is>
          <t>Does Not Apply</t>
        </is>
      </c>
      <c r="AT7" t="inlineStr">
        <is>
          <t>ID8000</t>
        </is>
      </c>
      <c r="AU7" t="inlineStr">
        <is>
          <t>6.1</t>
        </is>
      </c>
      <c r="AW7" t="inlineStr">
        <is>
          <t>&gt;500g - ≤1kg</t>
        </is>
      </c>
      <c r="AY7" t="inlineStr">
        <is>
          <t>ETL Listed</t>
        </is>
      </c>
      <c r="BC7" t="inlineStr">
        <is>
          <t>49"</t>
        </is>
      </c>
      <c r="BE7" t="inlineStr">
        <is>
          <t>Socket Wrench</t>
        </is>
      </c>
      <c r="BF7" t="inlineStr">
        <is>
          <t>2 Years</t>
        </is>
      </c>
      <c r="BH7" t="inlineStr">
        <is>
          <t>2 Years</t>
        </is>
      </c>
    </row>
    <row r="8">
      <c r="C8" t="inlineStr">
        <is>
          <t>85</t>
        </is>
      </c>
      <c r="D8" t="inlineStr">
        <is>
          <t>144</t>
        </is>
      </c>
      <c r="F8" t="inlineStr">
        <is>
          <t>Acetohydroxamic acid</t>
        </is>
      </c>
      <c r="H8" t="inlineStr">
        <is>
          <t>American Samoa</t>
        </is>
      </c>
      <c r="I8" t="inlineStr">
        <is>
          <t>Disclaimers</t>
        </is>
      </c>
      <c r="J8" t="inlineStr">
        <is>
          <t>ACT Flammability Guidelines Compliant</t>
        </is>
      </c>
      <c r="L8" t="inlineStr">
        <is>
          <t>English (United Kingdom)</t>
        </is>
      </c>
      <c r="N8" t="inlineStr">
        <is>
          <t>Floating mount</t>
        </is>
      </c>
      <c r="O8" t="inlineStr">
        <is>
          <t>Manufactured Wood</t>
        </is>
      </c>
      <c r="P8" t="inlineStr">
        <is>
          <t>No Distressing</t>
        </is>
      </c>
      <c r="U8" t="inlineStr">
        <is>
          <t>Pocket Joint</t>
        </is>
      </c>
      <c r="V8" t="inlineStr">
        <is>
          <t>Camphor</t>
        </is>
      </c>
      <c r="W8" t="inlineStr">
        <is>
          <t>Lead Acid (Spillable)</t>
        </is>
      </c>
      <c r="Y8" t="inlineStr">
        <is>
          <t>8</t>
        </is>
      </c>
      <c r="AA8" t="inlineStr">
        <is>
          <t>Does Not Apply</t>
        </is>
      </c>
      <c r="AB8" t="inlineStr">
        <is>
          <t>Does Not Apply</t>
        </is>
      </c>
      <c r="AD8" t="inlineStr">
        <is>
          <t>Do not use a fabric softener</t>
        </is>
      </c>
      <c r="AE8" t="inlineStr">
        <is>
          <t>Marble</t>
        </is>
      </c>
      <c r="AF8" t="inlineStr">
        <is>
          <t>Polished Nickel</t>
        </is>
      </c>
      <c r="AG8" t="inlineStr">
        <is>
          <t>Metal Slide</t>
        </is>
      </c>
      <c r="AH8" t="inlineStr">
        <is>
          <t>B-Vent</t>
        </is>
      </c>
      <c r="AI8" t="inlineStr">
        <is>
          <t>Wood Burning</t>
        </is>
      </c>
      <c r="AJ8" t="inlineStr">
        <is>
          <t>Frosted</t>
        </is>
      </c>
      <c r="AK8" t="inlineStr">
        <is>
          <t>Fireplace Remote</t>
        </is>
      </c>
      <c r="AT8" t="inlineStr">
        <is>
          <t>UN1013</t>
        </is>
      </c>
      <c r="AU8" t="inlineStr">
        <is>
          <t>3</t>
        </is>
      </c>
      <c r="AW8" t="inlineStr">
        <is>
          <t>&gt;125ml - ≤500ml</t>
        </is>
      </c>
      <c r="AY8" t="inlineStr">
        <is>
          <t>DBI Certification Ltd</t>
        </is>
      </c>
      <c r="BC8" t="inlineStr">
        <is>
          <t>55"</t>
        </is>
      </c>
      <c r="BE8" t="inlineStr">
        <is>
          <t>Power Drill</t>
        </is>
      </c>
      <c r="BF8" t="inlineStr">
        <is>
          <t>3 Years</t>
        </is>
      </c>
      <c r="BH8" t="inlineStr">
        <is>
          <t>3 Years</t>
        </is>
      </c>
    </row>
    <row r="9">
      <c r="C9" t="inlineStr">
        <is>
          <t>92.5</t>
        </is>
      </c>
      <c r="D9" t="inlineStr">
        <is>
          <t>168</t>
        </is>
      </c>
      <c r="F9" t="inlineStr">
        <is>
          <t>2-Acetylaminofluorene</t>
        </is>
      </c>
      <c r="H9" t="inlineStr">
        <is>
          <t>Andorra</t>
        </is>
      </c>
      <c r="I9" t="inlineStr">
        <is>
          <t>Buying Guides</t>
        </is>
      </c>
      <c r="J9" t="inlineStr">
        <is>
          <t>AHAM CADR Dust rating</t>
        </is>
      </c>
      <c r="L9" t="inlineStr">
        <is>
          <t>English (United States)</t>
        </is>
      </c>
      <c r="N9" t="inlineStr">
        <is>
          <t>Standard</t>
        </is>
      </c>
      <c r="O9" t="inlineStr">
        <is>
          <t>Leather</t>
        </is>
      </c>
      <c r="P9" t="inlineStr">
        <is>
          <t>Distressed Metal</t>
        </is>
      </c>
      <c r="U9" t="inlineStr">
        <is>
          <t>Cam Bolt</t>
        </is>
      </c>
      <c r="V9" t="inlineStr">
        <is>
          <t>Cedar</t>
        </is>
      </c>
      <c r="W9" t="inlineStr">
        <is>
          <t>Lead Acid (Non-Spillable)</t>
        </is>
      </c>
      <c r="Y9" t="inlineStr">
        <is>
          <t>10</t>
        </is>
      </c>
      <c r="AD9" t="inlineStr">
        <is>
          <t>Cold wash</t>
        </is>
      </c>
      <c r="AE9" t="inlineStr">
        <is>
          <t>Solid + Manufactured Wood</t>
        </is>
      </c>
      <c r="AF9" t="inlineStr">
        <is>
          <t>Stainless Steel</t>
        </is>
      </c>
      <c r="AG9" t="inlineStr">
        <is>
          <t>0.5 Extension</t>
        </is>
      </c>
      <c r="AH9" t="inlineStr">
        <is>
          <t>Does Not Apply</t>
        </is>
      </c>
      <c r="AI9" t="inlineStr">
        <is>
          <t>Gel Fuel</t>
        </is>
      </c>
      <c r="AJ9" t="inlineStr">
        <is>
          <t>Insulated</t>
        </is>
      </c>
      <c r="AK9" t="inlineStr">
        <is>
          <t>Integrated TV Mount</t>
        </is>
      </c>
      <c r="AT9" t="inlineStr">
        <is>
          <t>UN3082</t>
        </is>
      </c>
      <c r="AU9" t="inlineStr">
        <is>
          <t>4.1</t>
        </is>
      </c>
      <c r="AW9" t="inlineStr">
        <is>
          <t>&gt;25 - ≤125ml</t>
        </is>
      </c>
      <c r="AY9" t="inlineStr">
        <is>
          <t>UL Listed</t>
        </is>
      </c>
      <c r="BC9" t="inlineStr">
        <is>
          <t>50"</t>
        </is>
      </c>
      <c r="BE9" t="inlineStr">
        <is>
          <t>Hammer</t>
        </is>
      </c>
      <c r="BF9" t="inlineStr">
        <is>
          <t>5 Years</t>
        </is>
      </c>
      <c r="BH9" t="inlineStr">
        <is>
          <t>5 Years</t>
        </is>
      </c>
    </row>
    <row r="10">
      <c r="C10" t="inlineStr">
        <is>
          <t>100</t>
        </is>
      </c>
      <c r="D10" t="inlineStr">
        <is>
          <t>192</t>
        </is>
      </c>
      <c r="F10" t="inlineStr">
        <is>
          <t>Acifluorfen sodium</t>
        </is>
      </c>
      <c r="H10" t="inlineStr">
        <is>
          <t>Angola</t>
        </is>
      </c>
      <c r="I10" t="inlineStr">
        <is>
          <t>Promotions</t>
        </is>
      </c>
      <c r="J10" t="inlineStr">
        <is>
          <t>AHAM CADR Pollen rating</t>
        </is>
      </c>
      <c r="L10" t="inlineStr">
        <is>
          <t>Spanish</t>
        </is>
      </c>
      <c r="N10" t="inlineStr">
        <is>
          <t>Demilune</t>
        </is>
      </c>
      <c r="O10" t="inlineStr">
        <is>
          <t>Bamboo</t>
        </is>
      </c>
      <c r="P10" t="inlineStr">
        <is>
          <t>Worn/Fade</t>
        </is>
      </c>
      <c r="U10" t="inlineStr">
        <is>
          <t>Dowel Joint</t>
        </is>
      </c>
      <c r="V10" t="inlineStr">
        <is>
          <t>Cherry</t>
        </is>
      </c>
      <c r="W10" t="inlineStr">
        <is>
          <t>Silver Oxide</t>
        </is>
      </c>
      <c r="Y10" t="inlineStr">
        <is>
          <t>4</t>
        </is>
      </c>
      <c r="AD10" t="inlineStr">
        <is>
          <t>Sweep / Dust Mop</t>
        </is>
      </c>
      <c r="AE10" t="inlineStr">
        <is>
          <t>Wood</t>
        </is>
      </c>
      <c r="AF10" t="inlineStr">
        <is>
          <t>Bronze</t>
        </is>
      </c>
      <c r="AG10" t="inlineStr">
        <is>
          <t>Wood Slide</t>
        </is>
      </c>
      <c r="AI10" t="inlineStr">
        <is>
          <t>Bio-Ethanol</t>
        </is>
      </c>
      <c r="AJ10" t="inlineStr">
        <is>
          <t>Contoured</t>
        </is>
      </c>
      <c r="AK10" t="inlineStr">
        <is>
          <t>Interior Shelves</t>
        </is>
      </c>
      <c r="AT10" t="inlineStr">
        <is>
          <t>UN3077</t>
        </is>
      </c>
      <c r="AU10" t="inlineStr">
        <is>
          <t>4.3</t>
        </is>
      </c>
      <c r="AW10" t="inlineStr">
        <is>
          <t>&gt;1kg - ≤5kg</t>
        </is>
      </c>
      <c r="AY10" t="inlineStr">
        <is>
          <t>cETL Listed</t>
        </is>
      </c>
      <c r="BC10" t="inlineStr">
        <is>
          <t>58"</t>
        </is>
      </c>
      <c r="BE10" t="inlineStr">
        <is>
          <t>Pliers</t>
        </is>
      </c>
      <c r="BF10" t="inlineStr">
        <is>
          <t>10 Years</t>
        </is>
      </c>
      <c r="BH10" t="inlineStr">
        <is>
          <t>10 Years</t>
        </is>
      </c>
    </row>
    <row r="11">
      <c r="C11" t="inlineStr">
        <is>
          <t>110</t>
        </is>
      </c>
      <c r="D11" t="inlineStr">
        <is>
          <t>216</t>
        </is>
      </c>
      <c r="F11" t="inlineStr">
        <is>
          <t>Acrylamide</t>
        </is>
      </c>
      <c r="H11" t="inlineStr">
        <is>
          <t>Anguilla</t>
        </is>
      </c>
      <c r="I11" t="inlineStr">
        <is>
          <t>Dimensions</t>
        </is>
      </c>
      <c r="J11" t="inlineStr">
        <is>
          <t>AHAM CADR Smoke rating</t>
        </is>
      </c>
      <c r="L11" t="inlineStr">
        <is>
          <t>Finnish</t>
        </is>
      </c>
      <c r="N11" t="inlineStr">
        <is>
          <t>Nesting</t>
        </is>
      </c>
      <c r="O11" t="inlineStr">
        <is>
          <t>Ceramic</t>
        </is>
      </c>
      <c r="P11" t="inlineStr">
        <is>
          <t>Wood Scoring &amp; Rub Through</t>
        </is>
      </c>
      <c r="U11" t="inlineStr">
        <is>
          <t>Half-Lap</t>
        </is>
      </c>
      <c r="V11" t="inlineStr">
        <is>
          <t>Elm</t>
        </is>
      </c>
      <c r="W11" t="inlineStr">
        <is>
          <t>Does Not Apply</t>
        </is>
      </c>
      <c r="Y11" t="inlineStr">
        <is>
          <t>9</t>
        </is>
      </c>
      <c r="AD11" t="inlineStr">
        <is>
          <t>Cut loose threads using a scissor</t>
        </is>
      </c>
      <c r="AE11" t="inlineStr">
        <is>
          <t>Clear Glass</t>
        </is>
      </c>
      <c r="AF11" t="inlineStr">
        <is>
          <t>Chrome</t>
        </is>
      </c>
      <c r="AG11" t="inlineStr">
        <is>
          <t>Center Slides</t>
        </is>
      </c>
      <c r="AI11" t="inlineStr">
        <is>
          <t>Propane</t>
        </is>
      </c>
      <c r="AJ11" t="inlineStr">
        <is>
          <t>Tinted</t>
        </is>
      </c>
      <c r="AK11" t="inlineStr">
        <is>
          <t>Media Storage</t>
        </is>
      </c>
      <c r="AT11" t="inlineStr">
        <is>
          <t>UN3480</t>
        </is>
      </c>
      <c r="AU11" t="inlineStr">
        <is>
          <t>4.2</t>
        </is>
      </c>
      <c r="AW11" t="inlineStr">
        <is>
          <t>&gt;5L</t>
        </is>
      </c>
      <c r="AY11" t="inlineStr">
        <is>
          <t>CSA Certified</t>
        </is>
      </c>
      <c r="BC11" t="inlineStr">
        <is>
          <t>65"</t>
        </is>
      </c>
      <c r="BE11" t="inlineStr">
        <is>
          <t>Ratchet</t>
        </is>
      </c>
      <c r="BF11" t="inlineStr">
        <is>
          <t>20 Years</t>
        </is>
      </c>
      <c r="BH11" t="inlineStr">
        <is>
          <t>20 Years</t>
        </is>
      </c>
    </row>
    <row r="12">
      <c r="C12" t="inlineStr">
        <is>
          <t>125</t>
        </is>
      </c>
      <c r="D12" t="inlineStr">
        <is>
          <t>240</t>
        </is>
      </c>
      <c r="F12" t="inlineStr">
        <is>
          <t>Acrylonitrile</t>
        </is>
      </c>
      <c r="H12" t="inlineStr">
        <is>
          <t>Antarctica</t>
        </is>
      </c>
      <c r="I12" t="inlineStr">
        <is>
          <t>Marketing Materials</t>
        </is>
      </c>
      <c r="J12" t="inlineStr">
        <is>
          <t>AHMA Certified</t>
        </is>
      </c>
      <c r="L12" t="inlineStr">
        <is>
          <t>French (Canada)</t>
        </is>
      </c>
      <c r="N12" t="inlineStr">
        <is>
          <t>Apothecary</t>
        </is>
      </c>
      <c r="O12" t="inlineStr">
        <is>
          <t>Faux Leather</t>
        </is>
      </c>
      <c r="P12" t="inlineStr">
        <is>
          <t>Unavailable</t>
        </is>
      </c>
      <c r="U12" t="inlineStr">
        <is>
          <t>Box</t>
        </is>
      </c>
      <c r="V12" t="inlineStr">
        <is>
          <t>Eucalyptus</t>
        </is>
      </c>
      <c r="Y12" t="inlineStr">
        <is>
          <t>Unavailable</t>
        </is>
      </c>
      <c r="AD12" t="inlineStr">
        <is>
          <t>Clean with soap and water</t>
        </is>
      </c>
      <c r="AE12" t="inlineStr">
        <is>
          <t>Stone</t>
        </is>
      </c>
      <c r="AF12" t="inlineStr">
        <is>
          <t>Oil Rubbed Bronze</t>
        </is>
      </c>
      <c r="AG12" t="inlineStr">
        <is>
          <t>Kenlin</t>
        </is>
      </c>
      <c r="AI12" t="inlineStr">
        <is>
          <t>Butane</t>
        </is>
      </c>
      <c r="AJ12" t="inlineStr">
        <is>
          <t>See Through</t>
        </is>
      </c>
      <c r="AK12" t="inlineStr">
        <is>
          <t>Pier / Bookcase</t>
        </is>
      </c>
      <c r="AT12" t="inlineStr">
        <is>
          <t>UN2857</t>
        </is>
      </c>
      <c r="AU12" t="inlineStr">
        <is>
          <t>5.1</t>
        </is>
      </c>
      <c r="AW12" t="inlineStr">
        <is>
          <t>&gt;5kg</t>
        </is>
      </c>
      <c r="AY12" t="inlineStr">
        <is>
          <t>SGS North America Listed</t>
        </is>
      </c>
      <c r="BC12" t="inlineStr">
        <is>
          <t>75"</t>
        </is>
      </c>
      <c r="BE12" t="inlineStr">
        <is>
          <t>Utility Saw</t>
        </is>
      </c>
      <c r="BF12" t="inlineStr">
        <is>
          <t>25 Years</t>
        </is>
      </c>
      <c r="BH12" t="inlineStr">
        <is>
          <t>25 Years</t>
        </is>
      </c>
    </row>
    <row r="13">
      <c r="C13" t="inlineStr">
        <is>
          <t>150</t>
        </is>
      </c>
      <c r="D13" t="inlineStr">
        <is>
          <t>360</t>
        </is>
      </c>
      <c r="F13" t="inlineStr">
        <is>
          <t>Actinomycin D</t>
        </is>
      </c>
      <c r="H13" t="inlineStr">
        <is>
          <t>Antigua and Barbuda</t>
        </is>
      </c>
      <c r="I13" t="inlineStr">
        <is>
          <t>Energy Guide</t>
        </is>
      </c>
      <c r="J13" t="inlineStr">
        <is>
          <t>AHMA Compliant</t>
        </is>
      </c>
      <c r="L13" t="inlineStr">
        <is>
          <t>Hungarian</t>
        </is>
      </c>
      <c r="N13" t="inlineStr">
        <is>
          <t>Multi-tiered</t>
        </is>
      </c>
      <c r="O13" t="inlineStr">
        <is>
          <t>Iron</t>
        </is>
      </c>
      <c r="U13" t="inlineStr">
        <is>
          <t>Lap</t>
        </is>
      </c>
      <c r="V13" t="inlineStr">
        <is>
          <t>Fir</t>
        </is>
      </c>
      <c r="Y13" t="inlineStr">
        <is>
          <t>Does Not Apply</t>
        </is>
      </c>
      <c r="AD13" t="inlineStr">
        <is>
          <t>Clean spills immediately</t>
        </is>
      </c>
      <c r="AE13" t="inlineStr">
        <is>
          <t>Glass</t>
        </is>
      </c>
      <c r="AF13" t="inlineStr">
        <is>
          <t>Matte Black</t>
        </is>
      </c>
      <c r="AG13" t="inlineStr">
        <is>
          <t>Side-Mounted Glides</t>
        </is>
      </c>
      <c r="AI13" t="inlineStr">
        <is>
          <t>Charcoal</t>
        </is>
      </c>
      <c r="AJ13" t="inlineStr">
        <is>
          <t>Double Pane</t>
        </is>
      </c>
      <c r="AK13" t="inlineStr">
        <is>
          <t>Sound Bar Shelf</t>
        </is>
      </c>
      <c r="AT13" t="inlineStr">
        <is>
          <t>UN3358</t>
        </is>
      </c>
      <c r="AU13" t="inlineStr">
        <is>
          <t>2.3</t>
        </is>
      </c>
      <c r="AW13" t="inlineStr">
        <is>
          <t>Does Not Apply</t>
        </is>
      </c>
      <c r="AY13" t="inlineStr">
        <is>
          <t>Does Not Apply</t>
        </is>
      </c>
      <c r="BC13" t="inlineStr">
        <is>
          <t>70"</t>
        </is>
      </c>
      <c r="BE13" t="inlineStr">
        <is>
          <t>Saw</t>
        </is>
      </c>
      <c r="BF13" t="inlineStr">
        <is>
          <t>Lifetime</t>
        </is>
      </c>
      <c r="BH13" t="inlineStr">
        <is>
          <t>Lifetime</t>
        </is>
      </c>
    </row>
    <row r="14">
      <c r="C14" t="inlineStr">
        <is>
          <t>175</t>
        </is>
      </c>
      <c r="D14" t="inlineStr">
        <is>
          <t>480</t>
        </is>
      </c>
      <c r="F14" t="inlineStr">
        <is>
          <t>AF-2;[2-(2-furyl)-3-(5-nitro-2-furyl)]acrylamide</t>
        </is>
      </c>
      <c r="H14" t="inlineStr">
        <is>
          <t>Argentina</t>
        </is>
      </c>
      <c r="I14" t="inlineStr">
        <is>
          <t>Other</t>
        </is>
      </c>
      <c r="J14" t="inlineStr">
        <is>
          <t>AHRI Certified</t>
        </is>
      </c>
      <c r="L14" t="inlineStr">
        <is>
          <t>Indonesian</t>
        </is>
      </c>
      <c r="N14" t="inlineStr">
        <is>
          <t>Floor</t>
        </is>
      </c>
      <c r="O14" t="inlineStr">
        <is>
          <t>Marble / Granite</t>
        </is>
      </c>
      <c r="U14" t="inlineStr">
        <is>
          <t>Double Dowelled</t>
        </is>
      </c>
      <c r="V14" t="inlineStr">
        <is>
          <t>Hickory</t>
        </is>
      </c>
      <c r="AD14" t="inlineStr">
        <is>
          <t>Dishwasher safe component</t>
        </is>
      </c>
      <c r="AE14" t="inlineStr">
        <is>
          <t>Melamine</t>
        </is>
      </c>
      <c r="AF14" t="inlineStr">
        <is>
          <t>Satin Nickel</t>
        </is>
      </c>
      <c r="AG14" t="inlineStr">
        <is>
          <t>Undermount Glides</t>
        </is>
      </c>
      <c r="AI14" t="inlineStr">
        <is>
          <t>Ethanol</t>
        </is>
      </c>
      <c r="AJ14" t="inlineStr">
        <is>
          <t>Does Not Apply</t>
        </is>
      </c>
      <c r="AK14" t="inlineStr">
        <is>
          <t>TV Anti-Tip Kit</t>
        </is>
      </c>
      <c r="AT14" t="inlineStr">
        <is>
          <t>UN3090</t>
        </is>
      </c>
      <c r="AU14" t="inlineStr">
        <is>
          <t>6.2</t>
        </is>
      </c>
      <c r="BC14" t="inlineStr">
        <is>
          <t>48"</t>
        </is>
      </c>
      <c r="BE14" t="inlineStr">
        <is>
          <t>Measuring Tape</t>
        </is>
      </c>
      <c r="BF14" t="inlineStr">
        <is>
          <t>15 Years</t>
        </is>
      </c>
      <c r="BH14" t="inlineStr">
        <is>
          <t>Warranty length varies by part</t>
        </is>
      </c>
    </row>
    <row r="15">
      <c r="C15" t="inlineStr">
        <is>
          <t>200</t>
        </is>
      </c>
      <c r="D15" t="inlineStr">
        <is>
          <t>600</t>
        </is>
      </c>
      <c r="F15" t="inlineStr">
        <is>
          <t>Aflatoxins</t>
        </is>
      </c>
      <c r="H15" t="inlineStr">
        <is>
          <t>Armenia</t>
        </is>
      </c>
      <c r="I15" t="inlineStr">
        <is>
          <t>Product Information Sheet</t>
        </is>
      </c>
      <c r="J15" t="inlineStr">
        <is>
          <t>ANSI A117.1 Compliant</t>
        </is>
      </c>
      <c r="L15" t="inlineStr">
        <is>
          <t>Icelandic</t>
        </is>
      </c>
      <c r="N15" t="inlineStr">
        <is>
          <t>Corner</t>
        </is>
      </c>
      <c r="O15" t="inlineStr">
        <is>
          <t>Metal</t>
        </is>
      </c>
      <c r="U15" t="inlineStr">
        <is>
          <t>Bridle</t>
        </is>
      </c>
      <c r="V15" t="inlineStr">
        <is>
          <t>Mahogany</t>
        </is>
      </c>
      <c r="AD15" t="inlineStr">
        <is>
          <t>Lay flat to dry</t>
        </is>
      </c>
      <c r="AE15" t="inlineStr">
        <is>
          <t>Aluminum</t>
        </is>
      </c>
      <c r="AF15" t="inlineStr">
        <is>
          <t>Brushed Nickel</t>
        </is>
      </c>
      <c r="AG15" t="inlineStr">
        <is>
          <t>Euro Glides</t>
        </is>
      </c>
      <c r="AI15" t="inlineStr">
        <is>
          <t>Alcohol</t>
        </is>
      </c>
      <c r="AK15" t="inlineStr">
        <is>
          <t>Wheels / Casters</t>
        </is>
      </c>
      <c r="AT15" t="inlineStr">
        <is>
          <t>UN1266</t>
        </is>
      </c>
      <c r="AU15" t="inlineStr">
        <is>
          <t>9</t>
        </is>
      </c>
      <c r="BC15" t="inlineStr">
        <is>
          <t>43"</t>
        </is>
      </c>
      <c r="BE15" t="inlineStr">
        <is>
          <t>Mallet</t>
        </is>
      </c>
      <c r="BF15" t="inlineStr">
        <is>
          <t>4 Years</t>
        </is>
      </c>
      <c r="BH15" t="inlineStr">
        <is>
          <t>15 Years</t>
        </is>
      </c>
    </row>
    <row r="16">
      <c r="C16" t="inlineStr">
        <is>
          <t>250</t>
        </is>
      </c>
      <c r="D16" t="inlineStr">
        <is>
          <t>720</t>
        </is>
      </c>
      <c r="F16" t="inlineStr">
        <is>
          <t>Alachlor</t>
        </is>
      </c>
      <c r="H16" t="inlineStr">
        <is>
          <t>Aruba</t>
        </is>
      </c>
      <c r="I16" t="inlineStr">
        <is>
          <t>Digital Law Label</t>
        </is>
      </c>
      <c r="J16" t="inlineStr">
        <is>
          <t>ANSI A137.1 Compliant</t>
        </is>
      </c>
      <c r="L16" t="inlineStr">
        <is>
          <t>Italian</t>
        </is>
      </c>
      <c r="N16" t="inlineStr">
        <is>
          <t>Basket Storage</t>
        </is>
      </c>
      <c r="O16" t="inlineStr">
        <is>
          <t>Plastic / Acrylic</t>
        </is>
      </c>
      <c r="U16" t="inlineStr">
        <is>
          <t>Halved</t>
        </is>
      </c>
      <c r="V16" t="inlineStr">
        <is>
          <t>Mango</t>
        </is>
      </c>
      <c r="AD16" t="inlineStr">
        <is>
          <t>Dryer safe</t>
        </is>
      </c>
      <c r="AE16" t="inlineStr">
        <is>
          <t>Acrylic</t>
        </is>
      </c>
      <c r="AF16" t="inlineStr">
        <is>
          <t>Antique Brass</t>
        </is>
      </c>
      <c r="AG16" t="inlineStr">
        <is>
          <t>Unavailable</t>
        </is>
      </c>
      <c r="AI16" t="inlineStr">
        <is>
          <t>Does Not Apply</t>
        </is>
      </c>
      <c r="AK16" t="inlineStr">
        <is>
          <t>Cabinets</t>
        </is>
      </c>
      <c r="AT16" t="inlineStr">
        <is>
          <t>UN1993</t>
        </is>
      </c>
      <c r="AU16" t="inlineStr">
        <is>
          <t>8</t>
        </is>
      </c>
      <c r="BC16" t="inlineStr">
        <is>
          <t>88"</t>
        </is>
      </c>
      <c r="BE16" t="inlineStr">
        <is>
          <t>Level</t>
        </is>
      </c>
      <c r="BF16" t="inlineStr">
        <is>
          <t>18 Months</t>
        </is>
      </c>
      <c r="BH16" t="inlineStr">
        <is>
          <t>18 Months</t>
        </is>
      </c>
    </row>
    <row r="17">
      <c r="C17" t="inlineStr">
        <is>
          <t>300</t>
        </is>
      </c>
      <c r="D17" t="inlineStr">
        <is>
          <t>840</t>
        </is>
      </c>
      <c r="F17" t="inlineStr">
        <is>
          <t>Alcoholic beverages, when associated with alcohol abuse</t>
        </is>
      </c>
      <c r="H17" t="inlineStr">
        <is>
          <t>Australia</t>
        </is>
      </c>
      <c r="J17" t="inlineStr">
        <is>
          <t>ANSI IT9.2 Compliant</t>
        </is>
      </c>
      <c r="L17" t="inlineStr">
        <is>
          <t>Japanese</t>
        </is>
      </c>
      <c r="N17" t="inlineStr">
        <is>
          <t>Tabletop</t>
        </is>
      </c>
      <c r="O17" t="inlineStr">
        <is>
          <t>Teak</t>
        </is>
      </c>
      <c r="U17" t="inlineStr">
        <is>
          <t>Corner Block Reinforced</t>
        </is>
      </c>
      <c r="V17" t="inlineStr">
        <is>
          <t>Maple</t>
        </is>
      </c>
      <c r="AD17" t="inlineStr">
        <is>
          <t>Warm wash</t>
        </is>
      </c>
      <c r="AE17" t="inlineStr">
        <is>
          <t>Resin</t>
        </is>
      </c>
      <c r="AF17" t="inlineStr">
        <is>
          <t>Antique Bronze</t>
        </is>
      </c>
      <c r="AG17" t="inlineStr">
        <is>
          <t>Does Not Apply</t>
        </is>
      </c>
      <c r="AK17" t="inlineStr">
        <is>
          <t>Unavailable</t>
        </is>
      </c>
      <c r="AT17" t="inlineStr">
        <is>
          <t>UN1944</t>
        </is>
      </c>
      <c r="AU17" t="inlineStr">
        <is>
          <t>Does Not Apply</t>
        </is>
      </c>
      <c r="BC17" t="inlineStr">
        <is>
          <t>60"</t>
        </is>
      </c>
      <c r="BE17" t="inlineStr">
        <is>
          <t>Box Cutter</t>
        </is>
      </c>
      <c r="BF17" t="inlineStr">
        <is>
          <t>6 Years</t>
        </is>
      </c>
      <c r="BH17" t="inlineStr">
        <is>
          <t>12 Years</t>
        </is>
      </c>
    </row>
    <row r="18">
      <c r="C18" t="inlineStr">
        <is>
          <t>400</t>
        </is>
      </c>
      <c r="D18" t="inlineStr">
        <is>
          <t>960</t>
        </is>
      </c>
      <c r="F18" t="inlineStr">
        <is>
          <t>Aldrin</t>
        </is>
      </c>
      <c r="H18" t="inlineStr">
        <is>
          <t>Austria</t>
        </is>
      </c>
      <c r="J18" t="inlineStr">
        <is>
          <t>ANSI Z1.5A/CGA 9.1M Certified</t>
        </is>
      </c>
      <c r="L18" t="inlineStr">
        <is>
          <t>Korean</t>
        </is>
      </c>
      <c r="N18" t="inlineStr">
        <is>
          <t>Hanging</t>
        </is>
      </c>
      <c r="O18" t="inlineStr">
        <is>
          <t>Solid + Manufactured Wood</t>
        </is>
      </c>
      <c r="U18" t="inlineStr">
        <is>
          <t>Miter</t>
        </is>
      </c>
      <c r="V18" t="inlineStr">
        <is>
          <t>Oak</t>
        </is>
      </c>
      <c r="AD18" t="inlineStr">
        <is>
          <t>Non-Abrasive, Neutral Ph Cleaner</t>
        </is>
      </c>
      <c r="AE18" t="inlineStr">
        <is>
          <t>Tinted Glass</t>
        </is>
      </c>
      <c r="AF18" t="inlineStr">
        <is>
          <t>Copper</t>
        </is>
      </c>
      <c r="AK18" t="inlineStr">
        <is>
          <t>Does Not Apply</t>
        </is>
      </c>
      <c r="AT18" t="inlineStr">
        <is>
          <t>UN1070</t>
        </is>
      </c>
      <c r="BC18" t="inlineStr">
        <is>
          <t>78"</t>
        </is>
      </c>
      <c r="BE18" t="inlineStr">
        <is>
          <t>Caulk / Adhesive</t>
        </is>
      </c>
      <c r="BF18" t="inlineStr">
        <is>
          <t>7 Years</t>
        </is>
      </c>
      <c r="BH18" t="inlineStr">
        <is>
          <t>6 Years</t>
        </is>
      </c>
    </row>
    <row r="19">
      <c r="C19" t="inlineStr">
        <is>
          <t>500</t>
        </is>
      </c>
      <c r="F19" t="inlineStr">
        <is>
          <t>All-trans retinoic acid</t>
        </is>
      </c>
      <c r="H19" t="inlineStr">
        <is>
          <t>Azerbaijan</t>
        </is>
      </c>
      <c r="J19" t="inlineStr">
        <is>
          <t>ANSI Z124.1.2 Compliant</t>
        </is>
      </c>
      <c r="L19" t="inlineStr">
        <is>
          <t>Norwegian (Bokmål)</t>
        </is>
      </c>
      <c r="N19" t="inlineStr">
        <is>
          <t>Bombe</t>
        </is>
      </c>
      <c r="O19" t="inlineStr">
        <is>
          <t>Steel</t>
        </is>
      </c>
      <c r="U19" t="inlineStr">
        <is>
          <t>Unavailable</t>
        </is>
      </c>
      <c r="V19" t="inlineStr">
        <is>
          <t>Pine</t>
        </is>
      </c>
      <c r="AD19" t="inlineStr">
        <is>
          <t>Commercial dishwasher safe</t>
        </is>
      </c>
      <c r="AE19" t="inlineStr">
        <is>
          <t>Laminate</t>
        </is>
      </c>
      <c r="AF19" t="inlineStr">
        <is>
          <t>Antique Copper</t>
        </is>
      </c>
      <c r="AT19" t="inlineStr">
        <is>
          <t>UN1044</t>
        </is>
      </c>
      <c r="BC19" t="inlineStr">
        <is>
          <t>85"</t>
        </is>
      </c>
      <c r="BE19" t="inlineStr">
        <is>
          <t>Anchors / Stakes</t>
        </is>
      </c>
      <c r="BF19" t="inlineStr">
        <is>
          <t>8 Years</t>
        </is>
      </c>
      <c r="BH19" t="inlineStr">
        <is>
          <t>4 Years</t>
        </is>
      </c>
    </row>
    <row r="20">
      <c r="F20" t="inlineStr">
        <is>
          <t>Aloe Vera, non-decolorized whole leaf extract</t>
        </is>
      </c>
      <c r="H20" t="inlineStr">
        <is>
          <t>Bahamas</t>
        </is>
      </c>
      <c r="J20" t="inlineStr">
        <is>
          <t>ANSI Z124.3 Compliant</t>
        </is>
      </c>
      <c r="L20" t="inlineStr">
        <is>
          <t>Dutch</t>
        </is>
      </c>
      <c r="N20" t="inlineStr">
        <is>
          <t>Etagere</t>
        </is>
      </c>
      <c r="O20" t="inlineStr">
        <is>
          <t>Solid Wood</t>
        </is>
      </c>
      <c r="U20" t="inlineStr">
        <is>
          <t>Does Not Apply</t>
        </is>
      </c>
      <c r="V20" t="inlineStr">
        <is>
          <t>Poplar</t>
        </is>
      </c>
      <c r="AD20" t="inlineStr">
        <is>
          <t>Vacuum with no beater bar/rotating brush</t>
        </is>
      </c>
      <c r="AE20" t="inlineStr">
        <is>
          <t>Metal</t>
        </is>
      </c>
      <c r="AF20" t="inlineStr">
        <is>
          <t>Brushed Brass</t>
        </is>
      </c>
      <c r="AT20" t="inlineStr">
        <is>
          <t>UN3163</t>
        </is>
      </c>
      <c r="BC20" t="inlineStr">
        <is>
          <t>77"</t>
        </is>
      </c>
      <c r="BE20" t="inlineStr">
        <is>
          <t>Clamps</t>
        </is>
      </c>
      <c r="BF20" t="inlineStr">
        <is>
          <t>9 Years</t>
        </is>
      </c>
      <c r="BH20" t="inlineStr">
        <is>
          <t>8 Years</t>
        </is>
      </c>
    </row>
    <row r="21">
      <c r="F21" t="inlineStr">
        <is>
          <t>Alprazolam</t>
        </is>
      </c>
      <c r="H21" t="inlineStr">
        <is>
          <t>Bahrain</t>
        </is>
      </c>
      <c r="J21" t="inlineStr">
        <is>
          <t>ANSI Z124.6-97 Compliant</t>
        </is>
      </c>
      <c r="L21" t="inlineStr">
        <is>
          <t>Polish</t>
        </is>
      </c>
      <c r="N21" t="inlineStr">
        <is>
          <t>Wall Mounted</t>
        </is>
      </c>
      <c r="O21" t="inlineStr">
        <is>
          <t>Wicker</t>
        </is>
      </c>
      <c r="V21" t="inlineStr">
        <is>
          <t>Rosewood</t>
        </is>
      </c>
      <c r="AD21" t="inlineStr">
        <is>
          <t>Air / Line Dry</t>
        </is>
      </c>
      <c r="AE21" t="inlineStr">
        <is>
          <t>Wire</t>
        </is>
      </c>
      <c r="AF21" t="inlineStr">
        <is>
          <t>Polished Brass</t>
        </is>
      </c>
      <c r="AT21" t="inlineStr">
        <is>
          <t>UN1268</t>
        </is>
      </c>
      <c r="BE21" t="inlineStr">
        <is>
          <t>Drill Bit</t>
        </is>
      </c>
      <c r="BF21" t="inlineStr">
        <is>
          <t>12 Years</t>
        </is>
      </c>
      <c r="BH21" t="inlineStr">
        <is>
          <t>7 Years</t>
        </is>
      </c>
    </row>
    <row r="22">
      <c r="F22" t="inlineStr">
        <is>
          <t>Amantadine hydrochloride</t>
        </is>
      </c>
      <c r="H22" t="inlineStr">
        <is>
          <t>Bangladesh</t>
        </is>
      </c>
      <c r="J22" t="inlineStr">
        <is>
          <t>ANSI Z21.11.2-2016 - Gas-Fired Unvented Room Heaters and Gas-Fired Unvented Decorative Room Heaters</t>
        </is>
      </c>
      <c r="L22" t="inlineStr">
        <is>
          <t>Portuguese</t>
        </is>
      </c>
      <c r="N22" t="inlineStr">
        <is>
          <t>Double Walled</t>
        </is>
      </c>
      <c r="O22" t="inlineStr">
        <is>
          <t>Reclaimed Wood</t>
        </is>
      </c>
      <c r="V22" t="inlineStr">
        <is>
          <t>Rubberwood</t>
        </is>
      </c>
      <c r="AD22" t="inlineStr">
        <is>
          <t>Professional / Dry Clean Recommended</t>
        </is>
      </c>
      <c r="AE22" t="inlineStr">
        <is>
          <t>Mirrored</t>
        </is>
      </c>
      <c r="AF22" t="inlineStr">
        <is>
          <t>Brass</t>
        </is>
      </c>
      <c r="AT22" t="inlineStr">
        <is>
          <t>UN1760</t>
        </is>
      </c>
      <c r="BE22" t="inlineStr">
        <is>
          <t>Gloves</t>
        </is>
      </c>
      <c r="BF22" t="inlineStr">
        <is>
          <t>11 Years</t>
        </is>
      </c>
      <c r="BH22" t="inlineStr">
        <is>
          <t>Does Not Apply</t>
        </is>
      </c>
    </row>
    <row r="23">
      <c r="F23" t="inlineStr">
        <is>
          <t>Amikacin sulfate</t>
        </is>
      </c>
      <c r="H23" t="inlineStr">
        <is>
          <t>Barbados</t>
        </is>
      </c>
      <c r="J23" t="inlineStr">
        <is>
          <t>ANSI Z21.50-2016/CSA 2.22-2016 - Standard for Vented Decorative Gas Appliances</t>
        </is>
      </c>
      <c r="L23" t="inlineStr">
        <is>
          <t>Romanian</t>
        </is>
      </c>
      <c r="N23" t="inlineStr">
        <is>
          <t>Console</t>
        </is>
      </c>
      <c r="V23" t="inlineStr">
        <is>
          <t>Sheesham</t>
        </is>
      </c>
      <c r="AD23" t="inlineStr">
        <is>
          <t>Wash With Garden Hose Or Pressure Washer</t>
        </is>
      </c>
      <c r="AE23" t="inlineStr">
        <is>
          <t>Plastic</t>
        </is>
      </c>
      <c r="AF23" t="inlineStr">
        <is>
          <t>Satin Brass</t>
        </is>
      </c>
      <c r="AT23" t="inlineStr">
        <is>
          <t>UN1011</t>
        </is>
      </c>
      <c r="BE23" t="inlineStr">
        <is>
          <t>Hex Key</t>
        </is>
      </c>
      <c r="BF23" t="inlineStr">
        <is>
          <t>13 Years</t>
        </is>
      </c>
    </row>
    <row r="24">
      <c r="F24" t="inlineStr">
        <is>
          <t>2-Aminoanthraquinone</t>
        </is>
      </c>
      <c r="H24" t="inlineStr">
        <is>
          <t>Belarus</t>
        </is>
      </c>
      <c r="J24" t="inlineStr">
        <is>
          <t>ANSI Z21.60-2017/CSA 2.26-2017- Standard for Decorative Gas Appliances</t>
        </is>
      </c>
      <c r="L24" t="inlineStr">
        <is>
          <t>Russian</t>
        </is>
      </c>
      <c r="N24" t="inlineStr">
        <is>
          <t>Pedestal</t>
        </is>
      </c>
      <c r="V24" t="inlineStr">
        <is>
          <t>Spruce</t>
        </is>
      </c>
      <c r="AD24" t="inlineStr">
        <is>
          <t>Machine washable components</t>
        </is>
      </c>
      <c r="AE24" t="inlineStr">
        <is>
          <t>Manufactured Wood</t>
        </is>
      </c>
      <c r="AF24" t="inlineStr">
        <is>
          <t>Brushed Gold</t>
        </is>
      </c>
      <c r="AT24" t="inlineStr">
        <is>
          <t>UN2794</t>
        </is>
      </c>
      <c r="BE24" t="inlineStr">
        <is>
          <t>Glass Cutter</t>
        </is>
      </c>
      <c r="BF24" t="inlineStr">
        <is>
          <t>14 Years</t>
        </is>
      </c>
    </row>
    <row r="25">
      <c r="F25" t="inlineStr">
        <is>
          <t>p-Aminoazobenzene</t>
        </is>
      </c>
      <c r="H25" t="inlineStr">
        <is>
          <t>Belgium</t>
        </is>
      </c>
      <c r="J25" t="inlineStr">
        <is>
          <t>ANSI Z21.84-2017 - Standard for Manually Lighted/ Natural Gas/ Decorative Gas Appliances</t>
        </is>
      </c>
      <c r="L25" t="inlineStr">
        <is>
          <t>Slovak</t>
        </is>
      </c>
      <c r="N25" t="inlineStr">
        <is>
          <t>Unavailable</t>
        </is>
      </c>
      <c r="V25" t="inlineStr">
        <is>
          <t>Teak</t>
        </is>
      </c>
      <c r="AD25" t="inlineStr">
        <is>
          <t>Professional / Dry Clean Only</t>
        </is>
      </c>
      <c r="AE25" t="inlineStr">
        <is>
          <t>Glass / Polycarbonate</t>
        </is>
      </c>
      <c r="AF25" t="inlineStr">
        <is>
          <t>Nickel</t>
        </is>
      </c>
      <c r="AT25" t="inlineStr">
        <is>
          <t>UN1759</t>
        </is>
      </c>
      <c r="BE25" t="inlineStr">
        <is>
          <t>Chop Saw</t>
        </is>
      </c>
      <c r="BF25" t="inlineStr">
        <is>
          <t>No Commercial Warranty</t>
        </is>
      </c>
    </row>
    <row r="26">
      <c r="F26" t="inlineStr">
        <is>
          <t>o-Aminoazotoluene</t>
        </is>
      </c>
      <c r="H26" t="inlineStr">
        <is>
          <t>Belize</t>
        </is>
      </c>
      <c r="J26" t="inlineStr">
        <is>
          <t>ANSI Z21.88-2017/CSA 2.33-2017- Standard for Vented Gas Fireplace Heaters</t>
        </is>
      </c>
      <c r="L26" t="inlineStr">
        <is>
          <t>Swedish</t>
        </is>
      </c>
      <c r="N26" t="inlineStr">
        <is>
          <t>Does Not Apply</t>
        </is>
      </c>
      <c r="V26" t="inlineStr">
        <is>
          <t>Walnut</t>
        </is>
      </c>
      <c r="AD26" t="inlineStr">
        <is>
          <t>Vacuum with upholstery attachment</t>
        </is>
      </c>
      <c r="AE26" t="inlineStr">
        <is>
          <t>Wicker</t>
        </is>
      </c>
      <c r="AF26" t="inlineStr">
        <is>
          <t>Ivory</t>
        </is>
      </c>
      <c r="AT26" t="inlineStr">
        <is>
          <t>UN3171</t>
        </is>
      </c>
      <c r="BE26" t="inlineStr">
        <is>
          <t>Circular Saw</t>
        </is>
      </c>
      <c r="BF26" t="inlineStr">
        <is>
          <t>Does Not Apply</t>
        </is>
      </c>
    </row>
    <row r="27">
      <c r="F27" t="inlineStr">
        <is>
          <t>4-Aminobiphenyl (4-aminodiphenyl)</t>
        </is>
      </c>
      <c r="H27" t="inlineStr">
        <is>
          <t>Benin</t>
        </is>
      </c>
      <c r="J27" t="inlineStr">
        <is>
          <t>ANSI Z358 Compliant</t>
        </is>
      </c>
      <c r="L27" t="inlineStr">
        <is>
          <t>Ukrainian</t>
        </is>
      </c>
      <c r="V27" t="inlineStr">
        <is>
          <t>Wenge</t>
        </is>
      </c>
      <c r="AD27" t="inlineStr">
        <is>
          <t>Vacuum with beater bar/rotating brush</t>
        </is>
      </c>
      <c r="AE27" t="inlineStr">
        <is>
          <t>Iron</t>
        </is>
      </c>
      <c r="AF27" t="inlineStr">
        <is>
          <t>Green</t>
        </is>
      </c>
      <c r="AT27" t="inlineStr">
        <is>
          <t>UN1987</t>
        </is>
      </c>
      <c r="BE27" t="inlineStr">
        <is>
          <t>Phillips Head Screwdriver</t>
        </is>
      </c>
    </row>
    <row r="28">
      <c r="F28" t="inlineStr">
        <is>
          <t>1-Amino-2,4-dibromoanthraquinone</t>
        </is>
      </c>
      <c r="H28" t="inlineStr">
        <is>
          <t>Bermuda</t>
        </is>
      </c>
      <c r="J28" t="inlineStr">
        <is>
          <t>ANSI/BHMA A156 Certified</t>
        </is>
      </c>
      <c r="L28" t="inlineStr">
        <is>
          <t>Vietnamese</t>
        </is>
      </c>
      <c r="V28" t="inlineStr">
        <is>
          <t>Pecan</t>
        </is>
      </c>
      <c r="AD28" t="inlineStr">
        <is>
          <t>Clean with bleach and water</t>
        </is>
      </c>
      <c r="AE28" t="inlineStr">
        <is>
          <t>Solid Wood</t>
        </is>
      </c>
      <c r="AF28" t="inlineStr">
        <is>
          <t>Orange</t>
        </is>
      </c>
      <c r="AT28" t="inlineStr">
        <is>
          <t>UN1263</t>
        </is>
      </c>
      <c r="BE28" t="inlineStr">
        <is>
          <t>Crescent Wrench</t>
        </is>
      </c>
    </row>
    <row r="29">
      <c r="F29" t="inlineStr">
        <is>
          <t>3-Amino-9-ethylcarbazole hydrochloride</t>
        </is>
      </c>
      <c r="H29" t="inlineStr">
        <is>
          <t>Bhutan</t>
        </is>
      </c>
      <c r="J29" t="inlineStr">
        <is>
          <t>ANSI/BIFMA M7.1 Standard Test Method for Determining VOC Emissions</t>
        </is>
      </c>
      <c r="L29" t="inlineStr">
        <is>
          <t>Chinese (S)</t>
        </is>
      </c>
      <c r="V29" t="inlineStr">
        <is>
          <t>Shorea</t>
        </is>
      </c>
      <c r="AD29" t="inlineStr">
        <is>
          <t>Use product specific cleaner</t>
        </is>
      </c>
      <c r="AE29" t="inlineStr">
        <is>
          <t>Granite</t>
        </is>
      </c>
      <c r="AF29" t="inlineStr">
        <is>
          <t>Beige</t>
        </is>
      </c>
      <c r="AT29" t="inlineStr">
        <is>
          <t>UN1170</t>
        </is>
      </c>
      <c r="BE29" t="inlineStr">
        <is>
          <t>Flat Screwdriver</t>
        </is>
      </c>
    </row>
    <row r="30">
      <c r="F30" t="inlineStr">
        <is>
          <t>2-Aminofluorene</t>
        </is>
      </c>
      <c r="H30" t="inlineStr">
        <is>
          <t>Bolivia</t>
        </is>
      </c>
      <c r="J30" t="inlineStr">
        <is>
          <t>ANSI/BIFMA X5.1 Office Seating</t>
        </is>
      </c>
      <c r="L30" t="inlineStr">
        <is>
          <t>Chinese (T)</t>
        </is>
      </c>
      <c r="V30" t="inlineStr">
        <is>
          <t>Paulownia</t>
        </is>
      </c>
      <c r="AD30" t="inlineStr">
        <is>
          <t>Oil / seal / treat regularly</t>
        </is>
      </c>
      <c r="AE30" t="inlineStr">
        <is>
          <t>Unavailable</t>
        </is>
      </c>
      <c r="AF30" t="inlineStr">
        <is>
          <t>Teal</t>
        </is>
      </c>
      <c r="AT30" t="inlineStr">
        <is>
          <t>UN3265</t>
        </is>
      </c>
      <c r="BE30" t="inlineStr">
        <is>
          <t>Adhesive Roller / Tray</t>
        </is>
      </c>
    </row>
    <row r="31">
      <c r="F31" t="inlineStr">
        <is>
          <t>Aminoglutethimide</t>
        </is>
      </c>
      <c r="H31" t="inlineStr">
        <is>
          <t>Bosnia and Herzegovina</t>
        </is>
      </c>
      <c r="J31" t="inlineStr">
        <is>
          <t>ANSI/BIFMA X5.11 Large Occupant Office Seating</t>
        </is>
      </c>
      <c r="V31" t="inlineStr">
        <is>
          <t>Chestnut</t>
        </is>
      </c>
      <c r="AD31" t="inlineStr">
        <is>
          <t>Shake to remove dust</t>
        </is>
      </c>
      <c r="AE31" t="inlineStr">
        <is>
          <t>Does Not Apply</t>
        </is>
      </c>
      <c r="AF31" t="inlineStr">
        <is>
          <t>Red</t>
        </is>
      </c>
      <c r="AT31" t="inlineStr">
        <is>
          <t>UN3260</t>
        </is>
      </c>
      <c r="BE31" t="inlineStr">
        <is>
          <t>Shovel</t>
        </is>
      </c>
    </row>
    <row r="32">
      <c r="F32" t="inlineStr">
        <is>
          <t>Aminoglycosides</t>
        </is>
      </c>
      <c r="H32" t="inlineStr">
        <is>
          <t>Botswana</t>
        </is>
      </c>
      <c r="J32" t="inlineStr">
        <is>
          <t>ANSI/BIFMA X5.3 Vertical Files</t>
        </is>
      </c>
      <c r="V32" t="inlineStr">
        <is>
          <t>Hemlock</t>
        </is>
      </c>
      <c r="AD32" t="inlineStr">
        <is>
          <t>Tumble dry</t>
        </is>
      </c>
      <c r="AF32" t="inlineStr">
        <is>
          <t>Satin</t>
        </is>
      </c>
      <c r="AT32" t="inlineStr">
        <is>
          <t>UN3215</t>
        </is>
      </c>
      <c r="BE32" t="inlineStr">
        <is>
          <t>Drill</t>
        </is>
      </c>
    </row>
    <row r="33">
      <c r="F33" t="inlineStr">
        <is>
          <t>1-Amino-2-methylanthraquinone</t>
        </is>
      </c>
      <c r="H33" t="inlineStr">
        <is>
          <t>Bouvet Island</t>
        </is>
      </c>
      <c r="J33" t="inlineStr">
        <is>
          <t>ANSI/BIFMA X5.4 Lounge &amp; Public Seating</t>
        </is>
      </c>
      <c r="V33" t="inlineStr">
        <is>
          <t>Aspen</t>
        </is>
      </c>
      <c r="AD33" t="inlineStr">
        <is>
          <t>Iron safe</t>
        </is>
      </c>
      <c r="AF33" t="inlineStr">
        <is>
          <t>Yellow</t>
        </is>
      </c>
      <c r="AT33" t="inlineStr">
        <is>
          <t>UN1006</t>
        </is>
      </c>
      <c r="BE33" t="inlineStr">
        <is>
          <t>Smoother / Squeegee</t>
        </is>
      </c>
    </row>
    <row r="34">
      <c r="F34" t="inlineStr">
        <is>
          <t>2-Amino-5-(5-nitro-2-furyl)-1,3,4-thiadiazole</t>
        </is>
      </c>
      <c r="H34" t="inlineStr">
        <is>
          <t>Brazil</t>
        </is>
      </c>
      <c r="J34" t="inlineStr">
        <is>
          <t>ANSI/BIFMA X5.5 Desk Products</t>
        </is>
      </c>
      <c r="V34" t="inlineStr">
        <is>
          <t>Mindi</t>
        </is>
      </c>
      <c r="AD34" t="inlineStr">
        <is>
          <t>Wipe clean with a dry cloth</t>
        </is>
      </c>
      <c r="AF34" t="inlineStr">
        <is>
          <t>Pink</t>
        </is>
      </c>
      <c r="AT34" t="inlineStr">
        <is>
          <t>UN3175</t>
        </is>
      </c>
      <c r="BE34" t="inlineStr">
        <is>
          <t>Ladder</t>
        </is>
      </c>
    </row>
    <row r="35">
      <c r="F35" t="inlineStr">
        <is>
          <t>4-Amino-2-nitrophenol</t>
        </is>
      </c>
      <c r="H35" t="inlineStr">
        <is>
          <t>British Indian Ocean Territory</t>
        </is>
      </c>
      <c r="J35" t="inlineStr">
        <is>
          <t>ANSI/BIFMA X5.6 Panel Systems</t>
        </is>
      </c>
      <c r="V35" t="inlineStr">
        <is>
          <t>Ipe</t>
        </is>
      </c>
      <c r="AD35" t="inlineStr">
        <is>
          <t>Cover when not in use</t>
        </is>
      </c>
      <c r="AF35" t="inlineStr">
        <is>
          <t>White</t>
        </is>
      </c>
      <c r="AT35" t="inlineStr">
        <is>
          <t>Does Not Apply</t>
        </is>
      </c>
      <c r="BE35" t="inlineStr">
        <is>
          <t>Wire Stripper</t>
        </is>
      </c>
    </row>
    <row r="36">
      <c r="F36" t="inlineStr">
        <is>
          <t>Aminopterin</t>
        </is>
      </c>
      <c r="H36" t="inlineStr">
        <is>
          <t>Brunei Darussalam</t>
        </is>
      </c>
      <c r="J36" t="inlineStr">
        <is>
          <t>ANSI/BIFMA X5.9 Storage</t>
        </is>
      </c>
      <c r="V36" t="inlineStr">
        <is>
          <t>Olive</t>
        </is>
      </c>
      <c r="AD36" t="inlineStr">
        <is>
          <t>Avoid use of abrasive cleaners</t>
        </is>
      </c>
      <c r="AF36" t="inlineStr">
        <is>
          <t>Brown</t>
        </is>
      </c>
      <c r="BE36" t="inlineStr">
        <is>
          <t>Razor Knife</t>
        </is>
      </c>
    </row>
    <row r="37">
      <c r="F37" t="inlineStr">
        <is>
          <t>Amiodarone hydrochloride</t>
        </is>
      </c>
      <c r="H37" t="inlineStr">
        <is>
          <t>Bulgaria</t>
        </is>
      </c>
      <c r="J37" t="inlineStr">
        <is>
          <t>ANSI/BIFMA X6.1 Educational Seating</t>
        </is>
      </c>
      <c r="V37" t="inlineStr">
        <is>
          <t>Ajo</t>
        </is>
      </c>
      <c r="AD37" t="inlineStr">
        <is>
          <t>Tile specific cleaner</t>
        </is>
      </c>
      <c r="AF37" t="inlineStr">
        <is>
          <t>Blue</t>
        </is>
      </c>
      <c r="BE37" t="inlineStr">
        <is>
          <t>Pencil</t>
        </is>
      </c>
    </row>
    <row r="38">
      <c r="F38" t="inlineStr">
        <is>
          <t>Amitraz</t>
        </is>
      </c>
      <c r="H38" t="inlineStr">
        <is>
          <t>Burkina Faso</t>
        </is>
      </c>
      <c r="J38" t="inlineStr">
        <is>
          <t>ANSI/BIFMA X7.1 Standard for Formaldehyde &amp; TVOC Emissions</t>
        </is>
      </c>
      <c r="V38" t="inlineStr">
        <is>
          <t>Agarwood</t>
        </is>
      </c>
      <c r="AD38" t="inlineStr">
        <is>
          <t>Do not wash</t>
        </is>
      </c>
      <c r="AF38" t="inlineStr">
        <is>
          <t>Satin Black</t>
        </is>
      </c>
      <c r="BE38" t="inlineStr">
        <is>
          <t>Electric Drill</t>
        </is>
      </c>
    </row>
    <row r="39">
      <c r="F39" t="inlineStr">
        <is>
          <t>Amitrole</t>
        </is>
      </c>
      <c r="H39" t="inlineStr">
        <is>
          <t>Burundi</t>
        </is>
      </c>
      <c r="J39" t="inlineStr">
        <is>
          <t>ANSI/ESD S20.20 Certified</t>
        </is>
      </c>
      <c r="V39" t="inlineStr">
        <is>
          <t>Afzelia</t>
        </is>
      </c>
      <c r="AD39" t="inlineStr">
        <is>
          <t>Dust mop</t>
        </is>
      </c>
      <c r="AF39" t="inlineStr">
        <is>
          <t>Rose Gold</t>
        </is>
      </c>
      <c r="BE39" t="inlineStr">
        <is>
          <t>Screw Gun</t>
        </is>
      </c>
    </row>
    <row r="40">
      <c r="F40" t="inlineStr">
        <is>
          <t>Amoxapine</t>
        </is>
      </c>
      <c r="H40" t="inlineStr">
        <is>
          <t>Cambodia</t>
        </is>
      </c>
      <c r="J40" t="inlineStr">
        <is>
          <t>ANSI/NISO Z39.48 Compliant</t>
        </is>
      </c>
      <c r="V40" t="inlineStr">
        <is>
          <t>Afrormosia</t>
        </is>
      </c>
      <c r="AD40" t="inlineStr">
        <is>
          <t>Hose down</t>
        </is>
      </c>
      <c r="AF40" t="inlineStr">
        <is>
          <t>Navy</t>
        </is>
      </c>
      <c r="BE40" t="inlineStr">
        <is>
          <t>Scissors</t>
        </is>
      </c>
    </row>
    <row r="41">
      <c r="F41" t="inlineStr">
        <is>
          <t>Amsacrine</t>
        </is>
      </c>
      <c r="H41" t="inlineStr">
        <is>
          <t>Cameroon</t>
        </is>
      </c>
      <c r="J41" t="inlineStr">
        <is>
          <t>ANSI/SOHO S6.5 Small Office/Home Office</t>
        </is>
      </c>
      <c r="V41" t="inlineStr">
        <is>
          <t>Bubinga</t>
        </is>
      </c>
      <c r="AD41" t="inlineStr">
        <is>
          <t>Towel dry immediately</t>
        </is>
      </c>
      <c r="AF41" t="inlineStr">
        <is>
          <t>Black</t>
        </is>
      </c>
      <c r="BE41" t="inlineStr">
        <is>
          <t>Ruler</t>
        </is>
      </c>
    </row>
    <row r="42">
      <c r="F42" t="inlineStr">
        <is>
          <t>Analgesic mixtures containing Phenacetin</t>
        </is>
      </c>
      <c r="H42" t="inlineStr">
        <is>
          <t>Cape Verde</t>
        </is>
      </c>
      <c r="J42" t="inlineStr">
        <is>
          <t>APMA Certified</t>
        </is>
      </c>
      <c r="V42" t="inlineStr">
        <is>
          <t>Brazilwood</t>
        </is>
      </c>
      <c r="AD42" t="inlineStr">
        <is>
          <t>Household floor cleaner</t>
        </is>
      </c>
      <c r="AF42" t="inlineStr">
        <is>
          <t>Tan</t>
        </is>
      </c>
      <c r="BE42" t="inlineStr">
        <is>
          <t>Safety Glasses</t>
        </is>
      </c>
    </row>
    <row r="43">
      <c r="F43" t="inlineStr">
        <is>
          <t>Androstenedione</t>
        </is>
      </c>
      <c r="H43" t="inlineStr">
        <is>
          <t>Cayman Islands</t>
        </is>
      </c>
      <c r="J43" t="inlineStr">
        <is>
          <t>ASHRAE 62.2 Standard Compliant</t>
        </is>
      </c>
      <c r="V43" t="inlineStr">
        <is>
          <t>Cumaru</t>
        </is>
      </c>
      <c r="AD43" t="inlineStr">
        <is>
          <t>Spot clean</t>
        </is>
      </c>
      <c r="AF43" t="inlineStr">
        <is>
          <t>Gray</t>
        </is>
      </c>
      <c r="BE43" t="inlineStr">
        <is>
          <t>Utility Knife</t>
        </is>
      </c>
    </row>
    <row r="44">
      <c r="F44" t="inlineStr">
        <is>
          <t>Angiotensin converting enzyme  (ACE) inhibitors</t>
        </is>
      </c>
      <c r="H44" t="inlineStr">
        <is>
          <t>Central African Republic</t>
        </is>
      </c>
      <c r="J44" t="inlineStr">
        <is>
          <t>ASME A112.18.1 Compliant</t>
        </is>
      </c>
      <c r="V44" t="inlineStr">
        <is>
          <t>Cedar, Mulanje</t>
        </is>
      </c>
      <c r="AD44" t="inlineStr">
        <is>
          <t>Wipe with wet cloth</t>
        </is>
      </c>
      <c r="AF44" t="inlineStr">
        <is>
          <t>Brown Wood</t>
        </is>
      </c>
      <c r="BE44" t="inlineStr">
        <is>
          <t>Rope</t>
        </is>
      </c>
    </row>
    <row r="45">
      <c r="F45" t="inlineStr">
        <is>
          <t>Aniline</t>
        </is>
      </c>
      <c r="H45" t="inlineStr">
        <is>
          <t>Chad</t>
        </is>
      </c>
      <c r="J45" t="inlineStr">
        <is>
          <t>ASME A112.18.2 Compliant</t>
        </is>
      </c>
      <c r="V45" t="inlineStr">
        <is>
          <t>Cedar, Spanish</t>
        </is>
      </c>
      <c r="AD45" t="inlineStr">
        <is>
          <t>Spot clean with water</t>
        </is>
      </c>
      <c r="AF45" t="inlineStr">
        <is>
          <t>Dark Brown Wood</t>
        </is>
      </c>
      <c r="BE45" t="inlineStr">
        <is>
          <t>Ear Protection</t>
        </is>
      </c>
    </row>
    <row r="46">
      <c r="F46" t="inlineStr">
        <is>
          <t>Aniline hydrochloride</t>
        </is>
      </c>
      <c r="H46" t="inlineStr">
        <is>
          <t>Chile</t>
        </is>
      </c>
      <c r="J46" t="inlineStr">
        <is>
          <t>ASME A112.19.1 Compliant</t>
        </is>
      </c>
      <c r="V46" t="inlineStr">
        <is>
          <t>Aloewood</t>
        </is>
      </c>
      <c r="AD46" t="inlineStr">
        <is>
          <t>When cushions are wet, open cushion zippers and prop up to dry in order to maintain quality</t>
        </is>
      </c>
      <c r="AF46" t="inlineStr">
        <is>
          <t>Medium Yellow Wood</t>
        </is>
      </c>
      <c r="BE46" t="inlineStr">
        <is>
          <t>Stud Finder</t>
        </is>
      </c>
    </row>
    <row r="47">
      <c r="F47" t="inlineStr">
        <is>
          <t>o-Anisidine</t>
        </is>
      </c>
      <c r="H47" t="inlineStr">
        <is>
          <t>China</t>
        </is>
      </c>
      <c r="J47" t="inlineStr">
        <is>
          <t>ASME A112.19.2 Compliant</t>
        </is>
      </c>
      <c r="V47" t="inlineStr">
        <is>
          <t>Lignum vitae</t>
        </is>
      </c>
      <c r="AD47" t="inlineStr">
        <is>
          <t>Oil 1-2 times per year</t>
        </is>
      </c>
      <c r="AF47" t="inlineStr">
        <is>
          <t>Espresso Wood</t>
        </is>
      </c>
      <c r="BE47" t="inlineStr">
        <is>
          <t>Wrench</t>
        </is>
      </c>
    </row>
    <row r="48">
      <c r="F48" t="inlineStr">
        <is>
          <t>o-Anisidine hydrochloride</t>
        </is>
      </c>
      <c r="H48" t="inlineStr">
        <is>
          <t>Christmas Island</t>
        </is>
      </c>
      <c r="J48" t="inlineStr">
        <is>
          <t>ASME A112.19.3 Compliant</t>
        </is>
      </c>
      <c r="V48" t="inlineStr">
        <is>
          <t>Mahogany, African</t>
        </is>
      </c>
      <c r="AD48" t="inlineStr">
        <is>
          <t>No washing / drying care</t>
        </is>
      </c>
      <c r="AF48" t="inlineStr">
        <is>
          <t>Medium Wood</t>
        </is>
      </c>
      <c r="BE48" t="inlineStr">
        <is>
          <t>Tape Measure</t>
        </is>
      </c>
    </row>
    <row r="49">
      <c r="F49" t="inlineStr">
        <is>
          <t>Anisindione</t>
        </is>
      </c>
      <c r="H49" t="inlineStr">
        <is>
          <t>Cocos (Keeling) Islands</t>
        </is>
      </c>
      <c r="J49" t="inlineStr">
        <is>
          <t>ASP:02:01 Certification</t>
        </is>
      </c>
      <c r="V49" t="inlineStr">
        <is>
          <t>Mahogany, Mexican</t>
        </is>
      </c>
      <c r="AD49" t="inlineStr">
        <is>
          <t>Do not bleach</t>
        </is>
      </c>
      <c r="AF49" t="inlineStr">
        <is>
          <t>Red Wood</t>
        </is>
      </c>
      <c r="BE49" t="inlineStr">
        <is>
          <t>Screws</t>
        </is>
      </c>
    </row>
    <row r="50">
      <c r="F50" t="inlineStr">
        <is>
          <t>Anthraquinone</t>
        </is>
      </c>
      <c r="H50" t="inlineStr">
        <is>
          <t>Colombia</t>
        </is>
      </c>
      <c r="J50" t="inlineStr">
        <is>
          <t>ASSE 1001 Certified</t>
        </is>
      </c>
      <c r="V50" t="inlineStr">
        <is>
          <t>Padauk, African</t>
        </is>
      </c>
      <c r="AD50" t="inlineStr">
        <is>
          <t>Treat with wood protector</t>
        </is>
      </c>
      <c r="AF50" t="inlineStr">
        <is>
          <t>Beige Wood</t>
        </is>
      </c>
      <c r="BE50" t="inlineStr">
        <is>
          <t>Wire Cap</t>
        </is>
      </c>
    </row>
    <row r="51">
      <c r="F51" t="inlineStr">
        <is>
          <t>Antimony oxide (Antimony trioxide)</t>
        </is>
      </c>
      <c r="H51" t="inlineStr">
        <is>
          <t>Comoros</t>
        </is>
      </c>
      <c r="J51" t="inlineStr">
        <is>
          <t>ASSE 1006 Certified</t>
        </is>
      </c>
      <c r="V51" t="inlineStr">
        <is>
          <t>Macacauba</t>
        </is>
      </c>
      <c r="AD51" t="inlineStr">
        <is>
          <t>Do not dry clean</t>
        </is>
      </c>
      <c r="AF51" t="inlineStr">
        <is>
          <t>Natural Wood</t>
        </is>
      </c>
      <c r="BE51" t="inlineStr">
        <is>
          <t>Hammer / Mallet</t>
        </is>
      </c>
    </row>
    <row r="52">
      <c r="F52" t="inlineStr">
        <is>
          <t>Aramite</t>
        </is>
      </c>
      <c r="H52" t="inlineStr">
        <is>
          <t>Congo</t>
        </is>
      </c>
      <c r="J52" t="inlineStr">
        <is>
          <t>ASSE 1016 Certified</t>
        </is>
      </c>
      <c r="V52" t="inlineStr">
        <is>
          <t>Ebony, Madagascar</t>
        </is>
      </c>
      <c r="AD52" t="inlineStr">
        <is>
          <t>Clean with diluted vinegar and water</t>
        </is>
      </c>
      <c r="AF52" t="inlineStr">
        <is>
          <t>Gray Wood</t>
        </is>
      </c>
      <c r="BE52" t="inlineStr">
        <is>
          <t>Chalk Line</t>
        </is>
      </c>
    </row>
    <row r="53">
      <c r="F53" t="inlineStr">
        <is>
          <t>Areca nut</t>
        </is>
      </c>
      <c r="H53" t="inlineStr">
        <is>
          <t>Congo, The Democratic Republic of the</t>
        </is>
      </c>
      <c r="J53" t="inlineStr">
        <is>
          <t>ASTM 1821-19</t>
        </is>
      </c>
      <c r="V53" t="inlineStr">
        <is>
          <t>Lignum vitae, Argentine</t>
        </is>
      </c>
      <c r="AD53" t="inlineStr">
        <is>
          <t>Store indoors or cover when not in use</t>
        </is>
      </c>
      <c r="AF53" t="inlineStr">
        <is>
          <t>Light Yellow Wood</t>
        </is>
      </c>
      <c r="BE53" t="inlineStr">
        <is>
          <t>Landscaping Fabric</t>
        </is>
      </c>
    </row>
    <row r="54">
      <c r="F54" t="inlineStr">
        <is>
          <t>Aristolochic acids</t>
        </is>
      </c>
      <c r="H54" t="inlineStr">
        <is>
          <t>Cook Islands</t>
        </is>
      </c>
      <c r="J54" t="inlineStr">
        <is>
          <t>ASTM E1590-07 Compliant</t>
        </is>
      </c>
      <c r="V54" t="inlineStr">
        <is>
          <t>Gavilan</t>
        </is>
      </c>
      <c r="AD54" t="inlineStr">
        <is>
          <t>Use carpet cleaner</t>
        </is>
      </c>
      <c r="AF54" t="inlineStr">
        <is>
          <t>White Wood</t>
        </is>
      </c>
      <c r="BE54" t="inlineStr">
        <is>
          <t>No Tools Needed</t>
        </is>
      </c>
    </row>
    <row r="55">
      <c r="F55" t="inlineStr">
        <is>
          <t>Arsenic (inorganic arsenic compounds)</t>
        </is>
      </c>
      <c r="H55" t="inlineStr">
        <is>
          <t>Costa Rica</t>
        </is>
      </c>
      <c r="J55" t="inlineStr">
        <is>
          <t>ASTM F1004-19 Certified</t>
        </is>
      </c>
      <c r="V55" t="inlineStr">
        <is>
          <t>Mahogany, Honduran</t>
        </is>
      </c>
      <c r="AD55" t="inlineStr">
        <is>
          <t>Air dry cushions covers</t>
        </is>
      </c>
      <c r="AF55" t="inlineStr">
        <is>
          <t>Oak Wood</t>
        </is>
      </c>
      <c r="BE55" t="inlineStr">
        <is>
          <t>Tile Cutter</t>
        </is>
      </c>
    </row>
    <row r="56">
      <c r="F56" t="inlineStr">
        <is>
          <t>Arsenic (inorganic oxides)</t>
        </is>
      </c>
      <c r="H56" t="inlineStr">
        <is>
          <t>Côte D'Ivoire</t>
        </is>
      </c>
      <c r="J56" t="inlineStr">
        <is>
          <t>ASTM F1148-17 Compliant</t>
        </is>
      </c>
      <c r="V56" t="inlineStr">
        <is>
          <t>Mahogany, Cuban</t>
        </is>
      </c>
      <c r="AD56" t="inlineStr">
        <is>
          <t>Do not use bleach or bleach solutions</t>
        </is>
      </c>
      <c r="BE56" t="inlineStr">
        <is>
          <t>Straight Edge</t>
        </is>
      </c>
    </row>
    <row r="57">
      <c r="F57" t="inlineStr">
        <is>
          <t>Asbestos</t>
        </is>
      </c>
      <c r="H57" t="inlineStr">
        <is>
          <t>Croatia</t>
        </is>
      </c>
      <c r="J57" t="inlineStr">
        <is>
          <t>ASTM F1148-18 Compliant</t>
        </is>
      </c>
      <c r="V57" t="inlineStr">
        <is>
          <t>Stinkwood, red</t>
        </is>
      </c>
      <c r="AD57" t="inlineStr">
        <is>
          <t>Rinse with water only</t>
        </is>
      </c>
      <c r="BE57" t="inlineStr">
        <is>
          <t>Silicone</t>
        </is>
      </c>
    </row>
    <row r="58">
      <c r="F58" t="inlineStr">
        <is>
          <t>Aspirin (NOTE: It is especially important not to use aspirin during the last three months of pregnancy, unless specifically directed to do so by a physician because it may cause problems in the unborn child or complications during delivery.)</t>
        </is>
      </c>
      <c r="H58" t="inlineStr">
        <is>
          <t>Cuba</t>
        </is>
      </c>
      <c r="J58" t="inlineStr">
        <is>
          <t>ASTM F1148-18 Certified</t>
        </is>
      </c>
      <c r="V58" t="inlineStr">
        <is>
          <t>Yew, Chinese</t>
        </is>
      </c>
      <c r="AD58" t="inlineStr">
        <is>
          <t>Dishwasher safe removable parts</t>
        </is>
      </c>
      <c r="BE58" t="inlineStr">
        <is>
          <t>Wet Saw</t>
        </is>
      </c>
    </row>
    <row r="59">
      <c r="F59" t="inlineStr">
        <is>
          <t>Atenolol</t>
        </is>
      </c>
      <c r="H59" t="inlineStr">
        <is>
          <t>Cyprus</t>
        </is>
      </c>
      <c r="J59" t="inlineStr">
        <is>
          <t>ASTM F1169 - 13 Compliant</t>
        </is>
      </c>
      <c r="V59" t="inlineStr">
        <is>
          <t>Pau rosa, Brazilian</t>
        </is>
      </c>
      <c r="AD59" t="inlineStr">
        <is>
          <t>Clean and re-seal with natural stone sealant</t>
        </is>
      </c>
      <c r="BE59" t="inlineStr">
        <is>
          <t>Torx Bit</t>
        </is>
      </c>
    </row>
    <row r="60">
      <c r="F60" t="inlineStr">
        <is>
          <t>Atrazine</t>
        </is>
      </c>
      <c r="H60" t="inlineStr">
        <is>
          <t>Czech Republic</t>
        </is>
      </c>
      <c r="J60" t="inlineStr">
        <is>
          <t>ASTM F1487-17 Compliant</t>
        </is>
      </c>
      <c r="V60" t="inlineStr">
        <is>
          <t>Sandalwood, East African</t>
        </is>
      </c>
      <c r="AD60" t="inlineStr">
        <is>
          <t>To prevent oil stains wipe with a damp cloth before using</t>
        </is>
      </c>
      <c r="BE60" t="inlineStr">
        <is>
          <t>Unavailable</t>
        </is>
      </c>
    </row>
    <row r="61">
      <c r="F61" t="inlineStr">
        <is>
          <t>Auramine</t>
        </is>
      </c>
      <c r="H61" t="inlineStr">
        <is>
          <t>Denmark</t>
        </is>
      </c>
      <c r="J61" t="inlineStr">
        <is>
          <t>ASTM F1821 - 16 Compliant</t>
        </is>
      </c>
      <c r="V61" t="inlineStr">
        <is>
          <t>Ramin</t>
        </is>
      </c>
      <c r="AD61" t="inlineStr">
        <is>
          <t>After cleaning, use sealant</t>
        </is>
      </c>
      <c r="BE61" t="inlineStr">
        <is>
          <t>Does Not Apply</t>
        </is>
      </c>
    </row>
    <row r="62">
      <c r="F62" t="inlineStr">
        <is>
          <t>Auranofin</t>
        </is>
      </c>
      <c r="H62" t="inlineStr">
        <is>
          <t>Djibouti</t>
        </is>
      </c>
      <c r="J62" t="inlineStr">
        <is>
          <t>ASTM F1912-17 Compliant</t>
        </is>
      </c>
      <c r="V62" t="inlineStr">
        <is>
          <t>Zitan</t>
        </is>
      </c>
      <c r="AD62" t="inlineStr">
        <is>
          <t>Apply oil to maintain color and prolong durability</t>
        </is>
      </c>
    </row>
    <row r="63">
      <c r="F63" t="inlineStr">
        <is>
          <t>Avermectin B1 (Abamectin)</t>
        </is>
      </c>
      <c r="H63" t="inlineStr">
        <is>
          <t>Dominica</t>
        </is>
      </c>
      <c r="J63" t="inlineStr">
        <is>
          <t>ASTM F1917 - 12 Compliant</t>
        </is>
      </c>
      <c r="V63" t="inlineStr">
        <is>
          <t>Yew, Himalayan</t>
        </is>
      </c>
      <c r="AD63" t="inlineStr">
        <is>
          <t>Vacuum</t>
        </is>
      </c>
    </row>
    <row r="64">
      <c r="F64" t="inlineStr">
        <is>
          <t>Azacitidine</t>
        </is>
      </c>
      <c r="H64" t="inlineStr">
        <is>
          <t>Dominican Republic</t>
        </is>
      </c>
      <c r="J64" t="inlineStr">
        <is>
          <t>ASTM F2057 - 14</t>
        </is>
      </c>
      <c r="V64" t="inlineStr">
        <is>
          <t>Yew, Japanese</t>
        </is>
      </c>
      <c r="AD64" t="inlineStr">
        <is>
          <t>Avoid direct sunlight</t>
        </is>
      </c>
    </row>
    <row r="65">
      <c r="F65" t="inlineStr">
        <is>
          <t>Azaserine</t>
        </is>
      </c>
      <c r="H65" t="inlineStr">
        <is>
          <t>Ecuador</t>
        </is>
      </c>
      <c r="J65" t="inlineStr">
        <is>
          <t>ASTM F2057 - 17</t>
        </is>
      </c>
      <c r="V65" t="inlineStr">
        <is>
          <t>Rosewood, Siamese</t>
        </is>
      </c>
      <c r="AD65" t="inlineStr">
        <is>
          <t>Dry after use</t>
        </is>
      </c>
    </row>
    <row r="66">
      <c r="F66" t="inlineStr">
        <is>
          <t>Azathioprine</t>
        </is>
      </c>
      <c r="H66" t="inlineStr">
        <is>
          <t>Egypt</t>
        </is>
      </c>
      <c r="J66" t="inlineStr">
        <is>
          <t>ASTM F2057 - 19 Certified</t>
        </is>
      </c>
      <c r="V66" t="inlineStr">
        <is>
          <t>Yew, Taiwan</t>
        </is>
      </c>
      <c r="AD66" t="inlineStr">
        <is>
          <t>Use furniture pads</t>
        </is>
      </c>
    </row>
    <row r="67">
      <c r="F67" t="inlineStr">
        <is>
          <t>Azobenzene</t>
        </is>
      </c>
      <c r="H67" t="inlineStr">
        <is>
          <t>El Salvador</t>
        </is>
      </c>
      <c r="J67" t="inlineStr">
        <is>
          <t>ASTM F2085 - 12 Compliant</t>
        </is>
      </c>
      <c r="V67" t="inlineStr">
        <is>
          <t>Burlwood</t>
        </is>
      </c>
      <c r="AD67" t="inlineStr">
        <is>
          <t>Apply epoxy clear coat once per year</t>
        </is>
      </c>
    </row>
    <row r="68">
      <c r="F68" t="inlineStr">
        <is>
          <t>Barbiturates</t>
        </is>
      </c>
      <c r="H68" t="inlineStr">
        <is>
          <t>Equatorial Guinea</t>
        </is>
      </c>
      <c r="J68" t="inlineStr">
        <is>
          <t>ASTM F2088-15 Compliant</t>
        </is>
      </c>
      <c r="V68" t="inlineStr">
        <is>
          <t>Platane Wood</t>
        </is>
      </c>
      <c r="AD68" t="inlineStr">
        <is>
          <t>Clean with cloth, mild soap, and warm water</t>
        </is>
      </c>
    </row>
    <row r="69">
      <c r="F69" t="inlineStr">
        <is>
          <t>Beclomethasone dipropionate</t>
        </is>
      </c>
      <c r="H69" t="inlineStr">
        <is>
          <t>Eritrea</t>
        </is>
      </c>
      <c r="J69" t="inlineStr">
        <is>
          <t>ASTM F2194 Compliant</t>
        </is>
      </c>
      <c r="V69" t="inlineStr">
        <is>
          <t>Sungkai</t>
        </is>
      </c>
      <c r="AD69" t="inlineStr">
        <is>
          <t>Spot clean with mild detergent</t>
        </is>
      </c>
    </row>
    <row r="70">
      <c r="F70" t="inlineStr">
        <is>
          <t>Benomyl</t>
        </is>
      </c>
      <c r="H70" t="inlineStr">
        <is>
          <t>Estonia</t>
        </is>
      </c>
      <c r="J70" t="inlineStr">
        <is>
          <t>ASTM F2225-15 Compliant</t>
        </is>
      </c>
      <c r="V70" t="inlineStr">
        <is>
          <t>Does Not Apply</t>
        </is>
      </c>
      <c r="AD70" t="inlineStr">
        <is>
          <t>Spot clean as needed</t>
        </is>
      </c>
    </row>
    <row r="71">
      <c r="F71" t="inlineStr">
        <is>
          <t>Benthiavalicarb-isopropyl</t>
        </is>
      </c>
      <c r="H71" t="inlineStr">
        <is>
          <t>Ethiopia</t>
        </is>
      </c>
      <c r="J71" t="inlineStr">
        <is>
          <t>ASTM F2388 - 18 Certified</t>
        </is>
      </c>
      <c r="AD71" t="inlineStr">
        <is>
          <t>Automatic</t>
        </is>
      </c>
    </row>
    <row r="72">
      <c r="F72" t="inlineStr">
        <is>
          <t>Benz[a]anthracene</t>
        </is>
      </c>
      <c r="H72" t="inlineStr">
        <is>
          <t>Falkland Islands (Malvinas)</t>
        </is>
      </c>
      <c r="J72" t="inlineStr">
        <is>
          <t>ASTM F2613 - 17 Compliant</t>
        </is>
      </c>
      <c r="AD72" t="inlineStr">
        <is>
          <t>Hot water extraction</t>
        </is>
      </c>
    </row>
    <row r="73">
      <c r="F73" t="inlineStr">
        <is>
          <t>Benzene</t>
        </is>
      </c>
      <c r="H73" t="inlineStr">
        <is>
          <t>Faroe Islands</t>
        </is>
      </c>
      <c r="J73" t="inlineStr">
        <is>
          <t>ASTM F2729 - 18 Compliant</t>
        </is>
      </c>
      <c r="AD73" t="inlineStr">
        <is>
          <t>Spot clean with dry cloth</t>
        </is>
      </c>
    </row>
    <row r="74">
      <c r="F74" t="inlineStr">
        <is>
          <t>Benzidine [and its salts]</t>
        </is>
      </c>
      <c r="H74" t="inlineStr">
        <is>
          <t>Fiji</t>
        </is>
      </c>
      <c r="J74" t="inlineStr">
        <is>
          <t>ASTM F2933-18 Compliant</t>
        </is>
      </c>
      <c r="AD74" t="inlineStr">
        <is>
          <t>Clean the product at least one time per month. We suggest the use of Rejuvenate by Watco</t>
        </is>
      </c>
    </row>
    <row r="75">
      <c r="F75" t="inlineStr">
        <is>
          <t>Benzidine-based dyes</t>
        </is>
      </c>
      <c r="H75" t="inlineStr">
        <is>
          <t>Finland</t>
        </is>
      </c>
      <c r="J75" t="inlineStr">
        <is>
          <t>ASTM F3084 - 16 Compliant</t>
        </is>
      </c>
      <c r="AD75" t="inlineStr">
        <is>
          <t>Wash with warm water and soap</t>
        </is>
      </c>
    </row>
    <row r="76">
      <c r="F76" t="inlineStr">
        <is>
          <t>Benzodiazepines</t>
        </is>
      </c>
      <c r="H76" t="inlineStr">
        <is>
          <t>France</t>
        </is>
      </c>
      <c r="J76" t="inlineStr">
        <is>
          <t>ASTM F3096 - 14 Compliant</t>
        </is>
      </c>
      <c r="AD76" t="inlineStr">
        <is>
          <t>Regularly apply Teak oil</t>
        </is>
      </c>
    </row>
    <row r="77">
      <c r="F77" t="inlineStr">
        <is>
          <t>Benzo[b]fluoranthene</t>
        </is>
      </c>
      <c r="H77" t="inlineStr">
        <is>
          <t>French Guiana</t>
        </is>
      </c>
      <c r="J77" t="inlineStr">
        <is>
          <t>ASTM F3363-19 Compliant</t>
        </is>
      </c>
      <c r="AD77" t="inlineStr">
        <is>
          <t>Do not microwave</t>
        </is>
      </c>
    </row>
    <row r="78">
      <c r="F78" t="inlineStr">
        <is>
          <t>Benzo[j]fluoranthene</t>
        </is>
      </c>
      <c r="H78" t="inlineStr">
        <is>
          <t>French Polynesia</t>
        </is>
      </c>
      <c r="J78" t="inlineStr">
        <is>
          <t>ASTM F381-16 Compliant</t>
        </is>
      </c>
      <c r="AD78" t="inlineStr">
        <is>
          <t>Do not put in dishwasher</t>
        </is>
      </c>
    </row>
    <row r="79">
      <c r="F79" t="inlineStr">
        <is>
          <t>Benzo[k]fluoranthene</t>
        </is>
      </c>
      <c r="H79" t="inlineStr">
        <is>
          <t>French Southern Territories</t>
        </is>
      </c>
      <c r="J79" t="inlineStr">
        <is>
          <t>ASTM F406 - 10a Compliant</t>
        </is>
      </c>
      <c r="AD79" t="inlineStr">
        <is>
          <t>Do not use harsh chemicals or cleaners</t>
        </is>
      </c>
    </row>
    <row r="80">
      <c r="F80" t="inlineStr">
        <is>
          <t>Benzofuran</t>
        </is>
      </c>
      <c r="H80" t="inlineStr">
        <is>
          <t>Gabon</t>
        </is>
      </c>
      <c r="J80" t="inlineStr">
        <is>
          <t>ASTM F406 - 15 Compliant</t>
        </is>
      </c>
      <c r="AD80" t="inlineStr">
        <is>
          <t>Do not use any cleaning agents</t>
        </is>
      </c>
    </row>
    <row r="81">
      <c r="F81" t="inlineStr">
        <is>
          <t>Benzophenone</t>
        </is>
      </c>
      <c r="H81" t="inlineStr">
        <is>
          <t>Gambia</t>
        </is>
      </c>
      <c r="J81" t="inlineStr">
        <is>
          <t>ASTM F406 - 17 Certified</t>
        </is>
      </c>
      <c r="AD81" t="inlineStr">
        <is>
          <t>Do not put removable parts in dishwasher</t>
        </is>
      </c>
    </row>
    <row r="82">
      <c r="F82" t="inlineStr">
        <is>
          <t>Benzo[a]pyrene</t>
        </is>
      </c>
      <c r="H82" t="inlineStr">
        <is>
          <t>Georgia</t>
        </is>
      </c>
      <c r="J82" t="inlineStr">
        <is>
          <t>ASTM F963 - 17 Certified</t>
        </is>
      </c>
      <c r="AD82" t="inlineStr">
        <is>
          <t>Machine wash</t>
        </is>
      </c>
    </row>
    <row r="83">
      <c r="F83" t="inlineStr">
        <is>
          <t>Benzotrichloride</t>
        </is>
      </c>
      <c r="H83" t="inlineStr">
        <is>
          <t>Germany</t>
        </is>
      </c>
      <c r="J83" t="inlineStr">
        <is>
          <t>ASTM F963-11 Compliant</t>
        </is>
      </c>
      <c r="AD83" t="inlineStr">
        <is>
          <t>Hand dry</t>
        </is>
      </c>
    </row>
    <row r="84">
      <c r="F84" t="inlineStr">
        <is>
          <t>Benzphetamine hydrochloride</t>
        </is>
      </c>
      <c r="H84" t="inlineStr">
        <is>
          <t>Ghana</t>
        </is>
      </c>
      <c r="J84" t="inlineStr">
        <is>
          <t>ATA Rated</t>
        </is>
      </c>
      <c r="AD84" t="inlineStr">
        <is>
          <t>Dry clean recommended</t>
        </is>
      </c>
    </row>
    <row r="85">
      <c r="F85" t="inlineStr">
        <is>
          <t>Benzyl chloride</t>
        </is>
      </c>
      <c r="H85" t="inlineStr">
        <is>
          <t>Gibraltar</t>
        </is>
      </c>
      <c r="J85" t="inlineStr">
        <is>
          <t>BHFTI Upholstered Furniture Flammability Compliant</t>
        </is>
      </c>
      <c r="AD85" t="inlineStr">
        <is>
          <t>Microwave safe</t>
        </is>
      </c>
    </row>
    <row r="86">
      <c r="F86" t="inlineStr">
        <is>
          <t>Benzyl violet 4B</t>
        </is>
      </c>
      <c r="H86" t="inlineStr">
        <is>
          <t>Greece</t>
        </is>
      </c>
      <c r="J86" t="inlineStr">
        <is>
          <t>BIFMA G1 Ergonomics Guideline for Furniture</t>
        </is>
      </c>
      <c r="AD86" t="inlineStr">
        <is>
          <t>Spot clean insert</t>
        </is>
      </c>
    </row>
    <row r="87">
      <c r="F87" t="inlineStr">
        <is>
          <t>Beryllium and beryllium compounds</t>
        </is>
      </c>
      <c r="H87" t="inlineStr">
        <is>
          <t>Greenland</t>
        </is>
      </c>
      <c r="J87" t="inlineStr">
        <is>
          <t>BIFMA HCF 8.1 - Healthcare Furniture Design</t>
        </is>
      </c>
      <c r="AD87" t="inlineStr">
        <is>
          <t>Spot clean only with water-based shampoo or foam upholstery cleaner</t>
        </is>
      </c>
    </row>
    <row r="88">
      <c r="F88" t="inlineStr">
        <is>
          <t>Betel quid with tobacco</t>
        </is>
      </c>
      <c r="H88" t="inlineStr">
        <is>
          <t>Grenada</t>
        </is>
      </c>
      <c r="J88" t="inlineStr">
        <is>
          <t>Blauer Engel</t>
        </is>
      </c>
      <c r="AD88" t="inlineStr">
        <is>
          <t>Run at least once a week to let water circulate</t>
        </is>
      </c>
    </row>
    <row r="89">
      <c r="F89" t="inlineStr">
        <is>
          <t>Betel quid without tobacco</t>
        </is>
      </c>
      <c r="H89" t="inlineStr">
        <is>
          <t>Guadeloupe</t>
        </is>
      </c>
      <c r="J89" t="inlineStr">
        <is>
          <t>BS 5287: 1988 Certified</t>
        </is>
      </c>
      <c r="AD89" t="inlineStr">
        <is>
          <t>Use dry, solvent-based cleaner</t>
        </is>
      </c>
    </row>
    <row r="90">
      <c r="F90" t="inlineStr">
        <is>
          <t>2,2-Bis(bromomethyl)-1,3-propanediol</t>
        </is>
      </c>
      <c r="H90" t="inlineStr">
        <is>
          <t>Guam</t>
        </is>
      </c>
      <c r="J90" t="inlineStr">
        <is>
          <t>BS 5852 Certified</t>
        </is>
      </c>
      <c r="AD90" t="inlineStr">
        <is>
          <t>Steam clean</t>
        </is>
      </c>
    </row>
    <row r="91">
      <c r="F91" t="inlineStr">
        <is>
          <t>Bis(2-chloroethyl)ether</t>
        </is>
      </c>
      <c r="H91" t="inlineStr">
        <is>
          <t>Guatemala</t>
        </is>
      </c>
      <c r="J91" t="inlineStr">
        <is>
          <t>BS 5867-2:2008 Certified</t>
        </is>
      </c>
      <c r="AD91" t="inlineStr">
        <is>
          <t>Wipe down with mild soap and water</t>
        </is>
      </c>
    </row>
    <row r="92">
      <c r="F92" t="inlineStr">
        <is>
          <t>N,N-Bis(2-chloroethyl)-2-naphthylamine  (Chlornapazine)</t>
        </is>
      </c>
      <c r="H92" t="inlineStr">
        <is>
          <t>Guernsey</t>
        </is>
      </c>
      <c r="J92" t="inlineStr">
        <is>
          <t>BS 7176: 2007 Certified</t>
        </is>
      </c>
      <c r="AD92" t="inlineStr">
        <is>
          <t>Wipe with glass cleaner</t>
        </is>
      </c>
    </row>
    <row r="93">
      <c r="F93" t="inlineStr">
        <is>
          <t>Bischloroethyl nitrosourea (BCNU) (Carmustine)</t>
        </is>
      </c>
      <c r="H93" t="inlineStr">
        <is>
          <t>Guinea</t>
        </is>
      </c>
      <c r="J93" t="inlineStr">
        <is>
          <t>BS 7177:2008+A1:2011 Certified</t>
        </is>
      </c>
      <c r="AD93" t="inlineStr">
        <is>
          <t>Wipe with cloth</t>
        </is>
      </c>
    </row>
    <row r="94">
      <c r="F94" t="inlineStr">
        <is>
          <t>Bis(chloromethyl)ether</t>
        </is>
      </c>
      <c r="H94" t="inlineStr">
        <is>
          <t>Guinea-Bissau</t>
        </is>
      </c>
      <c r="J94" t="inlineStr">
        <is>
          <t>BS EN 13120: 2009 + A1: 2014 (Requirements for Window Blinds or Drapery Cords) - EU ONLY</t>
        </is>
      </c>
      <c r="AD94" t="inlineStr">
        <is>
          <t>Wipe with a lemon oil-based furniture polish</t>
        </is>
      </c>
    </row>
    <row r="95">
      <c r="F95" t="inlineStr">
        <is>
          <t>Bis(2-chloro-1-methylethyl)ether,  technical grade</t>
        </is>
      </c>
      <c r="H95" t="inlineStr">
        <is>
          <t>Guyana</t>
        </is>
      </c>
      <c r="J95" t="inlineStr">
        <is>
          <t>BS EN 716-1 Compliant - EU ONLY</t>
        </is>
      </c>
      <c r="AD95" t="inlineStr">
        <is>
          <t>Wipe Clean Only</t>
        </is>
      </c>
    </row>
    <row r="96">
      <c r="F96" t="inlineStr">
        <is>
          <t>Bisphenol A (BPA)</t>
        </is>
      </c>
      <c r="H96" t="inlineStr">
        <is>
          <t>Haiti</t>
        </is>
      </c>
      <c r="J96" t="inlineStr">
        <is>
          <t>BS EN12790 Certified</t>
        </is>
      </c>
      <c r="AD96" t="inlineStr">
        <is>
          <t>Hand Wash Only - Towel Dry Immediately</t>
        </is>
      </c>
    </row>
    <row r="97">
      <c r="F97" t="inlineStr">
        <is>
          <t>Bitumens, extracts of steam-refined and air refined</t>
        </is>
      </c>
      <c r="H97" t="inlineStr">
        <is>
          <t>Heard Island and McDonald Islands</t>
        </is>
      </c>
      <c r="J97" t="inlineStr">
        <is>
          <t>CAL TB 116 Compliant</t>
        </is>
      </c>
      <c r="AD97" t="inlineStr">
        <is>
          <t>Store flat when not in use to avoid warping</t>
        </is>
      </c>
    </row>
    <row r="98">
      <c r="F98" t="inlineStr">
        <is>
          <t>Bracken fern</t>
        </is>
      </c>
      <c r="H98" t="inlineStr">
        <is>
          <t>Holy See (Vatican City State)</t>
        </is>
      </c>
      <c r="J98" t="inlineStr">
        <is>
          <t>CAL TB 117-2013 Compliant</t>
        </is>
      </c>
      <c r="AD98" t="inlineStr">
        <is>
          <t>Wipe clean with a damp cloth</t>
        </is>
      </c>
    </row>
    <row r="99">
      <c r="F99" t="inlineStr">
        <is>
          <t>Bromacil lithium salt</t>
        </is>
      </c>
      <c r="H99" t="inlineStr">
        <is>
          <t>Honduras</t>
        </is>
      </c>
      <c r="J99" t="inlineStr">
        <is>
          <t>CALGreen Compliant</t>
        </is>
      </c>
      <c r="AD99" t="inlineStr">
        <is>
          <t>Machine wash on delicate with cold water</t>
        </is>
      </c>
    </row>
    <row r="100">
      <c r="F100" t="inlineStr">
        <is>
          <t>Bromate</t>
        </is>
      </c>
      <c r="H100" t="inlineStr">
        <is>
          <t>Hong Kong</t>
        </is>
      </c>
      <c r="J100" t="inlineStr">
        <is>
          <t>California AB 1953 Compliant</t>
        </is>
      </c>
      <c r="AD100" t="inlineStr">
        <is>
          <t>Does Not Apply</t>
        </is>
      </c>
    </row>
    <row r="101">
      <c r="F101" t="inlineStr">
        <is>
          <t>Bromochloroacetic acid</t>
        </is>
      </c>
      <c r="H101" t="inlineStr">
        <is>
          <t>Hungary</t>
        </is>
      </c>
      <c r="J101" t="inlineStr">
        <is>
          <t>CAN C22.2 No. 3 - Electrical Components of Fuel Burning Equipment</t>
        </is>
      </c>
    </row>
    <row r="102">
      <c r="F102" t="inlineStr">
        <is>
          <t>Bromodichloroacetic acid</t>
        </is>
      </c>
      <c r="H102" t="inlineStr">
        <is>
          <t>Iceland</t>
        </is>
      </c>
      <c r="J102" t="inlineStr">
        <is>
          <t>CAN/ULC-S674</t>
        </is>
      </c>
    </row>
    <row r="103">
      <c r="F103" t="inlineStr">
        <is>
          <t>Bromodichloromethane</t>
        </is>
      </c>
      <c r="H103" t="inlineStr">
        <is>
          <t>India</t>
        </is>
      </c>
      <c r="J103" t="inlineStr">
        <is>
          <t>CARB Phase II Compliant (formaldehyde emissions)</t>
        </is>
      </c>
    </row>
    <row r="104">
      <c r="F104" t="inlineStr">
        <is>
          <t>Bromoethane</t>
        </is>
      </c>
      <c r="H104" t="inlineStr">
        <is>
          <t>Indonesia</t>
        </is>
      </c>
      <c r="J104" t="inlineStr">
        <is>
          <t>CE Certified</t>
        </is>
      </c>
    </row>
    <row r="105">
      <c r="F105" t="inlineStr">
        <is>
          <t>Bromoform</t>
        </is>
      </c>
      <c r="H105" t="inlineStr">
        <is>
          <t>Iran, Islamic Republic of</t>
        </is>
      </c>
      <c r="J105" t="inlineStr">
        <is>
          <t>CEE Rating</t>
        </is>
      </c>
    </row>
    <row r="106">
      <c r="F106" t="inlineStr">
        <is>
          <t>1-Bromopropane (1-BP)</t>
        </is>
      </c>
      <c r="H106" t="inlineStr">
        <is>
          <t>Iraq</t>
        </is>
      </c>
      <c r="J106" t="inlineStr">
        <is>
          <t>CertiPUR-US Certified</t>
        </is>
      </c>
    </row>
    <row r="107">
      <c r="F107" t="inlineStr">
        <is>
          <t>Bromoxynil</t>
        </is>
      </c>
      <c r="H107" t="inlineStr">
        <is>
          <t>Ireland</t>
        </is>
      </c>
      <c r="J107" t="inlineStr">
        <is>
          <t>cETL Listed</t>
        </is>
      </c>
    </row>
    <row r="108">
      <c r="F108" t="inlineStr">
        <is>
          <t>Bromoxynil octanoate</t>
        </is>
      </c>
      <c r="H108" t="inlineStr">
        <is>
          <t>Isle of Man</t>
        </is>
      </c>
      <c r="J108" t="inlineStr">
        <is>
          <t>CGA 2.17- M91 (R2014)</t>
        </is>
      </c>
    </row>
    <row r="109">
      <c r="F109" t="inlineStr">
        <is>
          <t>Butabarbital sodium</t>
        </is>
      </c>
      <c r="H109" t="inlineStr">
        <is>
          <t>Israel</t>
        </is>
      </c>
      <c r="J109" t="inlineStr">
        <is>
          <t>Chemicals of Concern Compliant</t>
        </is>
      </c>
    </row>
    <row r="110">
      <c r="F110" t="inlineStr">
        <is>
          <t>1,3-Butadiene</t>
        </is>
      </c>
      <c r="H110" t="inlineStr">
        <is>
          <t>Italy</t>
        </is>
      </c>
      <c r="J110" t="inlineStr">
        <is>
          <t>Chemikalien-Verbotsverordnung / Section 3 Compliant</t>
        </is>
      </c>
    </row>
    <row r="111">
      <c r="F111" t="inlineStr">
        <is>
          <t>1,4-Butanediol dimethanesulfonate (Busulfan)</t>
        </is>
      </c>
      <c r="H111" t="inlineStr">
        <is>
          <t>Jamaica</t>
        </is>
      </c>
      <c r="J111" t="inlineStr">
        <is>
          <t>Children's Product Certificate (CPC)</t>
        </is>
      </c>
    </row>
    <row r="112">
      <c r="F112" t="inlineStr">
        <is>
          <t>Butylated hydroxyanisole</t>
        </is>
      </c>
      <c r="H112" t="inlineStr">
        <is>
          <t>Japan</t>
        </is>
      </c>
      <c r="J112" t="inlineStr">
        <is>
          <t>CISPR 22 Compliant</t>
        </is>
      </c>
    </row>
    <row r="113">
      <c r="F113" t="inlineStr">
        <is>
          <t>Butyl benzyl phthalate (BBP)d</t>
        </is>
      </c>
      <c r="H113" t="inlineStr">
        <is>
          <t>Jersey</t>
        </is>
      </c>
      <c r="J113" t="inlineStr">
        <is>
          <t>Complies with 16 CFR 1305.4</t>
        </is>
      </c>
    </row>
    <row r="114">
      <c r="F114" t="inlineStr">
        <is>
          <t>beta-Butyrolactone</t>
        </is>
      </c>
      <c r="H114" t="inlineStr">
        <is>
          <t>Jordan</t>
        </is>
      </c>
      <c r="J114" t="inlineStr">
        <is>
          <t>ASTM F1427 - 13 Compliant - Consumer Safety Specification for Bunk Beds</t>
        </is>
      </c>
    </row>
    <row r="115">
      <c r="F115" t="inlineStr">
        <is>
          <t>Cacodylic acid</t>
        </is>
      </c>
      <c r="H115" t="inlineStr">
        <is>
          <t>Kazakhstan</t>
        </is>
      </c>
      <c r="J115" t="inlineStr">
        <is>
          <t>CPAI-84 Compliant</t>
        </is>
      </c>
    </row>
    <row r="116">
      <c r="F116" t="inlineStr">
        <is>
          <t>Cadmium</t>
        </is>
      </c>
      <c r="H116" t="inlineStr">
        <is>
          <t>Kenya</t>
        </is>
      </c>
      <c r="J116" t="inlineStr">
        <is>
          <t>CPSC - 15 U.S. Code § 1278a - Children's Products Containing Lead</t>
        </is>
      </c>
    </row>
    <row r="117">
      <c r="F117" t="inlineStr">
        <is>
          <t>Cadmium and cadmium compounds</t>
        </is>
      </c>
      <c r="H117" t="inlineStr">
        <is>
          <t>Kiribati</t>
        </is>
      </c>
      <c r="J117" t="inlineStr">
        <is>
          <t>CPSC - 16 CFR 1213 Compliant</t>
        </is>
      </c>
    </row>
    <row r="118">
      <c r="F118" t="inlineStr">
        <is>
          <t>Caffeic acid</t>
        </is>
      </c>
      <c r="H118" t="inlineStr">
        <is>
          <t>Korea, Democratic People's Republic of</t>
        </is>
      </c>
      <c r="J118" t="inlineStr">
        <is>
          <t>CPSC - 16 CFR 1215 Compliant - Safety Standards for Infant Bath Seats</t>
        </is>
      </c>
    </row>
    <row r="119">
      <c r="F119" t="inlineStr">
        <is>
          <t>Captafol</t>
        </is>
      </c>
      <c r="H119" t="inlineStr">
        <is>
          <t>Korea, Republic of</t>
        </is>
      </c>
      <c r="J119" t="inlineStr">
        <is>
          <t>ASTM 1821-19 and/or CPSC - 16 CFR 1217 Compliant</t>
        </is>
      </c>
    </row>
    <row r="120">
      <c r="F120" t="inlineStr">
        <is>
          <t>Captan</t>
        </is>
      </c>
      <c r="H120" t="inlineStr">
        <is>
          <t>Kuwait</t>
        </is>
      </c>
      <c r="J120" t="inlineStr">
        <is>
          <t>CPSC - 16 CFR 1218 Compliant</t>
        </is>
      </c>
    </row>
    <row r="121">
      <c r="F121" t="inlineStr">
        <is>
          <t>Carbamazepine</t>
        </is>
      </c>
      <c r="H121" t="inlineStr">
        <is>
          <t>Kyrgyzstan</t>
        </is>
      </c>
      <c r="J121" t="inlineStr">
        <is>
          <t>ASTM F1169-19 Compliant and/or CPSC - 16 CFR 1219 Compliant</t>
        </is>
      </c>
    </row>
    <row r="122">
      <c r="F122" t="inlineStr">
        <is>
          <t>Carbaryl</t>
        </is>
      </c>
      <c r="H122" t="inlineStr">
        <is>
          <t>Lao People's Democratic Republic</t>
        </is>
      </c>
      <c r="J122" t="inlineStr">
        <is>
          <t>ASTM F406-22 and/or CPSC - 16 CFR 1220 Compliant</t>
        </is>
      </c>
    </row>
    <row r="123">
      <c r="F123" t="inlineStr">
        <is>
          <t>Carbazole</t>
        </is>
      </c>
      <c r="H123" t="inlineStr">
        <is>
          <t>Latvia</t>
        </is>
      </c>
      <c r="J123" t="inlineStr">
        <is>
          <t>CPSC - 16 CFR 1221 Compliant</t>
        </is>
      </c>
    </row>
    <row r="124">
      <c r="F124" t="inlineStr">
        <is>
          <t>Carbon black (airborne, unbound particles of respirable size)</t>
        </is>
      </c>
      <c r="H124" t="inlineStr">
        <is>
          <t>Lebanon</t>
        </is>
      </c>
      <c r="J124" t="inlineStr">
        <is>
          <t>CPSC - 16 CFR 1225 Compliant</t>
        </is>
      </c>
    </row>
    <row r="125">
      <c r="F125" t="inlineStr">
        <is>
          <t>Carbon-black extracts</t>
        </is>
      </c>
      <c r="H125" t="inlineStr">
        <is>
          <t>Lesotho</t>
        </is>
      </c>
      <c r="J125" t="inlineStr">
        <is>
          <t>CPSC - 16 CFR 1234 Compliant</t>
        </is>
      </c>
    </row>
    <row r="126">
      <c r="F126" t="inlineStr">
        <is>
          <t>Carbon disulfide</t>
        </is>
      </c>
      <c r="H126" t="inlineStr">
        <is>
          <t>Liberia</t>
        </is>
      </c>
      <c r="J126" t="inlineStr">
        <is>
          <t>CPSC - 16 CFR 1238 Compliant</t>
        </is>
      </c>
    </row>
    <row r="127">
      <c r="F127" t="inlineStr">
        <is>
          <t>Carbon monoxide</t>
        </is>
      </c>
      <c r="H127" t="inlineStr">
        <is>
          <t>Libyan Arab Jamahiriya</t>
        </is>
      </c>
      <c r="J127" t="inlineStr">
        <is>
          <t>CPSC - 16 CFR 1239 Compliant</t>
        </is>
      </c>
    </row>
    <row r="128">
      <c r="F128" t="inlineStr">
        <is>
          <t>Carbon tetrachloride</t>
        </is>
      </c>
      <c r="H128" t="inlineStr">
        <is>
          <t>Liechtenstein</t>
        </is>
      </c>
      <c r="J128" t="inlineStr">
        <is>
          <t>CPSC - 16 CFR 1303 Compliant</t>
        </is>
      </c>
    </row>
    <row r="129">
      <c r="F129" t="inlineStr">
        <is>
          <t>Carboplatin</t>
        </is>
      </c>
      <c r="H129" t="inlineStr">
        <is>
          <t>Lithuania</t>
        </is>
      </c>
      <c r="J129" t="inlineStr">
        <is>
          <t>CPSC - 16 CFR 1500.48 Compliant</t>
        </is>
      </c>
    </row>
    <row r="130">
      <c r="F130" t="inlineStr">
        <is>
          <t>N-Carboxymethyl-N-nitrosourea</t>
        </is>
      </c>
      <c r="H130" t="inlineStr">
        <is>
          <t>Luxembourg</t>
        </is>
      </c>
      <c r="J130" t="inlineStr">
        <is>
          <t>CPSC - 16 CFR 1500.49 Compliant</t>
        </is>
      </c>
    </row>
    <row r="131">
      <c r="F131" t="inlineStr">
        <is>
          <t>Catechol</t>
        </is>
      </c>
      <c r="H131" t="inlineStr">
        <is>
          <t>Macao</t>
        </is>
      </c>
      <c r="J131" t="inlineStr">
        <is>
          <t>CPSC - 16 CFR 1513 Compliant</t>
        </is>
      </c>
    </row>
    <row r="132">
      <c r="F132" t="inlineStr">
        <is>
          <t>Ceramic fibers (airborne particles of respirable size)</t>
        </is>
      </c>
      <c r="H132" t="inlineStr">
        <is>
          <t>Macedonia, The Former Yugoslav Republic of</t>
        </is>
      </c>
      <c r="J132" t="inlineStr">
        <is>
          <t>CPSC - 16 CFR 1630 Compliant</t>
        </is>
      </c>
    </row>
    <row r="133">
      <c r="F133" t="inlineStr">
        <is>
          <t>Certain combined chemotherapy for lymphomas</t>
        </is>
      </c>
      <c r="H133" t="inlineStr">
        <is>
          <t>Madagascar</t>
        </is>
      </c>
      <c r="J133" t="inlineStr">
        <is>
          <t>CPSC - 16 CFR 1631 Compliant</t>
        </is>
      </c>
    </row>
    <row r="134">
      <c r="F134" t="inlineStr">
        <is>
          <t>Chenodiol</t>
        </is>
      </c>
      <c r="H134" t="inlineStr">
        <is>
          <t>Malawi</t>
        </is>
      </c>
      <c r="J134" t="inlineStr">
        <is>
          <t>CPSC - 16 CFR 1632 Compliant</t>
        </is>
      </c>
    </row>
    <row r="135">
      <c r="F135" t="inlineStr">
        <is>
          <t>Chloral</t>
        </is>
      </c>
      <c r="H135" t="inlineStr">
        <is>
          <t>Malaysia</t>
        </is>
      </c>
      <c r="J135" t="inlineStr">
        <is>
          <t>CPSC - 16 CFR 1633 Compliant</t>
        </is>
      </c>
    </row>
    <row r="136">
      <c r="F136" t="inlineStr">
        <is>
          <t>Chloral hydrate</t>
        </is>
      </c>
      <c r="H136" t="inlineStr">
        <is>
          <t>Maldives</t>
        </is>
      </c>
      <c r="J136" t="inlineStr">
        <is>
          <t>CPSC - 16 CFR Part 1130-Requirements For Consumer Registration Of Durable Infant Or Toddler Products</t>
        </is>
      </c>
    </row>
    <row r="137">
      <c r="F137" t="inlineStr">
        <is>
          <t>Chlorambucil</t>
        </is>
      </c>
      <c r="H137" t="inlineStr">
        <is>
          <t>Mali</t>
        </is>
      </c>
      <c r="J137" t="inlineStr">
        <is>
          <t>CPSC - 16 CFR Part 1307-Prohibition Of Children's Toys And Child Care Articles Containing Specified Phthalates</t>
        </is>
      </c>
    </row>
    <row r="138">
      <c r="F138" t="inlineStr">
        <is>
          <t>Chloramphenicol sodium succinate</t>
        </is>
      </c>
      <c r="H138" t="inlineStr">
        <is>
          <t>Malta</t>
        </is>
      </c>
      <c r="J138" t="inlineStr">
        <is>
          <t>CPSC 16 CFR 1500.3(c)(6)(vi)</t>
        </is>
      </c>
    </row>
    <row r="139">
      <c r="F139" t="inlineStr">
        <is>
          <t>Chlorcyclizine hydrochloride</t>
        </is>
      </c>
      <c r="H139" t="inlineStr">
        <is>
          <t>Marshall Islands</t>
        </is>
      </c>
      <c r="J139" t="inlineStr">
        <is>
          <t>CPSC 16 CFR 1500.44</t>
        </is>
      </c>
    </row>
    <row r="140">
      <c r="F140" t="inlineStr">
        <is>
          <t>Chlordane</t>
        </is>
      </c>
      <c r="H140" t="inlineStr">
        <is>
          <t>Martinique</t>
        </is>
      </c>
      <c r="J140" t="inlineStr">
        <is>
          <t>CPSIA Compliant</t>
        </is>
      </c>
    </row>
    <row r="141">
      <c r="F141" t="inlineStr">
        <is>
          <t>Chlordecone (Kepone)</t>
        </is>
      </c>
      <c r="H141" t="inlineStr">
        <is>
          <t>Mauritania</t>
        </is>
      </c>
      <c r="J141" t="inlineStr">
        <is>
          <t>Cradle to Cradle Certified</t>
        </is>
      </c>
    </row>
    <row r="142">
      <c r="F142" t="inlineStr">
        <is>
          <t>Chlordiazepoxide</t>
        </is>
      </c>
      <c r="H142" t="inlineStr">
        <is>
          <t>Mauritius</t>
        </is>
      </c>
      <c r="J142" t="inlineStr">
        <is>
          <t>CRI Certified</t>
        </is>
      </c>
    </row>
    <row r="143">
      <c r="F143" t="inlineStr">
        <is>
          <t>Chlordiazepoxide hydrochloride</t>
        </is>
      </c>
      <c r="H143" t="inlineStr">
        <is>
          <t>Mayotte</t>
        </is>
      </c>
      <c r="J143" t="inlineStr">
        <is>
          <t>CRI Green Label Certified</t>
        </is>
      </c>
    </row>
    <row r="144">
      <c r="F144" t="inlineStr">
        <is>
          <t>Chlordimeform</t>
        </is>
      </c>
      <c r="H144" t="inlineStr">
        <is>
          <t>Mexico</t>
        </is>
      </c>
      <c r="J144" t="inlineStr">
        <is>
          <t>CRI Green Label Plus Certified</t>
        </is>
      </c>
    </row>
    <row r="145">
      <c r="F145" t="inlineStr">
        <is>
          <t>Chlorendic acid</t>
        </is>
      </c>
      <c r="H145" t="inlineStr">
        <is>
          <t>Micronesia, Federated States of</t>
        </is>
      </c>
      <c r="J145" t="inlineStr">
        <is>
          <t>CSA 2.41-2014/ANSI Z21.97-2014</t>
        </is>
      </c>
    </row>
    <row r="146">
      <c r="F146" t="inlineStr">
        <is>
          <t>Chlorinated paraffins (Average chain length, C12;approximately 60 percent chlorine by weight)</t>
        </is>
      </c>
      <c r="H146" t="inlineStr">
        <is>
          <t>Moldova, Republic of</t>
        </is>
      </c>
      <c r="J146" t="inlineStr">
        <is>
          <t>CSA B125.1 Certified</t>
        </is>
      </c>
    </row>
    <row r="147">
      <c r="F147" t="inlineStr">
        <is>
          <t>p-Chloroaniline</t>
        </is>
      </c>
      <c r="H147" t="inlineStr">
        <is>
          <t>Monaco</t>
        </is>
      </c>
      <c r="J147" t="inlineStr">
        <is>
          <t>CSA B13 Certified</t>
        </is>
      </c>
    </row>
    <row r="148">
      <c r="F148" t="inlineStr">
        <is>
          <t>p-Chloroaniline hydrochloride</t>
        </is>
      </c>
      <c r="H148" t="inlineStr">
        <is>
          <t>Mongolia</t>
        </is>
      </c>
      <c r="J148" t="inlineStr">
        <is>
          <t>CSA B45 Certified</t>
        </is>
      </c>
    </row>
    <row r="149">
      <c r="F149" t="inlineStr">
        <is>
          <t>Chloroethane (Ethyl chloride)</t>
        </is>
      </c>
      <c r="H149" t="inlineStr">
        <is>
          <t>Montenegro</t>
        </is>
      </c>
      <c r="J149" t="inlineStr">
        <is>
          <t>CSA B45.1 Certified</t>
        </is>
      </c>
    </row>
    <row r="150">
      <c r="F150" t="inlineStr">
        <is>
          <t>1-(2-Chloroethyl)-3-cyclohexyl-1-nitrosourea (CCNU) (Lomustine)</t>
        </is>
      </c>
      <c r="H150" t="inlineStr">
        <is>
          <t>Montserrat</t>
        </is>
      </c>
      <c r="J150" t="inlineStr">
        <is>
          <t>CSA B45.2 Certified</t>
        </is>
      </c>
    </row>
    <row r="151">
      <c r="F151" t="inlineStr">
        <is>
          <t>1-(2-Chloroethyl)-3-(4-methylcyclohexyl)-1-nitrosourea (Methyl-CCNU)</t>
        </is>
      </c>
      <c r="H151" t="inlineStr">
        <is>
          <t>Morocco</t>
        </is>
      </c>
      <c r="J151" t="inlineStr">
        <is>
          <t>CSA Certified</t>
        </is>
      </c>
    </row>
    <row r="152">
      <c r="F152" t="inlineStr">
        <is>
          <t>Chloromethyl methyl ether (technical grade)</t>
        </is>
      </c>
      <c r="H152" t="inlineStr">
        <is>
          <t>Mozambique</t>
        </is>
      </c>
      <c r="J152" t="inlineStr">
        <is>
          <t>CSA Listed for Canada</t>
        </is>
      </c>
    </row>
    <row r="153">
      <c r="F153" t="inlineStr">
        <is>
          <t>3-Chloro-2-methylpropene</t>
        </is>
      </c>
      <c r="H153" t="inlineStr">
        <is>
          <t>Myanmar</t>
        </is>
      </c>
      <c r="J153" t="inlineStr">
        <is>
          <t>CSA Listed for USA</t>
        </is>
      </c>
    </row>
    <row r="154">
      <c r="F154" t="inlineStr">
        <is>
          <t>1-Chloro-4-nitrobenzene</t>
        </is>
      </c>
      <c r="H154" t="inlineStr">
        <is>
          <t>Namibia</t>
        </is>
      </c>
      <c r="J154" t="inlineStr">
        <is>
          <t>CSPC - 16 CFR 1750 Compliant</t>
        </is>
      </c>
    </row>
    <row r="155">
      <c r="F155" t="inlineStr">
        <is>
          <t>4-Chloro-o-phenylenediamine</t>
        </is>
      </c>
      <c r="H155" t="inlineStr">
        <is>
          <t>Nauru</t>
        </is>
      </c>
      <c r="J155" t="inlineStr">
        <is>
          <t>cUL Listed</t>
        </is>
      </c>
    </row>
    <row r="156">
      <c r="F156" t="inlineStr">
        <is>
          <t>Chloroprene</t>
        </is>
      </c>
      <c r="H156" t="inlineStr">
        <is>
          <t>Nepal</t>
        </is>
      </c>
      <c r="J156" t="inlineStr">
        <is>
          <t>cUPC Certified</t>
        </is>
      </c>
    </row>
    <row r="157">
      <c r="F157" t="inlineStr">
        <is>
          <t>Chlorothalonil</t>
        </is>
      </c>
      <c r="H157" t="inlineStr">
        <is>
          <t>Netherlands</t>
        </is>
      </c>
      <c r="J157" t="inlineStr">
        <is>
          <t>DECT 6.0 Compliant</t>
        </is>
      </c>
    </row>
    <row r="158">
      <c r="F158" t="inlineStr">
        <is>
          <t>p-Chloro-o-toluidine</t>
        </is>
      </c>
      <c r="H158" t="inlineStr">
        <is>
          <t>Netherlands Antilles</t>
        </is>
      </c>
      <c r="J158" t="inlineStr">
        <is>
          <t>DIN EN 12935 Certified</t>
        </is>
      </c>
    </row>
    <row r="159">
      <c r="F159" t="inlineStr">
        <is>
          <t>p-Chloro-o-toluidine, strong acid salts of</t>
        </is>
      </c>
      <c r="H159" t="inlineStr">
        <is>
          <t>New Caledonia</t>
        </is>
      </c>
      <c r="J159" t="inlineStr">
        <is>
          <t>DIN EN 16647:2016</t>
        </is>
      </c>
    </row>
    <row r="160">
      <c r="F160" t="inlineStr">
        <is>
          <t>5-Chloro-o-toluidine and its strong acid salts</t>
        </is>
      </c>
      <c r="H160" t="inlineStr">
        <is>
          <t>New Zealand</t>
        </is>
      </c>
      <c r="J160" t="inlineStr">
        <is>
          <t>Dry/ Damp/ or Wet Location Listed - CAN</t>
        </is>
      </c>
    </row>
    <row r="161">
      <c r="F161" t="inlineStr">
        <is>
          <t>Chlorotrianisene</t>
        </is>
      </c>
      <c r="H161" t="inlineStr">
        <is>
          <t>Nicaragua</t>
        </is>
      </c>
      <c r="J161" t="inlineStr">
        <is>
          <t>Dry/ Damp/ or Wet Location Listed - USA</t>
        </is>
      </c>
    </row>
    <row r="162">
      <c r="F162" t="inlineStr">
        <is>
          <t>Chlorozotocin</t>
        </is>
      </c>
      <c r="H162" t="inlineStr">
        <is>
          <t>Niger</t>
        </is>
      </c>
      <c r="J162" t="inlineStr">
        <is>
          <t>EU 2018/2005</t>
        </is>
      </c>
    </row>
    <row r="163">
      <c r="F163" t="inlineStr">
        <is>
          <t>Chlorpyrifos</t>
        </is>
      </c>
      <c r="H163" t="inlineStr">
        <is>
          <t>Nigeria</t>
        </is>
      </c>
      <c r="J163" t="inlineStr">
        <is>
          <t>EIA Compliant</t>
        </is>
      </c>
    </row>
    <row r="164">
      <c r="F164" t="inlineStr">
        <is>
          <t>Chromium (hexavalent compounds)</t>
        </is>
      </c>
      <c r="H164" t="inlineStr">
        <is>
          <t>Niue</t>
        </is>
      </c>
      <c r="J164" t="inlineStr">
        <is>
          <t>EISA 2007 Compliant</t>
        </is>
      </c>
    </row>
    <row r="165">
      <c r="F165" t="inlineStr">
        <is>
          <t>Chrysene</t>
        </is>
      </c>
      <c r="H165" t="inlineStr">
        <is>
          <t>Norfolk Island</t>
        </is>
      </c>
      <c r="J165" t="inlineStr">
        <is>
          <t>EN 1111:2017</t>
        </is>
      </c>
    </row>
    <row r="166">
      <c r="F166" t="inlineStr">
        <is>
          <t>C.I. Acid Red 114</t>
        </is>
      </c>
      <c r="H166" t="inlineStr">
        <is>
          <t>Northern Mariana Islands</t>
        </is>
      </c>
      <c r="J166" t="inlineStr">
        <is>
          <t>EN 1130-1:1996 (Safety Requirements for Cribs and Cradles) - EU ONLY</t>
        </is>
      </c>
    </row>
    <row r="167">
      <c r="F167" t="inlineStr">
        <is>
          <t>C.I. Basic Red 9 monohydrochloride</t>
        </is>
      </c>
      <c r="H167" t="inlineStr">
        <is>
          <t>Norway</t>
        </is>
      </c>
      <c r="J167" t="inlineStr">
        <is>
          <t>EN 12221-1 (Standards for Changing Tables) - EU ONLY</t>
        </is>
      </c>
    </row>
    <row r="168">
      <c r="F168" t="inlineStr">
        <is>
          <t>C.I. Direct Blue 15</t>
        </is>
      </c>
      <c r="H168" t="inlineStr">
        <is>
          <t>Oman</t>
        </is>
      </c>
      <c r="J168" t="inlineStr">
        <is>
          <t>EN 1287:2017</t>
        </is>
      </c>
    </row>
    <row r="169">
      <c r="F169" t="inlineStr">
        <is>
          <t>C.I. Direct Blue 218</t>
        </is>
      </c>
      <c r="H169" t="inlineStr">
        <is>
          <t>Pakistan</t>
        </is>
      </c>
      <c r="J169" t="inlineStr">
        <is>
          <t>EN 13219 (Standards for Trampolines) - EU ONLY</t>
        </is>
      </c>
    </row>
    <row r="170">
      <c r="F170" t="inlineStr">
        <is>
          <t>C.I. Disperse Yellow 3</t>
        </is>
      </c>
      <c r="H170" t="inlineStr">
        <is>
          <t>Palau</t>
        </is>
      </c>
      <c r="J170" t="inlineStr">
        <is>
          <t>EN 14428:2015</t>
        </is>
      </c>
    </row>
    <row r="171">
      <c r="F171" t="inlineStr">
        <is>
          <t>C.I. Solvent Yellow 14</t>
        </is>
      </c>
      <c r="H171" t="inlineStr">
        <is>
          <t>Palestinian Territory, Occupied</t>
        </is>
      </c>
      <c r="J171" t="inlineStr">
        <is>
          <t>EN 14516:2019</t>
        </is>
      </c>
    </row>
    <row r="172">
      <c r="F172" t="inlineStr">
        <is>
          <t>Ciclosporin (Cyclosporin A; Cyclosporine)</t>
        </is>
      </c>
      <c r="H172" t="inlineStr">
        <is>
          <t>Panama</t>
        </is>
      </c>
      <c r="J172" t="inlineStr">
        <is>
          <t>EN 14527:2019 Certified</t>
        </is>
      </c>
    </row>
    <row r="173">
      <c r="F173" t="inlineStr">
        <is>
          <t>Cidofovir</t>
        </is>
      </c>
      <c r="H173" t="inlineStr">
        <is>
          <t>Papua New Guinea</t>
        </is>
      </c>
      <c r="J173" t="inlineStr">
        <is>
          <t>EN 14528:2018 Certified</t>
        </is>
      </c>
    </row>
    <row r="174">
      <c r="F174" t="inlineStr">
        <is>
          <t>Cinnamyl anthranilate</t>
        </is>
      </c>
      <c r="H174" t="inlineStr">
        <is>
          <t>Paraguay</t>
        </is>
      </c>
      <c r="J174" t="inlineStr">
        <is>
          <t>EN 1466:2014</t>
        </is>
      </c>
    </row>
    <row r="175">
      <c r="F175" t="inlineStr">
        <is>
          <t>Cisplatin</t>
        </is>
      </c>
      <c r="H175" t="inlineStr">
        <is>
          <t>Peru</t>
        </is>
      </c>
      <c r="J175" t="inlineStr">
        <is>
          <t>EN 14688:2018 Certified</t>
        </is>
      </c>
    </row>
    <row r="176">
      <c r="F176" t="inlineStr">
        <is>
          <t>Citrus Red No. 2</t>
        </is>
      </c>
      <c r="H176" t="inlineStr">
        <is>
          <t>Philippines</t>
        </is>
      </c>
      <c r="J176" t="inlineStr">
        <is>
          <t>EN 14749:2016 Certified</t>
        </is>
      </c>
    </row>
    <row r="177">
      <c r="F177" t="inlineStr">
        <is>
          <t>Cladribine</t>
        </is>
      </c>
      <c r="H177" t="inlineStr">
        <is>
          <t>Pitcairn</t>
        </is>
      </c>
      <c r="J177" t="inlineStr">
        <is>
          <t>EN 14878: 2007 (Requirements for Children's Sleepwear) - EU ONLY</t>
        </is>
      </c>
    </row>
    <row r="178">
      <c r="F178" t="inlineStr">
        <is>
          <t>Clarithromycin</t>
        </is>
      </c>
      <c r="H178" t="inlineStr">
        <is>
          <t>Poland</t>
        </is>
      </c>
      <c r="J178" t="inlineStr">
        <is>
          <t>EN 14988-1 (Safety Standards for High Chairs) - EU ONLY</t>
        </is>
      </c>
    </row>
    <row r="179">
      <c r="F179" t="inlineStr">
        <is>
          <t>Clobetasol propionate</t>
        </is>
      </c>
      <c r="H179" t="inlineStr">
        <is>
          <t>Portugal</t>
        </is>
      </c>
      <c r="J179" t="inlineStr">
        <is>
          <t>EN 15312 (Safety Standards for Multi-Sport Equipment) - EU ONLY</t>
        </is>
      </c>
    </row>
    <row r="180">
      <c r="F180" t="inlineStr">
        <is>
          <t>Clofibrate</t>
        </is>
      </c>
      <c r="H180" t="inlineStr">
        <is>
          <t>Puerto Rico</t>
        </is>
      </c>
      <c r="J180" t="inlineStr">
        <is>
          <t>EN 1725 (Safety Standards for Adult Beds) - EU ONLY</t>
        </is>
      </c>
    </row>
    <row r="181">
      <c r="F181" t="inlineStr">
        <is>
          <t>Clomiphene citrate</t>
        </is>
      </c>
      <c r="H181" t="inlineStr">
        <is>
          <t>Qatar</t>
        </is>
      </c>
      <c r="J181" t="inlineStr">
        <is>
          <t>EN 1930 (Standards for Child Gates and Safety Barriers) - EU ONLY</t>
        </is>
      </c>
    </row>
    <row r="182">
      <c r="F182" t="inlineStr">
        <is>
          <t>Clorazepate dipotassium</t>
        </is>
      </c>
      <c r="H182" t="inlineStr">
        <is>
          <t>Reunion</t>
        </is>
      </c>
      <c r="J182" t="inlineStr">
        <is>
          <t>EN 200:2008 Certified</t>
        </is>
      </c>
    </row>
    <row r="183">
      <c r="F183" t="inlineStr">
        <is>
          <t>CMNP (pyrazachlor)</t>
        </is>
      </c>
      <c r="H183" t="inlineStr">
        <is>
          <t>Romania</t>
        </is>
      </c>
      <c r="J183" t="inlineStr">
        <is>
          <t>EN 50291-1 (Standards for Smoke Detectors and CO Detectors) - EU ONLY</t>
        </is>
      </c>
    </row>
    <row r="184">
      <c r="F184" t="inlineStr">
        <is>
          <t>Cobalt metal powder</t>
        </is>
      </c>
      <c r="H184" t="inlineStr">
        <is>
          <t>Russian Federation</t>
        </is>
      </c>
      <c r="J184" t="inlineStr">
        <is>
          <t>EN 54-12 (Standards for Smoke Detectors and CO Detectors) - EU ONLY</t>
        </is>
      </c>
    </row>
    <row r="185">
      <c r="F185" t="inlineStr">
        <is>
          <t>Cobalt [II] oxide</t>
        </is>
      </c>
      <c r="H185" t="inlineStr">
        <is>
          <t>Rwanda</t>
        </is>
      </c>
      <c r="J185" t="inlineStr">
        <is>
          <t>EN 71 Compliant</t>
        </is>
      </c>
    </row>
    <row r="186">
      <c r="F186" t="inlineStr">
        <is>
          <t>Cobalt sulfate</t>
        </is>
      </c>
      <c r="H186" t="inlineStr">
        <is>
          <t>Saint Barthélemy</t>
        </is>
      </c>
      <c r="J186" t="inlineStr">
        <is>
          <t>EN 71-14:2018 Compliant</t>
        </is>
      </c>
    </row>
    <row r="187">
      <c r="F187" t="inlineStr">
        <is>
          <t>Cobalt sulfate heptahydrate</t>
        </is>
      </c>
      <c r="H187" t="inlineStr">
        <is>
          <t>Saint Helena</t>
        </is>
      </c>
      <c r="J187" t="inlineStr">
        <is>
          <t>EN 747-1 (Standards for Childrens Bunk Beds) - EU ONLY</t>
        </is>
      </c>
    </row>
    <row r="188">
      <c r="F188" t="inlineStr">
        <is>
          <t>Cocaine</t>
        </is>
      </c>
      <c r="H188" t="inlineStr">
        <is>
          <t>Saint Kitts and Nevis</t>
        </is>
      </c>
      <c r="J188" t="inlineStr">
        <is>
          <t>EN 748 (Safety Standards for Football Goals) - EU ONLY</t>
        </is>
      </c>
    </row>
    <row r="189">
      <c r="F189" t="inlineStr">
        <is>
          <t>Coconut oil diethanolamine condensate (cocamide diethanolamine)</t>
        </is>
      </c>
      <c r="H189" t="inlineStr">
        <is>
          <t>Saint Lucia</t>
        </is>
      </c>
      <c r="J189" t="inlineStr">
        <is>
          <t>EN 997:2018</t>
        </is>
      </c>
    </row>
    <row r="190">
      <c r="F190" t="inlineStr">
        <is>
          <t>Codeine phosphate</t>
        </is>
      </c>
      <c r="H190" t="inlineStr">
        <is>
          <t>Saint Martin</t>
        </is>
      </c>
      <c r="J190" t="inlineStr">
        <is>
          <t>Energy Label Type</t>
        </is>
      </c>
    </row>
    <row r="191">
      <c r="F191" t="inlineStr">
        <is>
          <t>Coke oven emissions</t>
        </is>
      </c>
      <c r="H191" t="inlineStr">
        <is>
          <t>Saint Pierre and Miquelon</t>
        </is>
      </c>
      <c r="J191" t="inlineStr">
        <is>
          <t>Energy Policy Act 1992 Compliant</t>
        </is>
      </c>
    </row>
    <row r="192">
      <c r="F192" t="inlineStr">
        <is>
          <t>Colchicine</t>
        </is>
      </c>
      <c r="H192" t="inlineStr">
        <is>
          <t>Saint Vincent and the Grenadines</t>
        </is>
      </c>
      <c r="J192" t="inlineStr">
        <is>
          <t>ENERGY STAR Certified</t>
        </is>
      </c>
    </row>
    <row r="193">
      <c r="F193" t="inlineStr">
        <is>
          <t>Conjugated estrogens</t>
        </is>
      </c>
      <c r="H193" t="inlineStr">
        <is>
          <t>Samoa</t>
        </is>
      </c>
      <c r="J193" t="inlineStr">
        <is>
          <t>EPA Compliant</t>
        </is>
      </c>
    </row>
    <row r="194">
      <c r="F194" t="inlineStr">
        <is>
          <t>Creosotes</t>
        </is>
      </c>
      <c r="H194" t="inlineStr">
        <is>
          <t>San Marino</t>
        </is>
      </c>
      <c r="J194" t="inlineStr">
        <is>
          <t>EPA Pesticide Registration Number</t>
        </is>
      </c>
    </row>
    <row r="195">
      <c r="F195" t="inlineStr">
        <is>
          <t>p-Cresidine</t>
        </is>
      </c>
      <c r="H195" t="inlineStr">
        <is>
          <t>Sao Tome and Principe</t>
        </is>
      </c>
      <c r="J195" t="inlineStr">
        <is>
          <t>EPP Compliant</t>
        </is>
      </c>
    </row>
    <row r="196">
      <c r="F196" t="inlineStr">
        <is>
          <t>Cumene</t>
        </is>
      </c>
      <c r="H196" t="inlineStr">
        <is>
          <t>Saudi Arabia</t>
        </is>
      </c>
      <c r="J196" t="inlineStr">
        <is>
          <t>ETL Listed</t>
        </is>
      </c>
    </row>
    <row r="197">
      <c r="F197" t="inlineStr">
        <is>
          <t>Cupferron</t>
        </is>
      </c>
      <c r="H197" t="inlineStr">
        <is>
          <t>Senegal</t>
        </is>
      </c>
      <c r="J197" t="inlineStr">
        <is>
          <t>EU 2018/1513</t>
        </is>
      </c>
    </row>
    <row r="198">
      <c r="F198" t="inlineStr">
        <is>
          <t>Cyanazine</t>
        </is>
      </c>
      <c r="H198" t="inlineStr">
        <is>
          <t>Serbia</t>
        </is>
      </c>
      <c r="J198" t="inlineStr">
        <is>
          <t>EU Energy Efficiency Class</t>
        </is>
      </c>
    </row>
    <row r="199">
      <c r="F199" t="inlineStr">
        <is>
          <t>Cycasin</t>
        </is>
      </c>
      <c r="H199" t="inlineStr">
        <is>
          <t>Seychelles</t>
        </is>
      </c>
      <c r="J199" t="inlineStr">
        <is>
          <t>EuroLatex ECO-Standard</t>
        </is>
      </c>
    </row>
    <row r="200">
      <c r="F200" t="inlineStr">
        <is>
          <t>Cycloate</t>
        </is>
      </c>
      <c r="H200" t="inlineStr">
        <is>
          <t>Sierra Leone</t>
        </is>
      </c>
      <c r="J200" t="inlineStr">
        <is>
          <t>FCC Compliant</t>
        </is>
      </c>
    </row>
    <row r="201">
      <c r="F201" t="inlineStr">
        <is>
          <t>Cycloheximide</t>
        </is>
      </c>
      <c r="H201" t="inlineStr">
        <is>
          <t>Singapore</t>
        </is>
      </c>
      <c r="J201" t="inlineStr">
        <is>
          <t>FCC Part 15 Compliant</t>
        </is>
      </c>
    </row>
    <row r="202">
      <c r="F202" t="inlineStr">
        <is>
          <t>Cyclopenta[cd]pyrene</t>
        </is>
      </c>
      <c r="H202" t="inlineStr">
        <is>
          <t>Slovakia</t>
        </is>
      </c>
      <c r="J202" t="inlineStr">
        <is>
          <t>FCC Part 68 Compliant</t>
        </is>
      </c>
    </row>
    <row r="203">
      <c r="F203" t="inlineStr">
        <is>
          <t>Cyclophosphamide (anhydrous)</t>
        </is>
      </c>
      <c r="H203" t="inlineStr">
        <is>
          <t>Slovenia</t>
        </is>
      </c>
      <c r="J203" t="inlineStr">
        <is>
          <t>FIRA Certified</t>
        </is>
      </c>
    </row>
    <row r="204">
      <c r="F204" t="inlineStr">
        <is>
          <t>Cyclophosphamide (hydrated)</t>
        </is>
      </c>
      <c r="H204" t="inlineStr">
        <is>
          <t>Solomon Islands</t>
        </is>
      </c>
      <c r="J204" t="inlineStr">
        <is>
          <t>Fire Rated</t>
        </is>
      </c>
    </row>
    <row r="205">
      <c r="F205" t="inlineStr">
        <is>
          <t>Cyhexatin</t>
        </is>
      </c>
      <c r="H205" t="inlineStr">
        <is>
          <t>Somalia</t>
        </is>
      </c>
      <c r="J205" t="inlineStr">
        <is>
          <t>FISP Certified</t>
        </is>
      </c>
    </row>
    <row r="206">
      <c r="F206" t="inlineStr">
        <is>
          <t>Cytarabine</t>
        </is>
      </c>
      <c r="H206" t="inlineStr">
        <is>
          <t>South Africa</t>
        </is>
      </c>
      <c r="J206" t="inlineStr">
        <is>
          <t>FloorScore Certification</t>
        </is>
      </c>
    </row>
    <row r="207">
      <c r="F207" t="inlineStr">
        <is>
          <t>Cytembena</t>
        </is>
      </c>
      <c r="H207" t="inlineStr">
        <is>
          <t>South Georgia and the South Sandwich Islands</t>
        </is>
      </c>
      <c r="J207" t="inlineStr">
        <is>
          <t>FM Approved</t>
        </is>
      </c>
    </row>
    <row r="208">
      <c r="F208" t="inlineStr">
        <is>
          <t>D&amp;C Orange No. 17</t>
        </is>
      </c>
      <c r="H208" t="inlineStr">
        <is>
          <t>Spain</t>
        </is>
      </c>
      <c r="J208" t="inlineStr">
        <is>
          <t>Food Safe</t>
        </is>
      </c>
    </row>
    <row r="209">
      <c r="F209" t="inlineStr">
        <is>
          <t>D&amp;C Red No. 8</t>
        </is>
      </c>
      <c r="H209" t="inlineStr">
        <is>
          <t>Sri Lanka</t>
        </is>
      </c>
      <c r="J209" t="inlineStr">
        <is>
          <t>FSC Certified</t>
        </is>
      </c>
    </row>
    <row r="210">
      <c r="F210" t="inlineStr">
        <is>
          <t>D&amp;C Red No. 9</t>
        </is>
      </c>
      <c r="H210" t="inlineStr">
        <is>
          <t>Sudan</t>
        </is>
      </c>
      <c r="J210" t="inlineStr">
        <is>
          <t>General Certificate of Conformity (GCC)</t>
        </is>
      </c>
    </row>
    <row r="211">
      <c r="F211" t="inlineStr">
        <is>
          <t>D&amp;C Red No. 19</t>
        </is>
      </c>
      <c r="H211" t="inlineStr">
        <is>
          <t>Suriname</t>
        </is>
      </c>
      <c r="J211" t="inlineStr">
        <is>
          <t>Glass Doors and Enclosures Regulations SOR/2016-174</t>
        </is>
      </c>
    </row>
    <row r="212">
      <c r="F212" t="inlineStr">
        <is>
          <t>Dacarbazine</t>
        </is>
      </c>
      <c r="H212" t="inlineStr">
        <is>
          <t>Svalbard and Jan Mayen</t>
        </is>
      </c>
      <c r="J212" t="inlineStr">
        <is>
          <t>Glazed Ceramics and Glassware Regulations SOR/2016-175</t>
        </is>
      </c>
    </row>
    <row r="213">
      <c r="F213" t="inlineStr">
        <is>
          <t>Daminozide</t>
        </is>
      </c>
      <c r="H213" t="inlineStr">
        <is>
          <t>Swaziland</t>
        </is>
      </c>
      <c r="J213" t="inlineStr">
        <is>
          <t>GOLS 3.0 (Global Organic Latex Standard) Certified</t>
        </is>
      </c>
    </row>
    <row r="214">
      <c r="F214" t="inlineStr">
        <is>
          <t>Danazol</t>
        </is>
      </c>
      <c r="H214" t="inlineStr">
        <is>
          <t>Sweden</t>
        </is>
      </c>
      <c r="J214" t="inlineStr">
        <is>
          <t>Goodweave Certified</t>
        </is>
      </c>
    </row>
    <row r="215">
      <c r="F215" t="inlineStr">
        <is>
          <t>Dantron (Chrysazin; 1,8-Dihydroxyanthraquinone)</t>
        </is>
      </c>
      <c r="H215" t="inlineStr">
        <is>
          <t>Switzerland</t>
        </is>
      </c>
      <c r="J215" t="inlineStr">
        <is>
          <t>GOTS 5.0 (Global Organic Textile Standard) Certified</t>
        </is>
      </c>
    </row>
    <row r="216">
      <c r="F216" t="inlineStr">
        <is>
          <t>Daunomycin</t>
        </is>
      </c>
      <c r="H216" t="inlineStr">
        <is>
          <t>Syrian Arab Republic</t>
        </is>
      </c>
      <c r="J216" t="inlineStr">
        <is>
          <t>Green Public Procurement Certified</t>
        </is>
      </c>
    </row>
    <row r="217">
      <c r="F217" t="inlineStr">
        <is>
          <t xml:space="preserve">Daunorubicin hydrochloride </t>
        </is>
      </c>
      <c r="H217" t="inlineStr">
        <is>
          <t>Taiwan</t>
        </is>
      </c>
      <c r="J217" t="inlineStr">
        <is>
          <t>GREENGUARD Certified</t>
        </is>
      </c>
    </row>
    <row r="218">
      <c r="F218" t="inlineStr">
        <is>
          <t>2,4-D butyric acid</t>
        </is>
      </c>
      <c r="H218" t="inlineStr">
        <is>
          <t>Tajikistan</t>
        </is>
      </c>
      <c r="J218" t="inlineStr">
        <is>
          <t>GREENGUARD Gold Certified</t>
        </is>
      </c>
    </row>
    <row r="219">
      <c r="F219" t="inlineStr">
        <is>
          <t>DDD (Dichlorodiphenyl-dichloroethane)</t>
        </is>
      </c>
      <c r="H219" t="inlineStr">
        <is>
          <t>Tanzania, United Republic of</t>
        </is>
      </c>
      <c r="J219" t="inlineStr">
        <is>
          <t>GS (Geprüfte Sicherheit) verzeichnet</t>
        </is>
      </c>
    </row>
    <row r="220">
      <c r="F220" t="inlineStr">
        <is>
          <t>DDE (Dichlorodiphenyl-dichloroethylene)</t>
        </is>
      </c>
      <c r="H220" t="inlineStr">
        <is>
          <t>Thailand</t>
        </is>
      </c>
      <c r="J220" t="inlineStr">
        <is>
          <t>GSA Approved</t>
        </is>
      </c>
    </row>
    <row r="221">
      <c r="F221" t="inlineStr">
        <is>
          <t>DDT (Dichlorodiphenyl-trichloroethane)</t>
        </is>
      </c>
      <c r="H221" t="inlineStr">
        <is>
          <t>Timor-Leste</t>
        </is>
      </c>
      <c r="J221" t="inlineStr">
        <is>
          <t>Health Canada - SOR/2016-176 Compliant</t>
        </is>
      </c>
    </row>
    <row r="222">
      <c r="F222" t="inlineStr">
        <is>
          <t>o,p'-DDT</t>
        </is>
      </c>
      <c r="H222" t="inlineStr">
        <is>
          <t>Togo</t>
        </is>
      </c>
      <c r="J222" t="inlineStr">
        <is>
          <t>Health Canada - SOR/2016-179 Compliant</t>
        </is>
      </c>
    </row>
    <row r="223">
      <c r="F223" t="inlineStr">
        <is>
          <t>p,p'-DDT</t>
        </is>
      </c>
      <c r="H223" t="inlineStr">
        <is>
          <t>Tokelau</t>
        </is>
      </c>
      <c r="J223" t="inlineStr">
        <is>
          <t>Health Canada - SOR/2016-183 Compliant</t>
        </is>
      </c>
    </row>
    <row r="224">
      <c r="F224" t="inlineStr">
        <is>
          <t>DDVP (Dichlorvos)</t>
        </is>
      </c>
      <c r="H224" t="inlineStr">
        <is>
          <t>Tonga</t>
        </is>
      </c>
      <c r="J224" t="inlineStr">
        <is>
          <t>Health Canada Compliant</t>
        </is>
      </c>
    </row>
    <row r="225">
      <c r="F225" t="inlineStr">
        <is>
          <t>Demeclocycline hydrochloride (internal use)</t>
        </is>
      </c>
      <c r="H225" t="inlineStr">
        <is>
          <t>Trinidad and Tobago</t>
        </is>
      </c>
      <c r="J225" t="inlineStr">
        <is>
          <t>HFES 100 Certified Ergonomic</t>
        </is>
      </c>
    </row>
    <row r="226">
      <c r="F226" t="inlineStr">
        <is>
          <t>Des-ethyl atrazine (DEA)</t>
        </is>
      </c>
      <c r="H226" t="inlineStr">
        <is>
          <t>Tunisia</t>
        </is>
      </c>
      <c r="J226" t="inlineStr">
        <is>
          <t>HVI 2100 Certified</t>
        </is>
      </c>
    </row>
    <row r="227">
      <c r="F227" t="inlineStr">
        <is>
          <t>Des-isopropyl atrazine (DIA)</t>
        </is>
      </c>
      <c r="H227" t="inlineStr">
        <is>
          <t>Turkey</t>
        </is>
      </c>
      <c r="J227" t="inlineStr">
        <is>
          <t>HVI Certified</t>
        </is>
      </c>
    </row>
    <row r="228">
      <c r="F228" t="inlineStr">
        <is>
          <t>N,N'-Diacetylbenzidine</t>
        </is>
      </c>
      <c r="H228" t="inlineStr">
        <is>
          <t>Turkmenistan</t>
        </is>
      </c>
      <c r="J228" t="inlineStr">
        <is>
          <t>IAPMO Certified</t>
        </is>
      </c>
    </row>
    <row r="229">
      <c r="F229" t="inlineStr">
        <is>
          <t>2,4-Diaminoanisole</t>
        </is>
      </c>
      <c r="H229" t="inlineStr">
        <is>
          <t>Turks and Caicos Islands</t>
        </is>
      </c>
      <c r="J229" t="inlineStr">
        <is>
          <t>IATA Compliant</t>
        </is>
      </c>
    </row>
    <row r="230">
      <c r="F230" t="inlineStr">
        <is>
          <t>2,4-Diaminoanisole sulfate</t>
        </is>
      </c>
      <c r="H230" t="inlineStr">
        <is>
          <t>Tuvalu</t>
        </is>
      </c>
      <c r="J230" t="inlineStr">
        <is>
          <t>IEC/EN 62471 Compliant</t>
        </is>
      </c>
    </row>
    <row r="231">
      <c r="F231" t="inlineStr">
        <is>
          <t>2,4-Diamino-6-chloro-s-triazine (DACT)</t>
        </is>
      </c>
      <c r="H231" t="inlineStr">
        <is>
          <t>Uganda</t>
        </is>
      </c>
      <c r="J231" t="inlineStr">
        <is>
          <t>Indoor Air Quality Certified</t>
        </is>
      </c>
    </row>
    <row r="232">
      <c r="F232" t="inlineStr">
        <is>
          <t>4,4'-Diaminodiphenyl ether (4,4'-Oxydianiline)</t>
        </is>
      </c>
      <c r="H232" t="inlineStr">
        <is>
          <t>Ukraine</t>
        </is>
      </c>
      <c r="J232" t="inlineStr">
        <is>
          <t>IP Rating</t>
        </is>
      </c>
    </row>
    <row r="233">
      <c r="F233" t="inlineStr">
        <is>
          <t>2,4-Diaminotoluene</t>
        </is>
      </c>
      <c r="H233" t="inlineStr">
        <is>
          <t>United Arab Emirates</t>
        </is>
      </c>
      <c r="J233" t="inlineStr">
        <is>
          <t>IPEMA Certified</t>
        </is>
      </c>
    </row>
    <row r="234">
      <c r="F234" t="inlineStr">
        <is>
          <t>Diazepam</t>
        </is>
      </c>
      <c r="H234" t="inlineStr">
        <is>
          <t>United Kingdom</t>
        </is>
      </c>
      <c r="J234" t="inlineStr">
        <is>
          <t>ISO 14000 Certified</t>
        </is>
      </c>
    </row>
    <row r="235">
      <c r="F235" t="inlineStr">
        <is>
          <t>Diazoaminobenzene</t>
        </is>
      </c>
      <c r="H235" t="inlineStr">
        <is>
          <t>United States Minor Outlying Islands</t>
        </is>
      </c>
      <c r="J235" t="inlineStr">
        <is>
          <t>ISO 14001 Certified</t>
        </is>
      </c>
    </row>
    <row r="236">
      <c r="F236" t="inlineStr">
        <is>
          <t>Diazoxide</t>
        </is>
      </c>
      <c r="H236" t="inlineStr">
        <is>
          <t>Uruguay</t>
        </is>
      </c>
      <c r="J236" t="inlineStr">
        <is>
          <t>ISO 9000 Certified</t>
        </is>
      </c>
    </row>
    <row r="237">
      <c r="F237" t="inlineStr">
        <is>
          <t>Dibenz[a,h]acridine</t>
        </is>
      </c>
      <c r="H237" t="inlineStr">
        <is>
          <t>Uzbekistan</t>
        </is>
      </c>
      <c r="J237" t="inlineStr">
        <is>
          <t>ISO 9001 Certified</t>
        </is>
      </c>
    </row>
    <row r="238">
      <c r="F238" t="inlineStr">
        <is>
          <t>Dibenz[a,j]acridine</t>
        </is>
      </c>
      <c r="H238" t="inlineStr">
        <is>
          <t>Vanuatu</t>
        </is>
      </c>
      <c r="J238" t="inlineStr">
        <is>
          <t>ISTA 1A Certified</t>
        </is>
      </c>
    </row>
    <row r="239">
      <c r="F239" t="inlineStr">
        <is>
          <t>Dibenzanthracenes</t>
        </is>
      </c>
      <c r="H239" t="inlineStr">
        <is>
          <t>Venezuela</t>
        </is>
      </c>
      <c r="J239" t="inlineStr">
        <is>
          <t>ISTA 3A Certified</t>
        </is>
      </c>
    </row>
    <row r="240">
      <c r="F240" t="inlineStr">
        <is>
          <t>Dibenz[a,c]anthracene</t>
        </is>
      </c>
      <c r="H240" t="inlineStr">
        <is>
          <t>Vietnam</t>
        </is>
      </c>
      <c r="J240" t="inlineStr">
        <is>
          <t>ISTA 3A or 6A Certified</t>
        </is>
      </c>
    </row>
    <row r="241">
      <c r="F241" t="inlineStr">
        <is>
          <t>Dibenz[a,h]anthracene</t>
        </is>
      </c>
      <c r="H241" t="inlineStr">
        <is>
          <t>Virgin Islands, British</t>
        </is>
      </c>
      <c r="J241" t="inlineStr">
        <is>
          <t>ISTA1ACertified</t>
        </is>
      </c>
    </row>
    <row r="242">
      <c r="F242" t="inlineStr">
        <is>
          <t>Dibenz[a,j]anthracene</t>
        </is>
      </c>
      <c r="H242" t="inlineStr">
        <is>
          <t>Virgin Islands, U.S.</t>
        </is>
      </c>
      <c r="J242" t="inlineStr">
        <is>
          <t>ISTA3Aor6ACertified</t>
        </is>
      </c>
    </row>
    <row r="243">
      <c r="F243" t="inlineStr">
        <is>
          <t>7H-Dibenzo[c,g]carbazole</t>
        </is>
      </c>
      <c r="H243" t="inlineStr">
        <is>
          <t>Wallis and Futuna</t>
        </is>
      </c>
      <c r="J243" t="inlineStr">
        <is>
          <t>ITSF Compliant</t>
        </is>
      </c>
    </row>
    <row r="244">
      <c r="F244" t="inlineStr">
        <is>
          <t>Dibenzo[a,e]pyrene</t>
        </is>
      </c>
      <c r="H244" t="inlineStr">
        <is>
          <t>Western Sahara</t>
        </is>
      </c>
      <c r="J244" t="inlineStr">
        <is>
          <t>ITTF Approved</t>
        </is>
      </c>
    </row>
    <row r="245">
      <c r="F245" t="inlineStr">
        <is>
          <t>Dibenzo[a,h]pyrene</t>
        </is>
      </c>
      <c r="H245" t="inlineStr">
        <is>
          <t>Yemen</t>
        </is>
      </c>
      <c r="J245" t="inlineStr">
        <is>
          <t>ITTO Compliant</t>
        </is>
      </c>
    </row>
    <row r="246">
      <c r="F246" t="inlineStr">
        <is>
          <t>Dibenzo[a,i]pyrene</t>
        </is>
      </c>
      <c r="H246" t="inlineStr">
        <is>
          <t>Zambia</t>
        </is>
      </c>
      <c r="J246" t="inlineStr">
        <is>
          <t>Janka Hardness Rating (PSI)</t>
        </is>
      </c>
    </row>
    <row r="247">
      <c r="F247" t="inlineStr">
        <is>
          <t>Dibenzo[a,l]pyrene</t>
        </is>
      </c>
      <c r="H247" t="inlineStr">
        <is>
          <t>Zimbabwe</t>
        </is>
      </c>
      <c r="J247" t="inlineStr">
        <is>
          <t>JPMA Certified</t>
        </is>
      </c>
    </row>
    <row r="248">
      <c r="F248" t="inlineStr">
        <is>
          <t>Dibromoacetic acid</t>
        </is>
      </c>
      <c r="H248" t="inlineStr">
        <is>
          <t>United States - APO/FPO/DPO</t>
        </is>
      </c>
      <c r="J248" t="inlineStr">
        <is>
          <t>Kettles Regulations SOR/2016-181</t>
        </is>
      </c>
    </row>
    <row r="249">
      <c r="F249" t="inlineStr">
        <is>
          <t>Dibromoacetonitrile</t>
        </is>
      </c>
      <c r="J249" t="inlineStr">
        <is>
          <t>Lacey Act Compliant</t>
        </is>
      </c>
    </row>
    <row r="250">
      <c r="F250" t="inlineStr">
        <is>
          <t>2,3-Dibromo-1-propanol</t>
        </is>
      </c>
      <c r="J250" t="inlineStr">
        <is>
          <t>LM-79 Certified</t>
        </is>
      </c>
    </row>
    <row r="251">
      <c r="F251" t="inlineStr">
        <is>
          <t>Dichloroacetic acid</t>
        </is>
      </c>
      <c r="J251" t="inlineStr">
        <is>
          <t>LM-80 Certified</t>
        </is>
      </c>
    </row>
    <row r="252">
      <c r="F252" t="inlineStr">
        <is>
          <t>p-Dichlorobenzene</t>
        </is>
      </c>
      <c r="J252" t="inlineStr">
        <is>
          <t>Low Lead Compliant</t>
        </is>
      </c>
    </row>
    <row r="253">
      <c r="F253" t="inlineStr">
        <is>
          <t>3,3'-Dichlorobenzidine</t>
        </is>
      </c>
      <c r="J253" t="inlineStr">
        <is>
          <t>Mattress Flammability Testing - Public Occupancy Use</t>
        </is>
      </c>
    </row>
    <row r="254">
      <c r="F254" t="inlineStr">
        <is>
          <t>3,3'-Dichlorobenzidine dihydrochloride</t>
        </is>
      </c>
      <c r="J254" t="inlineStr">
        <is>
          <t>MERV Rating</t>
        </is>
      </c>
    </row>
    <row r="255">
      <c r="F255" t="inlineStr">
        <is>
          <t>1,1-Dichloro-2,2-bis(p-chloropheny)ethylene (DDE)</t>
        </is>
      </c>
      <c r="J255" t="inlineStr">
        <is>
          <t>MET Listed</t>
        </is>
      </c>
    </row>
    <row r="256">
      <c r="F256" t="inlineStr">
        <is>
          <t>1,4-Dichloro-2-butene</t>
        </is>
      </c>
      <c r="J256" t="inlineStr">
        <is>
          <t>Minnesota 325F.177 Compliant</t>
        </is>
      </c>
    </row>
    <row r="257">
      <c r="F257" t="inlineStr">
        <is>
          <t>3,3'-Dichloro-4,4'-diamino-diphenyl ether</t>
        </is>
      </c>
      <c r="J257" t="inlineStr">
        <is>
          <t>MOHS - Surface Hardness</t>
        </is>
      </c>
    </row>
    <row r="258">
      <c r="F258" t="inlineStr">
        <is>
          <t>1,1-Dichloroethane</t>
        </is>
      </c>
      <c r="J258" t="inlineStr">
        <is>
          <t>NAECA Certified</t>
        </is>
      </c>
    </row>
    <row r="259">
      <c r="F259" t="inlineStr">
        <is>
          <t>Dichloromethane (Methylene chloride)</t>
        </is>
      </c>
      <c r="J259" t="inlineStr">
        <is>
          <t>NAHB Compliant</t>
        </is>
      </c>
    </row>
    <row r="260">
      <c r="F260" t="inlineStr">
        <is>
          <t>Dichlorophene</t>
        </is>
      </c>
      <c r="J260" t="inlineStr">
        <is>
          <t>NEMA Certified</t>
        </is>
      </c>
    </row>
    <row r="261">
      <c r="F261" t="inlineStr">
        <is>
          <t>Dichlorphenamide</t>
        </is>
      </c>
      <c r="J261" t="inlineStr">
        <is>
          <t>New York City Water Regulation Compliant</t>
        </is>
      </c>
    </row>
    <row r="262">
      <c r="F262" t="inlineStr">
        <is>
          <t>1,2-Dichloropropane</t>
        </is>
      </c>
      <c r="J262" t="inlineStr">
        <is>
          <t>NFPA 211 - Standard for Chimeys/ Fireplaces/ Vents and Solid Fuel-Burning Appliances</t>
        </is>
      </c>
    </row>
    <row r="263">
      <c r="F263" t="inlineStr">
        <is>
          <t>1,3-Dichloro-2-propanol (1,3-DCP)</t>
        </is>
      </c>
      <c r="J263" t="inlineStr">
        <is>
          <t>NFPA 253 or ASTM E648 Compliant</t>
        </is>
      </c>
    </row>
    <row r="264">
      <c r="F264" t="inlineStr">
        <is>
          <t>1,3-Dichloropropene</t>
        </is>
      </c>
      <c r="J264" t="inlineStr">
        <is>
          <t>NFPA Compliant</t>
        </is>
      </c>
    </row>
    <row r="265">
      <c r="F265" t="inlineStr">
        <is>
          <t>Dicumarol</t>
        </is>
      </c>
      <c r="J265" t="inlineStr">
        <is>
          <t>NFSI Certified</t>
        </is>
      </c>
    </row>
    <row r="266">
      <c r="F266" t="inlineStr">
        <is>
          <t>Dieldrin</t>
        </is>
      </c>
      <c r="J266" t="inlineStr">
        <is>
          <t>NOMITE Certified</t>
        </is>
      </c>
    </row>
    <row r="267">
      <c r="F267" t="inlineStr">
        <is>
          <t>Diepoxybutane</t>
        </is>
      </c>
      <c r="J267" t="inlineStr">
        <is>
          <t>NRPA Certified</t>
        </is>
      </c>
    </row>
    <row r="268">
      <c r="F268" t="inlineStr">
        <is>
          <t>Diesel engine exhaust</t>
        </is>
      </c>
      <c r="J268" t="inlineStr">
        <is>
          <t>NSF Certified</t>
        </is>
      </c>
    </row>
    <row r="269">
      <c r="F269" t="inlineStr">
        <is>
          <t>Diethanolamine</t>
        </is>
      </c>
      <c r="J269" t="inlineStr">
        <is>
          <t>NSF/ANSI 184 Certified</t>
        </is>
      </c>
    </row>
    <row r="270">
      <c r="F270" t="inlineStr">
        <is>
          <t>Di(2-ethylhexyl)phthalate (DEHP)</t>
        </is>
      </c>
      <c r="J270" t="inlineStr">
        <is>
          <t>NSF/ANSI 3 Certified</t>
        </is>
      </c>
    </row>
    <row r="271">
      <c r="F271" t="inlineStr">
        <is>
          <t>1,2-Diethylhydrazine</t>
        </is>
      </c>
      <c r="J271" t="inlineStr">
        <is>
          <t>FACTS - NSF/ANSI 336 –Compliant</t>
        </is>
      </c>
    </row>
    <row r="272">
      <c r="F272" t="inlineStr">
        <is>
          <t>Diethylstilbestrol (DES)</t>
        </is>
      </c>
      <c r="J272" t="inlineStr">
        <is>
          <t>NSF/ANSI 61 Certified</t>
        </is>
      </c>
    </row>
    <row r="273">
      <c r="F273" t="inlineStr">
        <is>
          <t>Diethyl sulfate</t>
        </is>
      </c>
      <c r="J273" t="inlineStr">
        <is>
          <t>OEKO-TEX Standard 100 Certified</t>
        </is>
      </c>
    </row>
    <row r="274">
      <c r="F274" t="inlineStr">
        <is>
          <t>Diflunisal</t>
        </is>
      </c>
      <c r="J274" t="inlineStr">
        <is>
          <t>OSHA Compliant</t>
        </is>
      </c>
    </row>
    <row r="275">
      <c r="F275" t="inlineStr">
        <is>
          <t>Diglycidyl resorcinol ether (DGRE)</t>
        </is>
      </c>
      <c r="J275" t="inlineStr">
        <is>
          <t>PAT Tested</t>
        </is>
      </c>
    </row>
    <row r="276">
      <c r="F276" t="inlineStr">
        <is>
          <t xml:space="preserve">Dihydroergotamine mesylate </t>
        </is>
      </c>
      <c r="J276" t="inlineStr">
        <is>
          <t>PEFC Certified</t>
        </is>
      </c>
    </row>
    <row r="277">
      <c r="F277" t="inlineStr">
        <is>
          <t>Dihydrosafrole</t>
        </is>
      </c>
      <c r="J277" t="inlineStr">
        <is>
          <t>PEI Rated</t>
        </is>
      </c>
    </row>
    <row r="278">
      <c r="F278" t="inlineStr">
        <is>
          <t>Diisononyl phthalate (DINP)</t>
        </is>
      </c>
      <c r="J278" t="inlineStr">
        <is>
          <t>PEI Rating</t>
        </is>
      </c>
    </row>
    <row r="279">
      <c r="F279" t="inlineStr">
        <is>
          <t>Diisopropyl sulfate</t>
        </is>
      </c>
      <c r="J279" t="inlineStr">
        <is>
          <t>Responsible Down Standard Certified</t>
        </is>
      </c>
    </row>
    <row r="280">
      <c r="F280" t="inlineStr">
        <is>
          <t>Diltiazem hydrochloride</t>
        </is>
      </c>
      <c r="J280" t="inlineStr">
        <is>
          <t>RoHS Compliant</t>
        </is>
      </c>
    </row>
    <row r="281">
      <c r="F281" t="inlineStr">
        <is>
          <t>3,3'-Dimethoxybenzidine (o-Dianisidine)</t>
        </is>
      </c>
      <c r="J281" t="inlineStr">
        <is>
          <t>SATRA Approved</t>
        </is>
      </c>
    </row>
    <row r="282">
      <c r="F282" t="inlineStr">
        <is>
          <t>3,3'-Dimethoxybenzidine dihydrochloride</t>
        </is>
      </c>
      <c r="J282" t="inlineStr">
        <is>
          <t>SCC Compliant</t>
        </is>
      </c>
    </row>
    <row r="283">
      <c r="F283" t="inlineStr">
        <is>
          <t>3,3'-Dimethoxybenzidine-based dyes metabolized to 3,3'-dimethoxybenzidine</t>
        </is>
      </c>
      <c r="J283" t="inlineStr">
        <is>
          <t>SCS Certified</t>
        </is>
      </c>
    </row>
    <row r="284">
      <c r="F284" t="inlineStr">
        <is>
          <t>N,N-Dimethylacetamide</t>
        </is>
      </c>
      <c r="J284" t="inlineStr">
        <is>
          <t>SDWA Compliant</t>
        </is>
      </c>
    </row>
    <row r="285">
      <c r="F285" t="inlineStr">
        <is>
          <t>4-Dimethylaminoazobenzene</t>
        </is>
      </c>
      <c r="J285" t="inlineStr">
        <is>
          <t>SFI Certified</t>
        </is>
      </c>
    </row>
    <row r="286">
      <c r="F286" t="inlineStr">
        <is>
          <t>trans-2-[(Dimethylamino)methylimino]-5-[2-(5-nitro-2-furyl)vinyl]-1,3,4-oxadiazole</t>
        </is>
      </c>
      <c r="J286" t="inlineStr">
        <is>
          <t>SOR/2016-152 - Canadian Regulation - Cribs/ Cradles and Bassinets</t>
        </is>
      </c>
    </row>
    <row r="287">
      <c r="F287" t="inlineStr">
        <is>
          <t>7,12-Dimethylbenz(a)anthracene</t>
        </is>
      </c>
      <c r="J287" t="inlineStr">
        <is>
          <t>SOR/2016-193 - Surface Coating Materials Regulations</t>
        </is>
      </c>
    </row>
    <row r="288">
      <c r="F288" t="inlineStr">
        <is>
          <t>3,3'-Dimethylbenzidine (ortho-Tolidine)</t>
        </is>
      </c>
      <c r="J288" t="inlineStr">
        <is>
          <t>SOR/2018-83 -Consumer Products Containing Lead Regulations</t>
        </is>
      </c>
    </row>
    <row r="289">
      <c r="F289" t="inlineStr">
        <is>
          <t>3,3'-Dimethylbenzidine-based dyes metabolized to 3,3'-dimethylbenzidine</t>
        </is>
      </c>
      <c r="J289" t="inlineStr">
        <is>
          <t>Stiftung Warentest Note</t>
        </is>
      </c>
    </row>
    <row r="290">
      <c r="F290" t="inlineStr">
        <is>
          <t>3,3'-Dimethylbenzidine dihydrochloride</t>
        </is>
      </c>
      <c r="J290" t="inlineStr">
        <is>
          <t>TAA Compliant</t>
        </is>
      </c>
    </row>
    <row r="291">
      <c r="F291" t="inlineStr">
        <is>
          <t>Dimethylcarbamoyl chloride</t>
        </is>
      </c>
      <c r="J291" t="inlineStr">
        <is>
          <t>TCLP Compliant</t>
        </is>
      </c>
    </row>
    <row r="292">
      <c r="F292" t="inlineStr">
        <is>
          <t>N,N-Dimethylformamide</t>
        </is>
      </c>
      <c r="J292" t="inlineStr">
        <is>
          <t>Textile Flammability Regulations SOR/2016-194</t>
        </is>
      </c>
    </row>
    <row r="293">
      <c r="F293" t="inlineStr">
        <is>
          <t>1,1-Dimethylhydrazine (UDMH)</t>
        </is>
      </c>
      <c r="J293" t="inlineStr">
        <is>
          <t>Textile Labelling and Advertising Regulations (C.R.C./ c. 1551)</t>
        </is>
      </c>
    </row>
    <row r="294">
      <c r="F294" t="inlineStr">
        <is>
          <t>1,2-Dimethylhydrazine</t>
        </is>
      </c>
      <c r="J294" t="inlineStr">
        <is>
          <t>Tipover Restraint Device Included</t>
        </is>
      </c>
    </row>
    <row r="295">
      <c r="F295" t="inlineStr">
        <is>
          <t>2,6-Dimethyl-N-nitrosomorpholine (DMNM)</t>
        </is>
      </c>
      <c r="J295" t="inlineStr">
        <is>
          <t>Title 20 - California Code of Regulations</t>
        </is>
      </c>
    </row>
    <row r="296">
      <c r="F296" t="inlineStr">
        <is>
          <t>Dimethyl sulfate</t>
        </is>
      </c>
      <c r="J296" t="inlineStr">
        <is>
          <t>Title 24 Compliant</t>
        </is>
      </c>
    </row>
    <row r="297">
      <c r="F297" t="inlineStr">
        <is>
          <t>N,N-Dimethyl-p-toluidine</t>
        </is>
      </c>
      <c r="J297" t="inlineStr">
        <is>
          <t>Toys Regulations SOR/2016-195</t>
        </is>
      </c>
    </row>
    <row r="298">
      <c r="F298" t="inlineStr">
        <is>
          <t>Dimethylvinylchloride</t>
        </is>
      </c>
      <c r="J298" t="inlineStr">
        <is>
          <t>TSA Compliant</t>
        </is>
      </c>
    </row>
    <row r="299">
      <c r="F299" t="inlineStr">
        <is>
          <t>Di-n-butyl phthalate (DBP)</t>
        </is>
      </c>
      <c r="J299" t="inlineStr">
        <is>
          <t>TSCA Title VI Compliant (formaldehyde emissions)</t>
        </is>
      </c>
    </row>
    <row r="300">
      <c r="F300" t="inlineStr">
        <is>
          <t>3,7-Dinitrofluoranthene</t>
        </is>
      </c>
      <c r="J300" t="inlineStr">
        <is>
          <t>TÜV Rheinland zertifiziert</t>
        </is>
      </c>
    </row>
    <row r="301">
      <c r="F301" t="inlineStr">
        <is>
          <t>3,9-Dinitrofluoranthene</t>
        </is>
      </c>
      <c r="J301" t="inlineStr">
        <is>
          <t>UL 10B Compliant</t>
        </is>
      </c>
    </row>
    <row r="302">
      <c r="F302" t="inlineStr">
        <is>
          <t>1,3-Dinitropyrene</t>
        </is>
      </c>
      <c r="J302" t="inlineStr">
        <is>
          <t>UL 10C Compliant</t>
        </is>
      </c>
    </row>
    <row r="303">
      <c r="F303" t="inlineStr">
        <is>
          <t>1,6-Dinitropyrene</t>
        </is>
      </c>
      <c r="J303" t="inlineStr">
        <is>
          <t>UL 1678 Listed</t>
        </is>
      </c>
    </row>
    <row r="304">
      <c r="F304" t="inlineStr">
        <is>
          <t>1,8-Dinitropyrene</t>
        </is>
      </c>
      <c r="J304" t="inlineStr">
        <is>
          <t>UL 1951 Listed</t>
        </is>
      </c>
    </row>
    <row r="305">
      <c r="F305" t="inlineStr">
        <is>
          <t>2,4-Dinitrotoluene</t>
        </is>
      </c>
      <c r="J305" t="inlineStr">
        <is>
          <t>UL 2108 Listed</t>
        </is>
      </c>
    </row>
    <row r="306">
      <c r="F306" t="inlineStr">
        <is>
          <t>2,6-Dinitrotoluene</t>
        </is>
      </c>
      <c r="J306" t="inlineStr">
        <is>
          <t>UL 4041 - Safety Standard for Outdoor Furniture</t>
        </is>
      </c>
    </row>
    <row r="307">
      <c r="F307" t="inlineStr">
        <is>
          <t>Dinitrotoluene mixture, 2,4-/2,6-</t>
        </is>
      </c>
      <c r="J307" t="inlineStr">
        <is>
          <t>UL Gas-Fired Mark</t>
        </is>
      </c>
    </row>
    <row r="308">
      <c r="F308" t="inlineStr">
        <is>
          <t>Dinocap</t>
        </is>
      </c>
      <c r="J308" t="inlineStr">
        <is>
          <t>UL Listed</t>
        </is>
      </c>
    </row>
    <row r="309">
      <c r="F309" t="inlineStr">
        <is>
          <t>Dinoseb</t>
        </is>
      </c>
      <c r="J309" t="inlineStr">
        <is>
          <t>UN 38.3 Testing Requirements</t>
        </is>
      </c>
    </row>
    <row r="310">
      <c r="F310" t="inlineStr">
        <is>
          <t>Di-n-propyl isocinchomeronate (MGK Repellent 326)</t>
        </is>
      </c>
      <c r="J310" t="inlineStr">
        <is>
          <t>Uniform Packaging and Labeling Regulations (UPLR) Compliant</t>
        </is>
      </c>
    </row>
    <row r="311">
      <c r="F311" t="inlineStr">
        <is>
          <t>1,4-Dioxane</t>
        </is>
      </c>
      <c r="J311" t="inlineStr">
        <is>
          <t>UPC Certified</t>
        </is>
      </c>
    </row>
    <row r="312">
      <c r="F312" t="inlineStr">
        <is>
          <t>Diphenylhydantoin (Phenytoin)</t>
        </is>
      </c>
      <c r="J312" t="inlineStr">
        <is>
          <t>USATT Approved</t>
        </is>
      </c>
    </row>
    <row r="313">
      <c r="F313" t="inlineStr">
        <is>
          <t>Diphenylhydantoin (Phenytoin), sodium salt</t>
        </is>
      </c>
      <c r="J313" t="inlineStr">
        <is>
          <t>USDA Compliant</t>
        </is>
      </c>
    </row>
    <row r="314">
      <c r="F314" t="inlineStr">
        <is>
          <t>Direct Black 38 (technical grade)</t>
        </is>
      </c>
      <c r="J314" t="inlineStr">
        <is>
          <t>USDA Organic/ NOP Certified</t>
        </is>
      </c>
    </row>
    <row r="315">
      <c r="F315" t="inlineStr">
        <is>
          <t>Direct Blue 6 (technical grade)</t>
        </is>
      </c>
      <c r="J315" t="inlineStr">
        <is>
          <t>USPS Approved</t>
        </is>
      </c>
    </row>
    <row r="316">
      <c r="F316" t="inlineStr">
        <is>
          <t>Direct Brown 95 (technical grade)</t>
        </is>
      </c>
      <c r="J316" t="inlineStr">
        <is>
          <t>Vermont Act 193 Compliant</t>
        </is>
      </c>
    </row>
    <row r="317">
      <c r="F317" t="inlineStr">
        <is>
          <t>Disodium cyanodithioimidocarbonate</t>
        </is>
      </c>
      <c r="J317" t="inlineStr">
        <is>
          <t>Washington Children's Safe Product Act</t>
        </is>
      </c>
    </row>
    <row r="318">
      <c r="F318" t="inlineStr">
        <is>
          <t>Disperse Blue 1</t>
        </is>
      </c>
      <c r="J318" t="inlineStr">
        <is>
          <t>Washington State VIAQ Code Compliant</t>
        </is>
      </c>
    </row>
    <row r="319">
      <c r="F319" t="inlineStr">
        <is>
          <t>Diuron</t>
        </is>
      </c>
      <c r="J319" t="inlineStr">
        <is>
          <t>WQA Gold Seal Certified</t>
        </is>
      </c>
    </row>
    <row r="320">
      <c r="F320" t="inlineStr">
        <is>
          <t>Doxorubicin hydrochloride (Adriamycin)</t>
        </is>
      </c>
      <c r="J320" t="inlineStr">
        <is>
          <t>WW-P-541 Certified</t>
        </is>
      </c>
    </row>
    <row r="321">
      <c r="F321" t="inlineStr">
        <is>
          <t>Doxycycline (internal use)</t>
        </is>
      </c>
      <c r="J321" t="inlineStr">
        <is>
          <t>Safety Data Sheets (SDS)</t>
        </is>
      </c>
    </row>
    <row r="322">
      <c r="F322" t="inlineStr">
        <is>
          <t>Doxycycline calcium (internal use)</t>
        </is>
      </c>
      <c r="J322" t="inlineStr">
        <is>
          <t>Canadian Energy Label (EnerGuide)</t>
        </is>
      </c>
    </row>
    <row r="323">
      <c r="F323" t="inlineStr">
        <is>
          <t>Doxycycline hyclate (internal use)</t>
        </is>
      </c>
      <c r="J323" t="inlineStr">
        <is>
          <t>GS Marked</t>
        </is>
      </c>
    </row>
    <row r="324">
      <c r="F324" t="inlineStr">
        <is>
          <t>Doxycycline monohydrate (internal use)</t>
        </is>
      </c>
      <c r="J324" t="inlineStr">
        <is>
          <t>DIN EN 1860</t>
        </is>
      </c>
    </row>
    <row r="325">
      <c r="F325" t="inlineStr">
        <is>
          <t>Emissions from combustion of coal</t>
        </is>
      </c>
      <c r="J325" t="inlineStr">
        <is>
          <t>EN 17072:2018</t>
        </is>
      </c>
    </row>
    <row r="326">
      <c r="F326" t="inlineStr">
        <is>
          <t>Emissions from high-temperature unrefined rapeseed oil</t>
        </is>
      </c>
      <c r="J326" t="inlineStr">
        <is>
          <t>UKCA Marked</t>
        </is>
      </c>
    </row>
    <row r="327">
      <c r="F327" t="inlineStr">
        <is>
          <t>Endrin</t>
        </is>
      </c>
      <c r="J327" t="inlineStr">
        <is>
          <t>ASTM F1169-19 Compliant - Safety Specification for Full Sized Baby Cribs</t>
        </is>
      </c>
    </row>
    <row r="328">
      <c r="F328" t="inlineStr">
        <is>
          <t>Environmental tobacco smoke (ETS)</t>
        </is>
      </c>
      <c r="J328" t="inlineStr">
        <is>
          <t>ASTM F2933-19 Certified</t>
        </is>
      </c>
    </row>
    <row r="329">
      <c r="F329" t="inlineStr">
        <is>
          <t>Epichlorohydrin</t>
        </is>
      </c>
      <c r="J329" t="inlineStr">
        <is>
          <t>ASTM F1912-19 Certified</t>
        </is>
      </c>
    </row>
    <row r="330">
      <c r="F330" t="inlineStr">
        <is>
          <t>Epoxiconazole</t>
        </is>
      </c>
      <c r="J330" t="inlineStr">
        <is>
          <t>ASTM F2088-20 Certified</t>
        </is>
      </c>
    </row>
    <row r="331">
      <c r="F331" t="inlineStr">
        <is>
          <t>Ergotamine tartrate</t>
        </is>
      </c>
      <c r="J331" t="inlineStr">
        <is>
          <t>ASTM F1427-19 - Consumer Safety Specification for Bunk Beds</t>
        </is>
      </c>
    </row>
    <row r="332">
      <c r="F332" t="inlineStr">
        <is>
          <t>Estradiol 17B</t>
        </is>
      </c>
      <c r="J332" t="inlineStr">
        <is>
          <t>ASTM F2085-19 Certified</t>
        </is>
      </c>
    </row>
    <row r="333">
      <c r="F333" t="inlineStr">
        <is>
          <t>Estragole</t>
        </is>
      </c>
      <c r="J333" t="inlineStr">
        <is>
          <t>ASTM F2613-19 Certified</t>
        </is>
      </c>
    </row>
    <row r="334">
      <c r="F334" t="inlineStr">
        <is>
          <t>Estrogens, steroidal</t>
        </is>
      </c>
      <c r="J334" t="inlineStr">
        <is>
          <t>ASTM F3084-20 Certified</t>
        </is>
      </c>
    </row>
    <row r="335">
      <c r="F335" t="inlineStr">
        <is>
          <t>Estrogen-progestogen (combined) used as menopausal therapy</t>
        </is>
      </c>
      <c r="J335" t="inlineStr">
        <is>
          <t>TÜV SÜD Certified</t>
        </is>
      </c>
    </row>
    <row r="336">
      <c r="F336" t="inlineStr">
        <is>
          <t>Estrone</t>
        </is>
      </c>
      <c r="J336" t="inlineStr">
        <is>
          <t>BS EN 442-1:2014 - Requirements for Radiators and Convectors</t>
        </is>
      </c>
    </row>
    <row r="337">
      <c r="F337" t="inlineStr">
        <is>
          <t>Estropipate</t>
        </is>
      </c>
      <c r="J337" t="inlineStr">
        <is>
          <t>CSA B45.5/IAPMO Z124</t>
        </is>
      </c>
    </row>
    <row r="338">
      <c r="F338" t="inlineStr">
        <is>
          <t>Ethanol in alcoholic beverages</t>
        </is>
      </c>
      <c r="J338" t="inlineStr">
        <is>
          <t>ASTM F3429 / F3429M – 20 Compliant - Standard Specification for Disposable Flammable Liquid Fuel Containers</t>
        </is>
      </c>
    </row>
    <row r="339">
      <c r="F339" t="inlineStr">
        <is>
          <t>Ethinylestradiol</t>
        </is>
      </c>
      <c r="J339" t="inlineStr">
        <is>
          <t>REACH (Registration/ Evaluation/ Authorisation and Restriction of Chemicals) Compliant</t>
        </is>
      </c>
    </row>
    <row r="340">
      <c r="F340" t="inlineStr">
        <is>
          <t>Ethionamide</t>
        </is>
      </c>
      <c r="J340" t="inlineStr">
        <is>
          <t>ASTM F1148-20</t>
        </is>
      </c>
    </row>
    <row r="341">
      <c r="F341" t="inlineStr">
        <is>
          <t>Ethoprop</t>
        </is>
      </c>
      <c r="J341" t="inlineStr">
        <is>
          <t>EN 1130:2019 (Safety Requirements for Cribs and Cradles) - EU ONLY</t>
        </is>
      </c>
    </row>
    <row r="342">
      <c r="F342" t="inlineStr">
        <is>
          <t>Ethyl acrylate</t>
        </is>
      </c>
      <c r="J342" t="inlineStr">
        <is>
          <t>UK General Product Safety Regulation</t>
        </is>
      </c>
    </row>
    <row r="343">
      <c r="F343" t="inlineStr">
        <is>
          <t>Ethyl alcohol in alcoholic beverages</t>
        </is>
      </c>
      <c r="J343" t="inlineStr">
        <is>
          <t>EN 16582 - Requirements for Domestic Swimming Pools</t>
        </is>
      </c>
    </row>
    <row r="344">
      <c r="F344" t="inlineStr">
        <is>
          <t>Ethylbenzene</t>
        </is>
      </c>
      <c r="J344" t="inlineStr">
        <is>
          <t>EN 16713 - Requirements for Filtration Systems/ Circulation Systems/ and Treatment in Domestic Swimming Pools</t>
        </is>
      </c>
    </row>
    <row r="345">
      <c r="F345" t="inlineStr">
        <is>
          <t>Ethyl dipropylthiocarbamate</t>
        </is>
      </c>
      <c r="J345" t="inlineStr">
        <is>
          <t>EN 1021 1&amp;2 - Furniture Flammability Standard</t>
        </is>
      </c>
    </row>
    <row r="346">
      <c r="F346" t="inlineStr">
        <is>
          <t>Ethyl-4,4'-dichlorobenzilate</t>
        </is>
      </c>
      <c r="J346" t="inlineStr">
        <is>
          <t>FIRA/FRQG C001:2016 - General Safety Requirements for Children's Furniture</t>
        </is>
      </c>
    </row>
    <row r="347">
      <c r="F347" t="inlineStr">
        <is>
          <t>Ethylene dibromide</t>
        </is>
      </c>
      <c r="J347" t="inlineStr">
        <is>
          <t>BS 8509 - British Safety Standard for Children's Beds</t>
        </is>
      </c>
    </row>
    <row r="348">
      <c r="F348" t="inlineStr">
        <is>
          <t>Ethylene dichloride (1,2-Dichloroethane)</t>
        </is>
      </c>
      <c r="J348" t="inlineStr">
        <is>
          <t>FIRA/FRQG C002:2016 - Seating: Requirements for Strength/ Stability/ and Durability</t>
        </is>
      </c>
    </row>
    <row r="349">
      <c r="F349" t="inlineStr">
        <is>
          <t>Ethylene glycol (ingested)</t>
        </is>
      </c>
      <c r="J349" t="inlineStr">
        <is>
          <t>FIRA/FRQG C003:2016 - Tables and desks: Requirements for strength/ stability and durability</t>
        </is>
      </c>
    </row>
    <row r="350">
      <c r="F350" t="inlineStr">
        <is>
          <t>Ethylene glycol monoethyl ether</t>
        </is>
      </c>
      <c r="J350" t="inlineStr">
        <is>
          <t>FIRA/FRQG C004:2016 - Storage furniture – Requirements for strength/ stability and durability</t>
        </is>
      </c>
    </row>
    <row r="351">
      <c r="F351" t="inlineStr">
        <is>
          <t>Ethylene glycol monoethyl ether acetate</t>
        </is>
      </c>
      <c r="J351" t="inlineStr">
        <is>
          <t>EN 71-8:2018 Compliant</t>
        </is>
      </c>
    </row>
    <row r="352">
      <c r="F352" t="inlineStr">
        <is>
          <t>Ethylene glycol monomethyl ether</t>
        </is>
      </c>
      <c r="J352" t="inlineStr">
        <is>
          <t>EN 71-1:2014 + A1:2018</t>
        </is>
      </c>
    </row>
    <row r="353">
      <c r="F353" t="inlineStr">
        <is>
          <t>Ethylene glycol monomethyl ether acetate</t>
        </is>
      </c>
      <c r="J353" t="inlineStr">
        <is>
          <t>EN 62115:2005+A11:2012</t>
        </is>
      </c>
    </row>
    <row r="354">
      <c r="F354" t="inlineStr">
        <is>
          <t>Ethyleneimine (Aziridine)</t>
        </is>
      </c>
      <c r="J354" t="inlineStr">
        <is>
          <t>EU: 2006/42/EC - EU Machinery Directive</t>
        </is>
      </c>
    </row>
    <row r="355">
      <c r="F355" t="inlineStr">
        <is>
          <t>Ethylene oxide</t>
        </is>
      </c>
      <c r="J355" t="inlineStr">
        <is>
          <t>CPSC - 16 CFR 1222 Compliant</t>
        </is>
      </c>
    </row>
    <row r="356">
      <c r="F356" t="inlineStr">
        <is>
          <t>Ethylene thiourea</t>
        </is>
      </c>
      <c r="J356" t="inlineStr">
        <is>
          <t>CPSC 16 CFR 1227.2</t>
        </is>
      </c>
    </row>
    <row r="357">
      <c r="F357" t="inlineStr">
        <is>
          <t>Ethyl methanesulfonate</t>
        </is>
      </c>
      <c r="J357" t="inlineStr">
        <is>
          <t>EN 16890: 2017</t>
        </is>
      </c>
    </row>
    <row r="358">
      <c r="F358" t="inlineStr">
        <is>
          <t>Etodolac</t>
        </is>
      </c>
      <c r="J358" t="inlineStr">
        <is>
          <t>SOR/2016-167 - Carriages and Strollers Regulations</t>
        </is>
      </c>
    </row>
    <row r="359">
      <c r="F359" t="inlineStr">
        <is>
          <t>Etoposide</t>
        </is>
      </c>
      <c r="J359" t="inlineStr">
        <is>
          <t>Recycled Content</t>
        </is>
      </c>
    </row>
    <row r="360">
      <c r="F360" t="inlineStr">
        <is>
          <t>Etoposide in combination with cisplatin and bleomycin</t>
        </is>
      </c>
      <c r="J360" t="inlineStr">
        <is>
          <t>Global Recycled Standard (Textile Exchange) Certified</t>
        </is>
      </c>
    </row>
    <row r="361">
      <c r="F361" t="inlineStr">
        <is>
          <t>Etretinate</t>
        </is>
      </c>
      <c r="J361" t="inlineStr">
        <is>
          <t>Recycled Claim Standard (Textile Exchange) Certified</t>
        </is>
      </c>
    </row>
    <row r="362">
      <c r="F362" t="inlineStr">
        <is>
          <t>Fenoxaprop ethyl</t>
        </is>
      </c>
      <c r="J362" t="inlineStr">
        <is>
          <t>ISO 14021 Recycled Content Standard Certified</t>
        </is>
      </c>
    </row>
    <row r="363">
      <c r="F363" t="inlineStr">
        <is>
          <t>Fenoxycarb</t>
        </is>
      </c>
      <c r="J363" t="inlineStr">
        <is>
          <t>Organic Content Standard (Textile Exchange) Certified</t>
        </is>
      </c>
    </row>
    <row r="364">
      <c r="F364" t="inlineStr">
        <is>
          <t>Filgrastim</t>
        </is>
      </c>
      <c r="J364" t="inlineStr">
        <is>
          <t>Asthma and Allergy Friendly Certified</t>
        </is>
      </c>
    </row>
    <row r="365">
      <c r="F365" t="inlineStr">
        <is>
          <t>Fluazifop butyl</t>
        </is>
      </c>
      <c r="J365" t="inlineStr">
        <is>
          <t>British Allergy Foundation Seal of Approval</t>
        </is>
      </c>
    </row>
    <row r="366">
      <c r="F366" t="inlineStr">
        <is>
          <t>Flunisolide</t>
        </is>
      </c>
      <c r="J366" t="inlineStr">
        <is>
          <t>Carbon Neutral Certifications</t>
        </is>
      </c>
    </row>
    <row r="367">
      <c r="F367" t="inlineStr">
        <is>
          <t>Fluorouracil</t>
        </is>
      </c>
      <c r="J367" t="inlineStr">
        <is>
          <t>Golden M Certified</t>
        </is>
      </c>
    </row>
    <row r="368">
      <c r="F368" t="inlineStr">
        <is>
          <t>Fluoxymesterone</t>
        </is>
      </c>
      <c r="J368" t="inlineStr">
        <is>
          <t>MAS Certified Green</t>
        </is>
      </c>
    </row>
    <row r="369">
      <c r="F369" t="inlineStr">
        <is>
          <t>Flurazepam hydrochloride</t>
        </is>
      </c>
      <c r="J369" t="inlineStr">
        <is>
          <t>FloorScore Certified</t>
        </is>
      </c>
    </row>
    <row r="370">
      <c r="F370" t="inlineStr">
        <is>
          <t>Flurbiprofen</t>
        </is>
      </c>
      <c r="J370" t="inlineStr">
        <is>
          <t>CertiPUR-EU Certified</t>
        </is>
      </c>
    </row>
    <row r="371">
      <c r="F371" t="inlineStr">
        <is>
          <t>Flutamide</t>
        </is>
      </c>
      <c r="J371" t="inlineStr">
        <is>
          <t>EU Ecolabel</t>
        </is>
      </c>
    </row>
    <row r="372">
      <c r="F372" t="inlineStr">
        <is>
          <t>Fluticasone propionate</t>
        </is>
      </c>
      <c r="J372" t="inlineStr">
        <is>
          <t>EPA WaterSense Certified</t>
        </is>
      </c>
    </row>
    <row r="373">
      <c r="F373" t="inlineStr">
        <is>
          <t>Fluvalinate</t>
        </is>
      </c>
      <c r="J373" t="inlineStr">
        <is>
          <t>Blue Angel Certified</t>
        </is>
      </c>
    </row>
    <row r="374">
      <c r="F374" t="inlineStr">
        <is>
          <t>Folpet</t>
        </is>
      </c>
      <c r="J374" t="inlineStr">
        <is>
          <t>Responsible Down Standard (Textile Exchange) Certified</t>
        </is>
      </c>
    </row>
    <row r="375">
      <c r="F375" t="inlineStr">
        <is>
          <t>Formaldehyde (gas)</t>
        </is>
      </c>
      <c r="J375" t="inlineStr">
        <is>
          <t>Bluesign Certified</t>
        </is>
      </c>
    </row>
    <row r="376">
      <c r="F376" t="inlineStr">
        <is>
          <t>2-(2-Formylhydrazino)-4-(5-nitro-2-furyl)thiazole</t>
        </is>
      </c>
      <c r="J376" t="inlineStr">
        <is>
          <t>GreenScreen Certified</t>
        </is>
      </c>
    </row>
    <row r="377">
      <c r="F377" t="inlineStr">
        <is>
          <t>Fumonisin B1</t>
        </is>
      </c>
      <c r="J377" t="inlineStr">
        <is>
          <t>MADE SAFE Certified</t>
        </is>
      </c>
    </row>
    <row r="378">
      <c r="F378" t="inlineStr">
        <is>
          <t>Furan</t>
        </is>
      </c>
      <c r="J378" t="inlineStr">
        <is>
          <t>Responsible Wool Standard (Textile Exchange) Certified</t>
        </is>
      </c>
    </row>
    <row r="379">
      <c r="F379" t="inlineStr">
        <is>
          <t>Furazolidone</t>
        </is>
      </c>
      <c r="J379" t="inlineStr">
        <is>
          <t>Das Kork Logo Certified</t>
        </is>
      </c>
    </row>
    <row r="380">
      <c r="F380" t="inlineStr">
        <is>
          <t>Furfuryl alcohol</t>
        </is>
      </c>
      <c r="J380" t="inlineStr">
        <is>
          <t>DGM Emissions Label for Furniture</t>
        </is>
      </c>
    </row>
    <row r="381">
      <c r="F381" t="inlineStr">
        <is>
          <t>Furmecyclox</t>
        </is>
      </c>
      <c r="J381" t="inlineStr">
        <is>
          <t>GUT Label</t>
        </is>
      </c>
    </row>
    <row r="382">
      <c r="F382" t="inlineStr">
        <is>
          <t>Fusarin C</t>
        </is>
      </c>
      <c r="J382" t="inlineStr">
        <is>
          <t>LEVEL - ANSI/BIFMA e3 Furniture Sustainability Standard - Certified</t>
        </is>
      </c>
    </row>
    <row r="383">
      <c r="F383" t="inlineStr">
        <is>
          <t>Gallium arsenide</t>
        </is>
      </c>
      <c r="J383" t="inlineStr">
        <is>
          <t>Natureplus Eco-Label</t>
        </is>
      </c>
    </row>
    <row r="384">
      <c r="F384" t="inlineStr">
        <is>
          <t>Ganciclovir</t>
        </is>
      </c>
      <c r="J384" t="inlineStr">
        <is>
          <t>NATURLEDER IVN Certified</t>
        </is>
      </c>
    </row>
    <row r="385">
      <c r="F385" t="inlineStr">
        <is>
          <t>Ganciclovir sodium</t>
        </is>
      </c>
      <c r="J385" t="inlineStr">
        <is>
          <t>NATURTEXTIL IVN Certified BEST</t>
        </is>
      </c>
    </row>
    <row r="386">
      <c r="F386" t="inlineStr">
        <is>
          <t>Gasoline engine exhaust (condensates/extracts)</t>
        </is>
      </c>
      <c r="J386" t="inlineStr">
        <is>
          <t>ÖkoControl Seal</t>
        </is>
      </c>
    </row>
    <row r="387">
      <c r="F387" t="inlineStr">
        <is>
          <t>Gemfibrozil</t>
        </is>
      </c>
      <c r="J387" t="inlineStr">
        <is>
          <t>Sustainability Assessment for Carpet - NSF/ANSI 140 - Compliant</t>
        </is>
      </c>
    </row>
    <row r="388">
      <c r="F388" t="inlineStr">
        <is>
          <t>Glass wool fibers (inhalable and biopersistent)</t>
        </is>
      </c>
      <c r="J388" t="inlineStr">
        <is>
          <t>Sustainability Assessment for Wallcovering Products - NSF/ANSI 342 - Compliant</t>
        </is>
      </c>
    </row>
    <row r="389">
      <c r="F389" t="inlineStr">
        <is>
          <t>Glu-P-1 (2-Amino-6-methyldipyrido[1,2- a:3',2'-d]imidazole)</t>
        </is>
      </c>
      <c r="J389" t="inlineStr">
        <is>
          <t>Type III Product Specific Environmental Product Declaration (EPD)</t>
        </is>
      </c>
    </row>
    <row r="390">
      <c r="F390" t="inlineStr">
        <is>
          <t>Glu-P-2 (2-Aminodipyrido[1,2-a:3',2'-d]imidazole)</t>
        </is>
      </c>
      <c r="J390" t="inlineStr">
        <is>
          <t>UL ECOLOGO Certified</t>
        </is>
      </c>
    </row>
    <row r="391">
      <c r="F391" t="inlineStr">
        <is>
          <t>Glycidaldehyde</t>
        </is>
      </c>
      <c r="J391" t="inlineStr">
        <is>
          <t>USDA BioBased Product</t>
        </is>
      </c>
    </row>
    <row r="392">
      <c r="F392" t="inlineStr">
        <is>
          <t>Glycidol</t>
        </is>
      </c>
      <c r="J392" t="inlineStr">
        <is>
          <t>DOWNPASS Certified</t>
        </is>
      </c>
    </row>
    <row r="393">
      <c r="F393" t="inlineStr">
        <is>
          <t>Glyphosate</t>
        </is>
      </c>
      <c r="J393" t="inlineStr">
        <is>
          <t>Green Squared (G2) Certified</t>
        </is>
      </c>
    </row>
    <row r="394">
      <c r="F394" t="inlineStr">
        <is>
          <t>Goldenseal root powder</t>
        </is>
      </c>
      <c r="J394" t="inlineStr">
        <is>
          <t>FairTrade Certified</t>
        </is>
      </c>
    </row>
    <row r="395">
      <c r="F395" t="inlineStr">
        <is>
          <t>Goserelin acetate</t>
        </is>
      </c>
      <c r="J395" t="inlineStr">
        <is>
          <t>FairTrade Certified Cotton</t>
        </is>
      </c>
    </row>
    <row r="396">
      <c r="F396" t="inlineStr">
        <is>
          <t>Griseofulvin</t>
        </is>
      </c>
      <c r="J396" t="inlineStr">
        <is>
          <t>FSC 100% Certified</t>
        </is>
      </c>
    </row>
    <row r="397">
      <c r="F397" t="inlineStr">
        <is>
          <t>Gyromitrin (Acetaldehyde methylformylhydrazone)</t>
        </is>
      </c>
      <c r="J397" t="inlineStr">
        <is>
          <t>FSC MIX Certified</t>
        </is>
      </c>
    </row>
    <row r="398">
      <c r="F398" t="inlineStr">
        <is>
          <t>Halazepam</t>
        </is>
      </c>
      <c r="J398" t="inlineStr">
        <is>
          <t>FSC Recycled</t>
        </is>
      </c>
    </row>
    <row r="399">
      <c r="F399" t="inlineStr">
        <is>
          <t>Halobetasol propionate</t>
        </is>
      </c>
      <c r="J399" t="inlineStr">
        <is>
          <t>SFI Certified Sourcing</t>
        </is>
      </c>
    </row>
    <row r="400">
      <c r="F400" t="inlineStr">
        <is>
          <t>Haloperidol</t>
        </is>
      </c>
      <c r="J400" t="inlineStr">
        <is>
          <t>SFI Chain-of-Custody Certified</t>
        </is>
      </c>
    </row>
    <row r="401">
      <c r="F401" t="inlineStr">
        <is>
          <t>Halothane</t>
        </is>
      </c>
      <c r="J401" t="inlineStr">
        <is>
          <t>SFI Fiber Sourcing Certified</t>
        </is>
      </c>
    </row>
    <row r="402">
      <c r="F402" t="inlineStr">
        <is>
          <t>HC Blue 1</t>
        </is>
      </c>
      <c r="J402" t="inlineStr">
        <is>
          <t>ENERGY STAR Canada Certified</t>
        </is>
      </c>
    </row>
    <row r="403">
      <c r="F403" t="inlineStr">
        <is>
          <t>Heptachlor</t>
        </is>
      </c>
      <c r="J403" t="inlineStr">
        <is>
          <t>Carbon Neutral - PAS 2060 - Certified</t>
        </is>
      </c>
    </row>
    <row r="404">
      <c r="F404" t="inlineStr">
        <is>
          <t>Heptachlor epoxide</t>
        </is>
      </c>
      <c r="J404" t="inlineStr">
        <is>
          <t>Carbonfree Product Certification</t>
        </is>
      </c>
    </row>
    <row r="405">
      <c r="F405" t="inlineStr">
        <is>
          <t>Herbal remedies containing plant species of the genus Aristolochia</t>
        </is>
      </c>
      <c r="J405" t="inlineStr">
        <is>
          <t>Indoor Advantage Certified</t>
        </is>
      </c>
    </row>
    <row r="406">
      <c r="F406" t="inlineStr">
        <is>
          <t>Hexachlorobenzene</t>
        </is>
      </c>
      <c r="J406" t="inlineStr">
        <is>
          <t>Indoor Advantage Gold Certified</t>
        </is>
      </c>
    </row>
    <row r="407">
      <c r="F407" t="inlineStr">
        <is>
          <t>Hexachlorobutadiene</t>
        </is>
      </c>
      <c r="J407" t="inlineStr">
        <is>
          <t>Indoor Air Comfort Certified</t>
        </is>
      </c>
    </row>
    <row r="408">
      <c r="F408" t="inlineStr">
        <is>
          <t>Hexachlorodibenzodioxin</t>
        </is>
      </c>
      <c r="J408" t="inlineStr">
        <is>
          <t>Indoor Air Comfort GOLD Certified</t>
        </is>
      </c>
    </row>
    <row r="409">
      <c r="F409" t="inlineStr">
        <is>
          <t>Hexachloroethane</t>
        </is>
      </c>
      <c r="J409" t="inlineStr">
        <is>
          <t>OEKO-TEX LEATHER STANDARD Certified</t>
        </is>
      </c>
    </row>
    <row r="410">
      <c r="F410" t="inlineStr">
        <is>
          <t>2,4-Hexadienal (89% trans, trans isomer; 11% cis, trans isomer)</t>
        </is>
      </c>
      <c r="J410" t="inlineStr">
        <is>
          <t>OEKO-TEX MADE IN GREEN Certified</t>
        </is>
      </c>
    </row>
    <row r="411">
      <c r="F411" t="inlineStr">
        <is>
          <t>Hexafluoroacetone</t>
        </is>
      </c>
      <c r="J411" t="inlineStr">
        <is>
          <t>Cradle to Cradle Material Health Certificate</t>
        </is>
      </c>
    </row>
    <row r="412">
      <c r="F412" t="inlineStr">
        <is>
          <t>Hexamethylphosphoramide</t>
        </is>
      </c>
      <c r="J412" t="inlineStr">
        <is>
          <t>eco-INSTITUT-Label</t>
        </is>
      </c>
    </row>
    <row r="413">
      <c r="F413" t="inlineStr">
        <is>
          <t>Histrelin acetate</t>
        </is>
      </c>
      <c r="J413" t="inlineStr">
        <is>
          <t>CARB Certified (Ozone Emissions for Air Cleaners)</t>
        </is>
      </c>
    </row>
    <row r="414">
      <c r="F414" t="inlineStr">
        <is>
          <t>Hydramethylnon</t>
        </is>
      </c>
      <c r="J414" t="inlineStr">
        <is>
          <t>EN 1103:2006</t>
        </is>
      </c>
    </row>
    <row r="415">
      <c r="F415" t="inlineStr">
        <is>
          <t>Hydrazine</t>
        </is>
      </c>
      <c r="J415" t="inlineStr">
        <is>
          <t>Code of Practice for Fire Safety of Furnishings and Fittings in Places of Assembly</t>
        </is>
      </c>
    </row>
    <row r="416">
      <c r="F416" t="inlineStr">
        <is>
          <t>Hydrazine sulfate</t>
        </is>
      </c>
      <c r="J416" t="inlineStr">
        <is>
          <t>EN 13773</t>
        </is>
      </c>
    </row>
    <row r="417">
      <c r="F417" t="inlineStr">
        <is>
          <t>Hydrazobenzene (1,2-Diphenylhydrazine)</t>
        </is>
      </c>
      <c r="J417" t="inlineStr">
        <is>
          <t>I.S. 419:2011</t>
        </is>
      </c>
    </row>
    <row r="418">
      <c r="F418" t="inlineStr">
        <is>
          <t>1-Hydroxyanthraquinone</t>
        </is>
      </c>
      <c r="J418" t="inlineStr">
        <is>
          <t>ÖNORM A3800-1</t>
        </is>
      </c>
    </row>
    <row r="419">
      <c r="F419" t="inlineStr">
        <is>
          <t>Hydroxyurea</t>
        </is>
      </c>
      <c r="J419" t="inlineStr">
        <is>
          <t>ÖNORM B 3825</t>
        </is>
      </c>
    </row>
    <row r="420">
      <c r="F420" t="inlineStr">
        <is>
          <t>Idarubicin hydrochloride</t>
        </is>
      </c>
      <c r="J420" t="inlineStr">
        <is>
          <t>EN 14619:2019</t>
        </is>
      </c>
    </row>
    <row r="421">
      <c r="F421" t="inlineStr">
        <is>
          <t>Ifosfamide</t>
        </is>
      </c>
      <c r="J421" t="inlineStr">
        <is>
          <t>Product Attestation</t>
        </is>
      </c>
    </row>
    <row r="422">
      <c r="F422" t="inlineStr">
        <is>
          <t>Iodine-131</t>
        </is>
      </c>
      <c r="J422" t="inlineStr">
        <is>
          <t>California Carpet Stewardship Program Compliant</t>
        </is>
      </c>
    </row>
    <row r="423">
      <c r="F423" t="inlineStr">
        <is>
          <t>Imazalil</t>
        </is>
      </c>
      <c r="J423" t="inlineStr">
        <is>
          <t>Is Responsible Person Information Available</t>
        </is>
      </c>
    </row>
    <row r="424">
      <c r="F424" t="inlineStr">
        <is>
          <t>Indeno[1,2,3-cd]pyrene</t>
        </is>
      </c>
      <c r="J424" t="inlineStr">
        <is>
          <t>FIRA/FRQG C001: 2021 Furniture - Children’s Domestic Furniture – General Safety Requirements</t>
        </is>
      </c>
    </row>
    <row r="425">
      <c r="F425" t="inlineStr">
        <is>
          <t>Indium phosphide</t>
        </is>
      </c>
      <c r="J425" t="inlineStr">
        <is>
          <t>BS EN 17191:2021</t>
        </is>
      </c>
    </row>
    <row r="426">
      <c r="F426" t="inlineStr">
        <is>
          <t>IQ (2-Amino-3-methylimidazo[4,5-f] quinoline)</t>
        </is>
      </c>
      <c r="J426" t="inlineStr">
        <is>
          <t>FIRA/FRQG C003: 2021 Furniture - Children’s Domestic Furniture – Tables &amp; Desks – Requirements for Strength/ Stability and Durability</t>
        </is>
      </c>
    </row>
    <row r="427">
      <c r="F427" t="inlineStr">
        <is>
          <t>Iprodione</t>
        </is>
      </c>
      <c r="J427" t="inlineStr">
        <is>
          <t>National Minority Supplier Development Council Certification</t>
        </is>
      </c>
    </row>
    <row r="428">
      <c r="F428" t="inlineStr">
        <is>
          <t>Iron dextran complex</t>
        </is>
      </c>
      <c r="J428" t="inlineStr">
        <is>
          <t>Small Business Administration Certification</t>
        </is>
      </c>
    </row>
    <row r="429">
      <c r="F429" t="inlineStr">
        <is>
          <t>Isobutyl nitrite</t>
        </is>
      </c>
      <c r="J429" t="inlineStr">
        <is>
          <t>SupplierGATEWAY Enhanced Digital Certification</t>
        </is>
      </c>
    </row>
    <row r="430">
      <c r="F430" t="inlineStr">
        <is>
          <t>Isoprene</t>
        </is>
      </c>
      <c r="J430" t="inlineStr">
        <is>
          <t>System for Award Management Certification</t>
        </is>
      </c>
    </row>
    <row r="431">
      <c r="F431" t="inlineStr">
        <is>
          <t>Isopyrazam</t>
        </is>
      </c>
      <c r="J431" t="inlineStr">
        <is>
          <t>Women’s Business Enterprise National Council Certification</t>
        </is>
      </c>
    </row>
    <row r="432">
      <c r="F432" t="inlineStr">
        <is>
          <t>Isotretinoin</t>
        </is>
      </c>
      <c r="J432" t="inlineStr">
        <is>
          <t>Other Minority Business Enterprise Certification</t>
        </is>
      </c>
    </row>
    <row r="433">
      <c r="F433" t="inlineStr">
        <is>
          <t>Isoxaflutole</t>
        </is>
      </c>
      <c r="J433" t="inlineStr">
        <is>
          <t>&gt; 50% Black/ Women or LatinX Certification</t>
        </is>
      </c>
    </row>
    <row r="434">
      <c r="F434" t="inlineStr">
        <is>
          <t>Kresoxim-methyl</t>
        </is>
      </c>
      <c r="J434" t="inlineStr">
        <is>
          <t>EU Food Contact Regulation - Plastics</t>
        </is>
      </c>
    </row>
    <row r="435">
      <c r="F435" t="inlineStr">
        <is>
          <t>Lactofen</t>
        </is>
      </c>
      <c r="J435" t="inlineStr">
        <is>
          <t>Fairtrade International Certified - Sports Ball</t>
        </is>
      </c>
    </row>
    <row r="436">
      <c r="F436" t="inlineStr">
        <is>
          <t>Lasiocarpine</t>
        </is>
      </c>
      <c r="J436" t="inlineStr">
        <is>
          <t>FLOCERT Expiration Date</t>
        </is>
      </c>
    </row>
    <row r="437">
      <c r="F437" t="inlineStr">
        <is>
          <t>Lead</t>
        </is>
      </c>
      <c r="J437" t="inlineStr">
        <is>
          <t>CANFER Compliant</t>
        </is>
      </c>
    </row>
    <row r="438">
      <c r="F438" t="inlineStr">
        <is>
          <t>Lead and lead compounds</t>
        </is>
      </c>
      <c r="J438" t="inlineStr">
        <is>
          <t>ASTM F2710-19 Compliant</t>
        </is>
      </c>
    </row>
    <row r="439">
      <c r="F439" t="inlineStr">
        <is>
          <t>Lead acetate</t>
        </is>
      </c>
      <c r="J439" t="inlineStr">
        <is>
          <t>CPSC 16 CFR 1207</t>
        </is>
      </c>
    </row>
    <row r="440">
      <c r="F440" t="inlineStr">
        <is>
          <t>Lead phosphate</t>
        </is>
      </c>
      <c r="J440" t="inlineStr">
        <is>
          <t>ASTM F1004-22 Compliant</t>
        </is>
      </c>
    </row>
    <row r="441">
      <c r="F441" t="inlineStr">
        <is>
          <t>Lead subacetate</t>
        </is>
      </c>
      <c r="J441" t="inlineStr">
        <is>
          <t>BS EN 14960 Compliant (Inflatables)</t>
        </is>
      </c>
    </row>
    <row r="442">
      <c r="F442" t="inlineStr">
        <is>
          <t>Leather dust</t>
        </is>
      </c>
      <c r="J442" t="inlineStr">
        <is>
          <t>EN 14468-1:2015 Compliant (Table Tennis Tables)</t>
        </is>
      </c>
    </row>
    <row r="443">
      <c r="F443" t="inlineStr">
        <is>
          <t>Leuprolide acetate</t>
        </is>
      </c>
      <c r="J443" t="inlineStr">
        <is>
          <t>BS 7972:2001+A1:2009 Compliant (Children's bedguards)</t>
        </is>
      </c>
    </row>
    <row r="444">
      <c r="F444" t="inlineStr">
        <is>
          <t>Levodopa</t>
        </is>
      </c>
      <c r="J444" t="inlineStr">
        <is>
          <t>Energy Efficiency Regulations Compliant</t>
        </is>
      </c>
    </row>
    <row r="445">
      <c r="F445" t="inlineStr">
        <is>
          <t>Lindane and other hexachlorocyclohexane isomers</t>
        </is>
      </c>
      <c r="J445" t="inlineStr">
        <is>
          <t>EU/UK Timber Compliant</t>
        </is>
      </c>
    </row>
    <row r="446">
      <c r="F446" t="inlineStr">
        <is>
          <t>Linuron</t>
        </is>
      </c>
      <c r="J446" t="inlineStr">
        <is>
          <t>SOR/2023-101 - Carriages and Strollers</t>
        </is>
      </c>
    </row>
    <row r="447">
      <c r="F447" t="inlineStr">
        <is>
          <t>Lithium carbonate</t>
        </is>
      </c>
      <c r="J447" t="inlineStr">
        <is>
          <t>ASTM F2388-21</t>
        </is>
      </c>
    </row>
    <row r="448">
      <c r="F448" t="inlineStr">
        <is>
          <t>Lithium citrate</t>
        </is>
      </c>
      <c r="J448" t="inlineStr">
        <is>
          <t>EN 16779-1: 2018</t>
        </is>
      </c>
    </row>
    <row r="449">
      <c r="F449" t="inlineStr">
        <is>
          <t>Lorazepam</t>
        </is>
      </c>
      <c r="J449" t="inlineStr">
        <is>
          <t>ASTM F406-22</t>
        </is>
      </c>
    </row>
    <row r="450">
      <c r="F450" t="inlineStr">
        <is>
          <t>Lovastatin</t>
        </is>
      </c>
      <c r="J450" t="inlineStr">
        <is>
          <t>ANSI Z21.11.2-2019</t>
        </is>
      </c>
    </row>
    <row r="451">
      <c r="F451" t="inlineStr">
        <is>
          <t>Lynestrenol</t>
        </is>
      </c>
      <c r="J451" t="inlineStr">
        <is>
          <t>ASTM B117-19</t>
        </is>
      </c>
    </row>
    <row r="452">
      <c r="F452" t="inlineStr">
        <is>
          <t>Malathion</t>
        </is>
      </c>
      <c r="J452" t="inlineStr">
        <is>
          <t>CPSC - 40 CFR 60</t>
        </is>
      </c>
    </row>
    <row r="453">
      <c r="F453" t="inlineStr">
        <is>
          <t>Malonaldehyde, sodium salt</t>
        </is>
      </c>
      <c r="J453" t="inlineStr">
        <is>
          <t>CSA / ANSI Z21.58:22</t>
        </is>
      </c>
    </row>
    <row r="454">
      <c r="F454" t="inlineStr">
        <is>
          <t>Mancozeb</t>
        </is>
      </c>
      <c r="J454" t="inlineStr">
        <is>
          <t>CSA / ANSI Z83.26:20</t>
        </is>
      </c>
    </row>
    <row r="455">
      <c r="F455" t="inlineStr">
        <is>
          <t>Maneb</t>
        </is>
      </c>
      <c r="J455" t="inlineStr">
        <is>
          <t>EC No. 1907/2006 Annex XVII</t>
        </is>
      </c>
    </row>
    <row r="456">
      <c r="F456" t="inlineStr">
        <is>
          <t>Marijuana smoke</t>
        </is>
      </c>
      <c r="J456" t="inlineStr">
        <is>
          <t>EC No. 1935/2004</t>
        </is>
      </c>
    </row>
    <row r="457">
      <c r="F457" t="inlineStr">
        <is>
          <t>Me-A-alpha-C (2-Amino-3-methyl-9H-pyrido[2,3-b]indole)</t>
        </is>
      </c>
      <c r="J457" t="inlineStr">
        <is>
          <t>FDA Generally Recognized as Safe (GRAS)</t>
        </is>
      </c>
    </row>
    <row r="458">
      <c r="F458" t="inlineStr">
        <is>
          <t>Mebendazole</t>
        </is>
      </c>
      <c r="J458" t="inlineStr">
        <is>
          <t>UL 1278 4th Ed</t>
        </is>
      </c>
    </row>
    <row r="459">
      <c r="F459" t="inlineStr">
        <is>
          <t>Medroxyprogesterone acetate</t>
        </is>
      </c>
      <c r="J459" t="inlineStr">
        <is>
          <t>UL 2021 4th Ed</t>
        </is>
      </c>
    </row>
    <row r="460">
      <c r="F460" t="inlineStr">
        <is>
          <t>Megestrol acetate</t>
        </is>
      </c>
      <c r="J460" t="inlineStr">
        <is>
          <t>EN 12520</t>
        </is>
      </c>
    </row>
    <row r="461">
      <c r="F461" t="inlineStr">
        <is>
          <t>MeIQ (2-Amino-3,4-dimethylimidazo[4,5-f]quinoline)</t>
        </is>
      </c>
      <c r="J461" t="inlineStr">
        <is>
          <t>BS EN 16781</t>
        </is>
      </c>
    </row>
    <row r="462">
      <c r="F462" t="inlineStr">
        <is>
          <t>MeIQx (2-Amino-3,8-dimethylimidazo[4,5-f]quinoxaline)</t>
        </is>
      </c>
      <c r="J462" t="inlineStr">
        <is>
          <t>ASTM F2057-23 (STURDY)</t>
        </is>
      </c>
    </row>
    <row r="463">
      <c r="F463" t="inlineStr">
        <is>
          <t>Melphalan</t>
        </is>
      </c>
      <c r="J463" t="inlineStr">
        <is>
          <t>EN 16780: 2018</t>
        </is>
      </c>
    </row>
    <row r="464">
      <c r="F464" t="inlineStr">
        <is>
          <t>Menotropins</t>
        </is>
      </c>
      <c r="J464" t="inlineStr">
        <is>
          <t>ASTM F2613-21</t>
        </is>
      </c>
    </row>
    <row r="465">
      <c r="F465" t="inlineStr">
        <is>
          <t>Mepanipyrim</t>
        </is>
      </c>
      <c r="J465" t="inlineStr">
        <is>
          <t>ASTM F1427-21e1</t>
        </is>
      </c>
    </row>
    <row r="466">
      <c r="F466" t="inlineStr">
        <is>
          <t>Meprobamate</t>
        </is>
      </c>
      <c r="J466" t="inlineStr">
        <is>
          <t>Unified Water Label</t>
        </is>
      </c>
    </row>
    <row r="467">
      <c r="F467" t="inlineStr">
        <is>
          <t>2-Mercaptobenzothiazole</t>
        </is>
      </c>
      <c r="J467" t="inlineStr">
        <is>
          <t>CPSC - 16 CFR 1241</t>
        </is>
      </c>
    </row>
    <row r="468">
      <c r="F468" t="inlineStr">
        <is>
          <t>Mercaptopurine</t>
        </is>
      </c>
      <c r="J468" t="inlineStr">
        <is>
          <t>CPSC - 16 CFR 1263 Compliant (Reese's Law)</t>
        </is>
      </c>
    </row>
    <row r="469">
      <c r="F469" t="inlineStr">
        <is>
          <t>Mercury and mercury compounds</t>
        </is>
      </c>
      <c r="J469" t="inlineStr">
        <is>
          <t>Commercial Warranty</t>
        </is>
      </c>
    </row>
    <row r="470">
      <c r="F470" t="inlineStr">
        <is>
          <t>Merphalan</t>
        </is>
      </c>
      <c r="J470" t="inlineStr">
        <is>
          <t>EU 2024/590</t>
        </is>
      </c>
    </row>
    <row r="471">
      <c r="F471" t="inlineStr">
        <is>
          <t>Mestranol</t>
        </is>
      </c>
      <c r="J471" t="inlineStr">
        <is>
          <t>BS EN 597-1</t>
        </is>
      </c>
    </row>
    <row r="472">
      <c r="F472" t="inlineStr">
        <is>
          <t>Metam potassium</t>
        </is>
      </c>
      <c r="J472" t="inlineStr">
        <is>
          <t>ASTM F1912-21 Compliant</t>
        </is>
      </c>
    </row>
    <row r="473">
      <c r="F473" t="inlineStr">
        <is>
          <t>Methacycline hydrochloride</t>
        </is>
      </c>
      <c r="J473" t="inlineStr">
        <is>
          <t>ASTM F963-23 Compliant</t>
        </is>
      </c>
    </row>
    <row r="474">
      <c r="F474" t="inlineStr">
        <is>
          <t>Metham sodium</t>
        </is>
      </c>
      <c r="J474" t="inlineStr">
        <is>
          <t>FIRA/FRQG C004:2016 + A1 2017</t>
        </is>
      </c>
    </row>
    <row r="475">
      <c r="F475" t="inlineStr">
        <is>
          <t>Methanol</t>
        </is>
      </c>
      <c r="J475" t="inlineStr">
        <is>
          <t>EUDR</t>
        </is>
      </c>
    </row>
    <row r="476">
      <c r="F476" t="inlineStr">
        <is>
          <t>Methazole</t>
        </is>
      </c>
      <c r="J476" t="inlineStr">
        <is>
          <t>CA PFAS</t>
        </is>
      </c>
    </row>
    <row r="477">
      <c r="F477" t="inlineStr">
        <is>
          <t>Methimazole</t>
        </is>
      </c>
      <c r="J477" t="inlineStr">
        <is>
          <t>CPSC - 16 CFR 1242</t>
        </is>
      </c>
    </row>
    <row r="478">
      <c r="F478" t="inlineStr">
        <is>
          <t>Methotrexate</t>
        </is>
      </c>
      <c r="J478" t="inlineStr">
        <is>
          <t>EU General Product Safety Regulation</t>
        </is>
      </c>
    </row>
    <row r="479">
      <c r="F479" t="inlineStr">
        <is>
          <t>Methotrexate sodium</t>
        </is>
      </c>
      <c r="J479" t="inlineStr">
        <is>
          <t>EPA Compliant - Step 2 Certified</t>
        </is>
      </c>
    </row>
    <row r="480">
      <c r="F480" t="inlineStr">
        <is>
          <t>5-Methoxypsoralen with ultraviolet A therapy</t>
        </is>
      </c>
      <c r="J480" t="inlineStr">
        <is>
          <t>ANSI/WCMA A100.1-2018 Standard</t>
        </is>
      </c>
    </row>
    <row r="481">
      <c r="F481" t="inlineStr">
        <is>
          <t>8-Methoxypsoralen with ultraviolet A therapy</t>
        </is>
      </c>
      <c r="J481" t="inlineStr">
        <is>
          <t>SOR/2019-97 - Corded Window Coverings Regulations</t>
        </is>
      </c>
    </row>
    <row r="482">
      <c r="F482" t="inlineStr">
        <is>
          <t>2-Methylaziridine (Propyleneimine)</t>
        </is>
      </c>
      <c r="J482" t="inlineStr">
        <is>
          <t>ANSI/BIFMA X6.4 Occasional-Use Seating Standard</t>
        </is>
      </c>
    </row>
    <row r="483">
      <c r="F483" t="inlineStr">
        <is>
          <t>Methylazoxymethanol</t>
        </is>
      </c>
      <c r="J483" t="inlineStr">
        <is>
          <t>ASTM F1148-22</t>
        </is>
      </c>
    </row>
    <row r="484">
      <c r="F484" t="inlineStr">
        <is>
          <t>Methylazoxymethanol acetate</t>
        </is>
      </c>
      <c r="J484" t="inlineStr">
        <is>
          <t>SOR/2016 - 217</t>
        </is>
      </c>
    </row>
    <row r="485">
      <c r="F485" t="inlineStr">
        <is>
          <t>Methyl bromide, as a structural fumigant</t>
        </is>
      </c>
      <c r="J485" t="inlineStr">
        <is>
          <t>16 CFR 1235</t>
        </is>
      </c>
    </row>
    <row r="486">
      <c r="F486" t="inlineStr">
        <is>
          <t>Methyl carbamate</t>
        </is>
      </c>
      <c r="J486" t="inlineStr">
        <is>
          <t>ASTM F2088-24</t>
        </is>
      </c>
    </row>
    <row r="487">
      <c r="F487" t="inlineStr">
        <is>
          <t>Methyl chloride</t>
        </is>
      </c>
      <c r="J487" t="inlineStr">
        <is>
          <t>16 CFR 1243</t>
        </is>
      </c>
    </row>
    <row r="488">
      <c r="F488" t="inlineStr">
        <is>
          <t>3-Methylcholanthrene</t>
        </is>
      </c>
      <c r="J488" t="inlineStr">
        <is>
          <t>IS 419 / EN 1021</t>
        </is>
      </c>
    </row>
    <row r="489">
      <c r="F489" t="inlineStr">
        <is>
          <t>5-Methylchrysene</t>
        </is>
      </c>
      <c r="J489" t="inlineStr">
        <is>
          <t>IS 419 / EN 597/ EN 16890</t>
        </is>
      </c>
    </row>
    <row r="490">
      <c r="F490" t="inlineStr">
        <is>
          <t>4,4'-Methylene bis(2-chloroaniline)</t>
        </is>
      </c>
      <c r="J490" t="inlineStr">
        <is>
          <t>IS 419 / EN 597</t>
        </is>
      </c>
    </row>
    <row r="491">
      <c r="F491" t="inlineStr">
        <is>
          <t>4,4'-Methylene bis(N,N-dimethyl)benzenamine</t>
        </is>
      </c>
      <c r="J491" t="inlineStr">
        <is>
          <t>ASTM-1917-23</t>
        </is>
      </c>
    </row>
    <row r="492">
      <c r="F492" t="inlineStr">
        <is>
          <t>4,4'-Methylene bis(2-methylaniline)</t>
        </is>
      </c>
      <c r="J492" t="inlineStr">
        <is>
          <t>Low Voltage Directive</t>
        </is>
      </c>
    </row>
    <row r="493">
      <c r="F493" t="inlineStr">
        <is>
          <t>4,4'-Methylenedianiline</t>
        </is>
      </c>
      <c r="J493" t="inlineStr">
        <is>
          <t>Children's Furniture Safety and Stability</t>
        </is>
      </c>
    </row>
    <row r="494">
      <c r="F494" t="inlineStr">
        <is>
          <t>4,4'-Methylenedianiline dihydrochloride</t>
        </is>
      </c>
      <c r="J494" t="inlineStr">
        <is>
          <t>CPSC - 16 CFR 1224</t>
        </is>
      </c>
    </row>
    <row r="495">
      <c r="F495" t="inlineStr">
        <is>
          <t>Methyleugenol</t>
        </is>
      </c>
      <c r="J495" t="inlineStr">
        <is>
          <t>ASTM F2276-23 (General Mechanical Requirements)</t>
        </is>
      </c>
    </row>
    <row r="496">
      <c r="F496" t="inlineStr">
        <is>
          <t>Methylhydrazine and its salts</t>
        </is>
      </c>
      <c r="J496" t="inlineStr">
        <is>
          <t>ASTM F2276-23 or ASTM F2810-15</t>
        </is>
      </c>
    </row>
    <row r="497">
      <c r="F497" t="inlineStr">
        <is>
          <t>2-Methylimidazole</t>
        </is>
      </c>
      <c r="J497" t="inlineStr">
        <is>
          <t>ASTM F2276-23 or ASTM F1250-20</t>
        </is>
      </c>
    </row>
    <row r="498">
      <c r="F498" t="inlineStr">
        <is>
          <t>4-Methylimidazole</t>
        </is>
      </c>
      <c r="J498" t="inlineStr">
        <is>
          <t>ASTM F2276-23 or ASTM F2216-17a</t>
        </is>
      </c>
    </row>
    <row r="499">
      <c r="F499" t="inlineStr">
        <is>
          <t>Methyl iodide</t>
        </is>
      </c>
      <c r="J499" t="inlineStr">
        <is>
          <t>ASTM F2276-23 or ASTM F3105-20</t>
        </is>
      </c>
    </row>
    <row r="500">
      <c r="F500" t="inlineStr">
        <is>
          <t>Methyl isobutyl ketone</t>
        </is>
      </c>
      <c r="J500" t="inlineStr">
        <is>
          <t>ASTM F2276-23 or ASTM F2115-25</t>
        </is>
      </c>
    </row>
    <row r="501">
      <c r="F501" t="inlineStr">
        <is>
          <t>Methyl isobutyl ketone (MIBK)</t>
        </is>
      </c>
      <c r="J501" t="inlineStr">
        <is>
          <t>UL 1647 (Electrical Safety)</t>
        </is>
      </c>
    </row>
    <row r="502">
      <c r="F502" t="inlineStr">
        <is>
          <t>Methyl isocyanate (MIC)</t>
        </is>
      </c>
      <c r="J502" t="inlineStr">
        <is>
          <t>In-House Contract-Quality Testing Document</t>
        </is>
      </c>
    </row>
    <row r="503">
      <c r="F503" t="inlineStr">
        <is>
          <t>Methyl mercury</t>
        </is>
      </c>
      <c r="J503" t="inlineStr">
        <is>
          <t>Contract Grade Signed Verification Letter</t>
        </is>
      </c>
    </row>
    <row r="504">
      <c r="F504" t="inlineStr">
        <is>
          <t>Methylmercury compounds</t>
        </is>
      </c>
      <c r="J504" t="inlineStr">
        <is>
          <t>SOR/2018-186</t>
        </is>
      </c>
    </row>
    <row r="505">
      <c r="F505" t="inlineStr">
        <is>
          <t>Methyl methanesulfonate</t>
        </is>
      </c>
      <c r="J505" t="inlineStr">
        <is>
          <t>SOR/2024-217</t>
        </is>
      </c>
    </row>
    <row r="506">
      <c r="F506" t="inlineStr">
        <is>
          <t>Methyl-n-butyl ketone</t>
        </is>
      </c>
      <c r="J506" t="inlineStr">
        <is>
          <t>Certified Egyptian Cotton</t>
        </is>
      </c>
    </row>
    <row r="507">
      <c r="F507" t="inlineStr">
        <is>
          <t>2-Methyl-1-nitroanthraquinone (of uncertain purity)</t>
        </is>
      </c>
    </row>
    <row r="508">
      <c r="F508" t="inlineStr">
        <is>
          <t>N-Methyl-N'-nitro-N-nitrosoguanidine</t>
        </is>
      </c>
    </row>
    <row r="509">
      <c r="F509" t="inlineStr">
        <is>
          <t>N-Methylolacrylamide</t>
        </is>
      </c>
    </row>
    <row r="510">
      <c r="F510" t="inlineStr">
        <is>
          <t>N-Methylpyrrolidone</t>
        </is>
      </c>
    </row>
    <row r="511">
      <c r="F511" t="inlineStr">
        <is>
          <t>α-Methyl styrene (alpha-Methylstyrene)</t>
        </is>
      </c>
    </row>
    <row r="512">
      <c r="F512" t="inlineStr">
        <is>
          <t>Methyltestosterone</t>
        </is>
      </c>
    </row>
    <row r="513">
      <c r="F513" t="inlineStr">
        <is>
          <t>Methylthiouracil</t>
        </is>
      </c>
    </row>
    <row r="514">
      <c r="F514" t="inlineStr">
        <is>
          <t>Metiram</t>
        </is>
      </c>
    </row>
    <row r="515">
      <c r="F515" t="inlineStr">
        <is>
          <t>Metronidazole</t>
        </is>
      </c>
    </row>
    <row r="516">
      <c r="F516" t="inlineStr">
        <is>
          <t>Michler's ketone</t>
        </is>
      </c>
    </row>
    <row r="517">
      <c r="F517" t="inlineStr">
        <is>
          <t>Midazolam hydrochloride</t>
        </is>
      </c>
    </row>
    <row r="518">
      <c r="F518" t="inlineStr">
        <is>
          <t>Minocycline hydrochloride (internal use)</t>
        </is>
      </c>
    </row>
    <row r="519">
      <c r="F519" t="inlineStr">
        <is>
          <t>Mirex</t>
        </is>
      </c>
    </row>
    <row r="520">
      <c r="F520" t="inlineStr">
        <is>
          <t>Misoprostol</t>
        </is>
      </c>
    </row>
    <row r="521">
      <c r="F521" t="inlineStr">
        <is>
          <t>Mitomycin C</t>
        </is>
      </c>
    </row>
    <row r="522">
      <c r="F522" t="inlineStr">
        <is>
          <t>Mitoxantrone hydrochloride</t>
        </is>
      </c>
    </row>
    <row r="523">
      <c r="F523" t="inlineStr">
        <is>
          <t>Molinate</t>
        </is>
      </c>
    </row>
    <row r="524">
      <c r="F524" t="inlineStr">
        <is>
          <t>MON 4660 (dichloroacetyl-1-oxa-4-azaspiro(4,5)-decane</t>
        </is>
      </c>
    </row>
    <row r="525">
      <c r="F525" t="inlineStr">
        <is>
          <t>MON 13900 (furilazole)</t>
        </is>
      </c>
    </row>
    <row r="526">
      <c r="F526" t="inlineStr">
        <is>
          <t>3-Monochloropropane-1,2-diol (3-MCPD)</t>
        </is>
      </c>
    </row>
    <row r="527">
      <c r="F527" t="inlineStr">
        <is>
          <t>Monocrotaline</t>
        </is>
      </c>
    </row>
    <row r="528">
      <c r="F528" t="inlineStr">
        <is>
          <t>MOPP (vincristine-prednisone-nitrogen mustard-procarbazine mixture)</t>
        </is>
      </c>
    </row>
    <row r="529">
      <c r="F529" t="inlineStr">
        <is>
          <t>5-(Morpholinomethyl)-3-[(5-nitrofurfuryl-idene)-amino]-2-oxazolidinone</t>
        </is>
      </c>
    </row>
    <row r="530">
      <c r="F530" t="inlineStr">
        <is>
          <t>Mustard Gas</t>
        </is>
      </c>
    </row>
    <row r="531">
      <c r="F531" t="inlineStr">
        <is>
          <t>MX (3-chloro-4-dichloromethyl-5-hydroxy-2(5H)-furanone)</t>
        </is>
      </c>
    </row>
    <row r="532">
      <c r="F532" t="inlineStr">
        <is>
          <t>Myclobutanil</t>
        </is>
      </c>
    </row>
    <row r="533">
      <c r="F533" t="inlineStr">
        <is>
          <t>beta-Myrcene</t>
        </is>
      </c>
    </row>
    <row r="534">
      <c r="F534" t="inlineStr">
        <is>
          <t>Nabam</t>
        </is>
      </c>
    </row>
    <row r="535">
      <c r="F535" t="inlineStr">
        <is>
          <t>Nafarelin acetate</t>
        </is>
      </c>
    </row>
    <row r="536">
      <c r="F536" t="inlineStr">
        <is>
          <t>Nafenopin</t>
        </is>
      </c>
    </row>
    <row r="537">
      <c r="F537" t="inlineStr">
        <is>
          <t>Nalidixic acid</t>
        </is>
      </c>
    </row>
    <row r="538">
      <c r="F538" t="inlineStr">
        <is>
          <t>Naphthalene</t>
        </is>
      </c>
    </row>
    <row r="539">
      <c r="F539" t="inlineStr">
        <is>
          <t>1-Naphthylamine</t>
        </is>
      </c>
    </row>
    <row r="540">
      <c r="F540" t="inlineStr">
        <is>
          <t>2-Naphthylamine</t>
        </is>
      </c>
    </row>
    <row r="541">
      <c r="F541" t="inlineStr">
        <is>
          <t>Neomycin sulfate (internal use)</t>
        </is>
      </c>
    </row>
    <row r="542">
      <c r="F542" t="inlineStr">
        <is>
          <t>Netilmicin sulfate</t>
        </is>
      </c>
    </row>
    <row r="543">
      <c r="F543" t="inlineStr">
        <is>
          <t>Nickel (Metallic)</t>
        </is>
      </c>
    </row>
    <row r="544">
      <c r="F544" t="inlineStr">
        <is>
          <t>Nickel acetate</t>
        </is>
      </c>
    </row>
    <row r="545">
      <c r="F545" t="inlineStr">
        <is>
          <t>Nickel carbonate</t>
        </is>
      </c>
    </row>
    <row r="546">
      <c r="F546" t="inlineStr">
        <is>
          <t>Nickel carbonyl</t>
        </is>
      </c>
    </row>
    <row r="547">
      <c r="F547" t="inlineStr">
        <is>
          <t>Nickel compounds</t>
        </is>
      </c>
    </row>
    <row r="548">
      <c r="F548" t="inlineStr">
        <is>
          <t>Nickelocene</t>
        </is>
      </c>
    </row>
    <row r="549">
      <c r="F549" t="inlineStr">
        <is>
          <t>Nickel oxide</t>
        </is>
      </c>
    </row>
    <row r="550">
      <c r="F550" t="inlineStr">
        <is>
          <t>Nickel refinery dust from the pyrometallurgical process</t>
        </is>
      </c>
    </row>
    <row r="551">
      <c r="F551" t="inlineStr">
        <is>
          <t>Nickel subsulfide</t>
        </is>
      </c>
    </row>
    <row r="552">
      <c r="F552" t="inlineStr">
        <is>
          <t>Nicotine</t>
        </is>
      </c>
    </row>
    <row r="553">
      <c r="F553" t="inlineStr">
        <is>
          <t>Nifedipine</t>
        </is>
      </c>
    </row>
    <row r="554">
      <c r="F554" t="inlineStr">
        <is>
          <t>Nimodipine</t>
        </is>
      </c>
    </row>
    <row r="555">
      <c r="F555" t="inlineStr">
        <is>
          <t>Niridazole</t>
        </is>
      </c>
    </row>
    <row r="556">
      <c r="F556" t="inlineStr">
        <is>
          <t>Nitrapyrin</t>
        </is>
      </c>
    </row>
    <row r="557">
      <c r="F557" t="inlineStr">
        <is>
          <t>Nitrilotriacetic acid</t>
        </is>
      </c>
    </row>
    <row r="558">
      <c r="F558" t="inlineStr">
        <is>
          <t>Nitrilotriacetic acid, trisodium salt monohydrate</t>
        </is>
      </c>
    </row>
    <row r="559">
      <c r="F559" t="inlineStr">
        <is>
          <t>5-Nitroacenaphthene</t>
        </is>
      </c>
    </row>
    <row r="560">
      <c r="F560" t="inlineStr">
        <is>
          <t>o-Nitroanisole</t>
        </is>
      </c>
    </row>
    <row r="561">
      <c r="F561" t="inlineStr">
        <is>
          <t>Nitrobenzene</t>
        </is>
      </c>
    </row>
    <row r="562">
      <c r="F562" t="inlineStr">
        <is>
          <t>4-Nitrobiphenyl</t>
        </is>
      </c>
    </row>
    <row r="563">
      <c r="F563" t="inlineStr">
        <is>
          <t>6-Nitrochrysene</t>
        </is>
      </c>
    </row>
    <row r="564">
      <c r="F564" t="inlineStr">
        <is>
          <t>Nitrofen (technical grade)</t>
        </is>
      </c>
    </row>
    <row r="565">
      <c r="F565" t="inlineStr">
        <is>
          <t>2-Nitrofluorene</t>
        </is>
      </c>
    </row>
    <row r="566">
      <c r="F566" t="inlineStr">
        <is>
          <t>Nitrofurazone</t>
        </is>
      </c>
    </row>
    <row r="567">
      <c r="F567" t="inlineStr">
        <is>
          <t>1-[(5-Nitrofurfurylidene)-amino]-2-imidazolidinone</t>
        </is>
      </c>
    </row>
    <row r="568">
      <c r="F568" t="inlineStr">
        <is>
          <t>N-[4-(5-Nitro-2-furyl)-2-thiazolyl]acetamide</t>
        </is>
      </c>
    </row>
    <row r="569">
      <c r="F569" t="inlineStr">
        <is>
          <t>Nitrogen mustard (Mechlorethamine)</t>
        </is>
      </c>
    </row>
    <row r="570">
      <c r="F570" t="inlineStr">
        <is>
          <t>Nitrogen mustard hydrochloride (Mechlorethamine hydrochloride)</t>
        </is>
      </c>
    </row>
    <row r="571">
      <c r="F571" t="inlineStr">
        <is>
          <t>Nitrogen mustard N-oxide</t>
        </is>
      </c>
    </row>
    <row r="572">
      <c r="F572" t="inlineStr">
        <is>
          <t>Nitrogen mustard N-oxide hydrochloride</t>
        </is>
      </c>
    </row>
    <row r="573">
      <c r="F573" t="inlineStr">
        <is>
          <t>Nitromethane</t>
        </is>
      </c>
    </row>
    <row r="574">
      <c r="F574" t="inlineStr">
        <is>
          <t>2-Nitropropane</t>
        </is>
      </c>
    </row>
    <row r="575">
      <c r="F575" t="inlineStr">
        <is>
          <t>1-Nitropyrene</t>
        </is>
      </c>
    </row>
    <row r="576">
      <c r="F576" t="inlineStr">
        <is>
          <t>4-Nitropyrene</t>
        </is>
      </c>
    </row>
    <row r="577">
      <c r="F577" t="inlineStr">
        <is>
          <t>N-Nitrosodi-n-butylamine</t>
        </is>
      </c>
    </row>
    <row r="578">
      <c r="F578" t="inlineStr">
        <is>
          <t>N-Nitrosodiethanolamine</t>
        </is>
      </c>
    </row>
    <row r="579">
      <c r="F579" t="inlineStr">
        <is>
          <t>N-Nitrosodiethylamine</t>
        </is>
      </c>
    </row>
    <row r="580">
      <c r="F580" t="inlineStr">
        <is>
          <t>N-Nitrosodimethylamine</t>
        </is>
      </c>
    </row>
    <row r="581">
      <c r="F581" t="inlineStr">
        <is>
          <t>p-Nitrosodiphenylamine</t>
        </is>
      </c>
    </row>
    <row r="582">
      <c r="F582" t="inlineStr">
        <is>
          <t>N-Nitrosodiphenylamine</t>
        </is>
      </c>
    </row>
    <row r="583">
      <c r="F583" t="inlineStr">
        <is>
          <t>N-Nitrosodi-n-propylamine</t>
        </is>
      </c>
    </row>
    <row r="584">
      <c r="F584" t="inlineStr">
        <is>
          <t>N-Nitroso-N-ethylurea</t>
        </is>
      </c>
    </row>
    <row r="585">
      <c r="F585" t="inlineStr">
        <is>
          <t>3-(N-Nitrosomethylamino) propionitrile</t>
        </is>
      </c>
    </row>
    <row r="586">
      <c r="F586" t="inlineStr">
        <is>
          <t>4-(N-Nitrosomethylamino)-1-(3-pyridyl)1-butanone</t>
        </is>
      </c>
    </row>
    <row r="587">
      <c r="F587" t="inlineStr">
        <is>
          <t>N-Nitrosomethyl-n-butylamine</t>
        </is>
      </c>
    </row>
    <row r="588">
      <c r="F588" t="inlineStr">
        <is>
          <t>N-Nitrosomethyl-n-decylamine</t>
        </is>
      </c>
    </row>
    <row r="589">
      <c r="F589" t="inlineStr">
        <is>
          <t>N-Nitrosomethyl-n-dodecylamine</t>
        </is>
      </c>
    </row>
    <row r="590">
      <c r="F590" t="inlineStr">
        <is>
          <t>N-Nitrosomethylethylamine</t>
        </is>
      </c>
    </row>
    <row r="591">
      <c r="F591" t="inlineStr">
        <is>
          <t>N-Nitrosomethyl-n-heptylamine</t>
        </is>
      </c>
    </row>
    <row r="592">
      <c r="F592" t="inlineStr">
        <is>
          <t>N-Nitrosomethyl-n-hexylamine</t>
        </is>
      </c>
    </row>
    <row r="593">
      <c r="F593" t="inlineStr">
        <is>
          <t>N-Nitrosomethyl-n-nonylamine</t>
        </is>
      </c>
    </row>
    <row r="594">
      <c r="F594" t="inlineStr">
        <is>
          <t>N-Nitrosomethyl-n-octylamine</t>
        </is>
      </c>
    </row>
    <row r="595">
      <c r="F595" t="inlineStr">
        <is>
          <t>N-Nitrosomethyl-n-pentylamine</t>
        </is>
      </c>
    </row>
    <row r="596">
      <c r="F596" t="inlineStr">
        <is>
          <t>N-Nitrosomethyl-n-propylamine</t>
        </is>
      </c>
    </row>
    <row r="597">
      <c r="F597" t="inlineStr">
        <is>
          <t>N-Nitrosomethyl-n-tetradecylamine</t>
        </is>
      </c>
    </row>
    <row r="598">
      <c r="F598" t="inlineStr">
        <is>
          <t>N-Nitrosomethyl-n-undecylamine</t>
        </is>
      </c>
    </row>
    <row r="599">
      <c r="F599" t="inlineStr">
        <is>
          <t>N-Nitroso-N-methylurea</t>
        </is>
      </c>
    </row>
    <row r="600">
      <c r="F600" t="inlineStr">
        <is>
          <t>N-Nitroso-N-methylurethane</t>
        </is>
      </c>
    </row>
    <row r="601">
      <c r="F601" t="inlineStr">
        <is>
          <t>N-Nitrosomethylvinylamine</t>
        </is>
      </c>
    </row>
    <row r="602">
      <c r="F602" t="inlineStr">
        <is>
          <t>N-Nitrosomorpholine</t>
        </is>
      </c>
    </row>
    <row r="603">
      <c r="F603" t="inlineStr">
        <is>
          <t>N-Nitrosonornicotine</t>
        </is>
      </c>
    </row>
    <row r="604">
      <c r="F604" t="inlineStr">
        <is>
          <t>N-Nitrosopiperidine</t>
        </is>
      </c>
    </row>
    <row r="605">
      <c r="F605" t="inlineStr">
        <is>
          <t>N-Nitrosopyrrolidine</t>
        </is>
      </c>
    </row>
    <row r="606">
      <c r="F606" t="inlineStr">
        <is>
          <t>N-Nitrososarcosine</t>
        </is>
      </c>
    </row>
    <row r="607">
      <c r="F607" t="inlineStr">
        <is>
          <t>o-Nitrotoluene</t>
        </is>
      </c>
    </row>
    <row r="608">
      <c r="F608" t="inlineStr">
        <is>
          <t>Nitrous oxide</t>
        </is>
      </c>
    </row>
    <row r="609">
      <c r="F609" t="inlineStr">
        <is>
          <t>Norethisterone (Norethindrone)</t>
        </is>
      </c>
    </row>
    <row r="610">
      <c r="F610" t="inlineStr">
        <is>
          <t>Norethisterone acetate (Norethindrone acetate)</t>
        </is>
      </c>
    </row>
    <row r="611">
      <c r="F611" t="inlineStr">
        <is>
          <t>Norethisterone (Norethindrone)/Ethinyl estradiol</t>
        </is>
      </c>
    </row>
    <row r="612">
      <c r="F612" t="inlineStr">
        <is>
          <t>Norethynodrel</t>
        </is>
      </c>
    </row>
    <row r="613">
      <c r="F613" t="inlineStr">
        <is>
          <t>Norgestrel</t>
        </is>
      </c>
    </row>
    <row r="614">
      <c r="F614" t="inlineStr">
        <is>
          <t>Ochratoxin A</t>
        </is>
      </c>
    </row>
    <row r="615">
      <c r="F615" t="inlineStr">
        <is>
          <t>Oil Orange SS</t>
        </is>
      </c>
    </row>
    <row r="616">
      <c r="F616" t="inlineStr">
        <is>
          <t>Oral contraceptives, combined</t>
        </is>
      </c>
    </row>
    <row r="617">
      <c r="F617" t="inlineStr">
        <is>
          <t>Oral contraceptives, sequential</t>
        </is>
      </c>
    </row>
    <row r="618">
      <c r="F618" t="inlineStr">
        <is>
          <t>Oryzalin</t>
        </is>
      </c>
    </row>
    <row r="619">
      <c r="F619" t="inlineStr">
        <is>
          <t>Oxadiazon</t>
        </is>
      </c>
    </row>
    <row r="620">
      <c r="F620" t="inlineStr">
        <is>
          <t>Oxazepam</t>
        </is>
      </c>
    </row>
    <row r="621">
      <c r="F621" t="inlineStr">
        <is>
          <t>Oxymetholone</t>
        </is>
      </c>
    </row>
    <row r="622">
      <c r="F622" t="inlineStr">
        <is>
          <t>Oxytetracycline (internal use)</t>
        </is>
      </c>
    </row>
    <row r="623">
      <c r="F623" t="inlineStr">
        <is>
          <t>Oxytetracycline hydrochloride (internal use)</t>
        </is>
      </c>
    </row>
    <row r="624">
      <c r="F624" t="inlineStr">
        <is>
          <t>Oxythioquinox (Chinomethionat)</t>
        </is>
      </c>
    </row>
    <row r="625">
      <c r="F625" t="inlineStr">
        <is>
          <t>Paclitaxel</t>
        </is>
      </c>
    </row>
    <row r="626">
      <c r="F626" t="inlineStr">
        <is>
          <t>Palygorskite fibers (&gt; 5mm in length)</t>
        </is>
      </c>
    </row>
    <row r="627">
      <c r="F627" t="inlineStr">
        <is>
          <t>Panfuran S</t>
        </is>
      </c>
    </row>
    <row r="628">
      <c r="F628" t="inlineStr">
        <is>
          <t>Paramethadione</t>
        </is>
      </c>
    </row>
    <row r="629">
      <c r="F629" t="inlineStr">
        <is>
          <t>Parathion</t>
        </is>
      </c>
    </row>
    <row r="630">
      <c r="F630" t="inlineStr">
        <is>
          <t>Penicillamine</t>
        </is>
      </c>
    </row>
    <row r="631">
      <c r="F631" t="inlineStr">
        <is>
          <t>pentabromodiphenyl ether mixture [DE-71 (technical grade)]</t>
        </is>
      </c>
    </row>
    <row r="632">
      <c r="F632" t="inlineStr">
        <is>
          <t>Pentachlorophenol</t>
        </is>
      </c>
    </row>
    <row r="633">
      <c r="F633" t="inlineStr">
        <is>
          <t>Pentachlorophenol and by-products of its synthesis (complex mixture)</t>
        </is>
      </c>
    </row>
    <row r="634">
      <c r="F634" t="inlineStr">
        <is>
          <t>Pentobarbital sodium</t>
        </is>
      </c>
    </row>
    <row r="635">
      <c r="F635" t="inlineStr">
        <is>
          <t>Pentosan polysulfate sodium</t>
        </is>
      </c>
    </row>
    <row r="636">
      <c r="F636" t="inlineStr">
        <is>
          <t>Pentostatin</t>
        </is>
      </c>
    </row>
    <row r="637">
      <c r="F637" t="inlineStr">
        <is>
          <t>Perfluorooctane sulfonate (PFOS)</t>
        </is>
      </c>
    </row>
    <row r="638">
      <c r="F638" t="inlineStr">
        <is>
          <t>Perfluorooctanoic acid (PFOA)</t>
        </is>
      </c>
    </row>
    <row r="639">
      <c r="F639" t="inlineStr">
        <is>
          <t>Pertuzumab</t>
        </is>
      </c>
    </row>
    <row r="640">
      <c r="F640" t="inlineStr">
        <is>
          <t>Phenacemide</t>
        </is>
      </c>
    </row>
    <row r="641">
      <c r="F641" t="inlineStr">
        <is>
          <t>Phenacetin</t>
        </is>
      </c>
    </row>
    <row r="642">
      <c r="F642" t="inlineStr">
        <is>
          <t>Phenazopyridine</t>
        </is>
      </c>
    </row>
    <row r="643">
      <c r="F643" t="inlineStr">
        <is>
          <t>Phenazopyridine hydrochloride</t>
        </is>
      </c>
    </row>
    <row r="644">
      <c r="F644" t="inlineStr">
        <is>
          <t>Phenesterin</t>
        </is>
      </c>
    </row>
    <row r="645">
      <c r="F645" t="inlineStr">
        <is>
          <t>Phenobarbital</t>
        </is>
      </c>
    </row>
    <row r="646">
      <c r="F646" t="inlineStr">
        <is>
          <t>Phenolphthalein</t>
        </is>
      </c>
    </row>
    <row r="647">
      <c r="F647" t="inlineStr">
        <is>
          <t>Phenoxybenzamine</t>
        </is>
      </c>
    </row>
    <row r="648">
      <c r="F648" t="inlineStr">
        <is>
          <t>Phenoxybenzamine hydrochloride</t>
        </is>
      </c>
    </row>
    <row r="649">
      <c r="F649" t="inlineStr">
        <is>
          <t>Phenprocoumon</t>
        </is>
      </c>
    </row>
    <row r="650">
      <c r="F650" t="inlineStr">
        <is>
          <t>o-Phenylenediamine and its salts</t>
        </is>
      </c>
    </row>
    <row r="651">
      <c r="F651" t="inlineStr">
        <is>
          <t>Phenylhydrazine and its salts</t>
        </is>
      </c>
    </row>
    <row r="652">
      <c r="F652" t="inlineStr">
        <is>
          <t>o-Phenylphenate, sodium</t>
        </is>
      </c>
    </row>
    <row r="653">
      <c r="F653" t="inlineStr">
        <is>
          <t>o-Phenylphenol</t>
        </is>
      </c>
    </row>
    <row r="654">
      <c r="F654" t="inlineStr">
        <is>
          <t>Phenylphosphine</t>
        </is>
      </c>
    </row>
    <row r="655">
      <c r="F655" t="inlineStr">
        <is>
          <t>PhiP(2-Amino-1-methyl-6-phenylimidazol[4,5-b]pyridine)</t>
        </is>
      </c>
    </row>
    <row r="656">
      <c r="F656" t="inlineStr">
        <is>
          <t>Pimozide</t>
        </is>
      </c>
    </row>
    <row r="657">
      <c r="F657" t="inlineStr">
        <is>
          <t>Pioglitazone</t>
        </is>
      </c>
    </row>
    <row r="658">
      <c r="F658" t="inlineStr">
        <is>
          <t>Pipobroman</t>
        </is>
      </c>
    </row>
    <row r="659">
      <c r="F659" t="inlineStr">
        <is>
          <t>Pirimicarb</t>
        </is>
      </c>
    </row>
    <row r="660">
      <c r="F660" t="inlineStr">
        <is>
          <t>Plicamycin</t>
        </is>
      </c>
    </row>
    <row r="661">
      <c r="F661" t="inlineStr">
        <is>
          <t>Polybrominated biphenyls</t>
        </is>
      </c>
    </row>
    <row r="662">
      <c r="F662" t="inlineStr">
        <is>
          <t>Polychlorinated biphenyls</t>
        </is>
      </c>
    </row>
    <row r="663">
      <c r="F663" t="inlineStr">
        <is>
          <t>Polychlorinated biphenyls (containing 60 or more percent chlorine by molecular weight)</t>
        </is>
      </c>
    </row>
    <row r="664">
      <c r="F664" t="inlineStr">
        <is>
          <t>Polychlorinated dibenzo-p-dioxins</t>
        </is>
      </c>
    </row>
    <row r="665">
      <c r="F665" t="inlineStr">
        <is>
          <t>Polychlorinated dibenzofurans</t>
        </is>
      </c>
    </row>
    <row r="666">
      <c r="F666" t="inlineStr">
        <is>
          <t>Polygeenan</t>
        </is>
      </c>
    </row>
    <row r="667">
      <c r="F667" t="inlineStr">
        <is>
          <t>Ponceau MX</t>
        </is>
      </c>
    </row>
    <row r="668">
      <c r="F668" t="inlineStr">
        <is>
          <t>Ponceau 3R</t>
        </is>
      </c>
    </row>
    <row r="669">
      <c r="F669" t="inlineStr">
        <is>
          <t>Potassium bromate</t>
        </is>
      </c>
    </row>
    <row r="670">
      <c r="F670" t="inlineStr">
        <is>
          <t>Potassium dimethyldithiocarbamate</t>
        </is>
      </c>
    </row>
    <row r="671">
      <c r="F671" t="inlineStr">
        <is>
          <t>Pravastatin sodium</t>
        </is>
      </c>
    </row>
    <row r="672">
      <c r="F672" t="inlineStr">
        <is>
          <t>Prednisolone sodium phosphate</t>
        </is>
      </c>
    </row>
    <row r="673">
      <c r="F673" t="inlineStr">
        <is>
          <t>Primidone</t>
        </is>
      </c>
    </row>
    <row r="674">
      <c r="F674" t="inlineStr">
        <is>
          <t>Procarbazine</t>
        </is>
      </c>
    </row>
    <row r="675">
      <c r="F675" t="inlineStr">
        <is>
          <t>Procarbazine hydrochloride</t>
        </is>
      </c>
    </row>
    <row r="676">
      <c r="F676" t="inlineStr">
        <is>
          <t>Procymidone</t>
        </is>
      </c>
    </row>
    <row r="677">
      <c r="F677" t="inlineStr">
        <is>
          <t>Progesterone</t>
        </is>
      </c>
    </row>
    <row r="678">
      <c r="F678" t="inlineStr">
        <is>
          <t>Pronamide</t>
        </is>
      </c>
    </row>
    <row r="679">
      <c r="F679" t="inlineStr">
        <is>
          <t>Propachlor</t>
        </is>
      </c>
    </row>
    <row r="680">
      <c r="F680" t="inlineStr">
        <is>
          <t>1,3-Propane sultone</t>
        </is>
      </c>
    </row>
    <row r="681">
      <c r="F681" t="inlineStr">
        <is>
          <t>Propargite</t>
        </is>
      </c>
    </row>
    <row r="682">
      <c r="F682" t="inlineStr">
        <is>
          <t>Propazine</t>
        </is>
      </c>
    </row>
    <row r="683">
      <c r="F683" t="inlineStr">
        <is>
          <t>beta-Propiolactone</t>
        </is>
      </c>
    </row>
    <row r="684">
      <c r="F684" t="inlineStr">
        <is>
          <t>Propoxur</t>
        </is>
      </c>
    </row>
    <row r="685">
      <c r="F685" t="inlineStr">
        <is>
          <t>Propylene glycol mono-t-butyl ether</t>
        </is>
      </c>
    </row>
    <row r="686">
      <c r="F686" t="inlineStr">
        <is>
          <t>Propylene oxide</t>
        </is>
      </c>
    </row>
    <row r="687">
      <c r="F687" t="inlineStr">
        <is>
          <t>Propylthiouracil</t>
        </is>
      </c>
    </row>
    <row r="688">
      <c r="F688" t="inlineStr">
        <is>
          <t>Pulegone</t>
        </is>
      </c>
    </row>
    <row r="689">
      <c r="F689" t="inlineStr">
        <is>
          <t>Pymetrozine</t>
        </is>
      </c>
    </row>
    <row r="690">
      <c r="F690" t="inlineStr">
        <is>
          <t>Pyridine</t>
        </is>
      </c>
    </row>
    <row r="691">
      <c r="F691" t="inlineStr">
        <is>
          <t>Pyrimethamine</t>
        </is>
      </c>
    </row>
    <row r="692">
      <c r="F692" t="inlineStr">
        <is>
          <t>Quazepam</t>
        </is>
      </c>
    </row>
    <row r="693">
      <c r="F693" t="inlineStr">
        <is>
          <t>Quinoline and its strong acid salts</t>
        </is>
      </c>
    </row>
    <row r="694">
      <c r="F694" t="inlineStr">
        <is>
          <t>Radionuclides</t>
        </is>
      </c>
    </row>
    <row r="695">
      <c r="F695" t="inlineStr">
        <is>
          <t>Reserpine</t>
        </is>
      </c>
    </row>
    <row r="696">
      <c r="F696" t="inlineStr">
        <is>
          <t>Residual (heavy) fuel oils</t>
        </is>
      </c>
    </row>
    <row r="697">
      <c r="F697" t="inlineStr">
        <is>
          <t>Resmethrin</t>
        </is>
      </c>
    </row>
    <row r="698">
      <c r="F698" t="inlineStr">
        <is>
          <t>Retinol/retinyl esters, when in daily dosages in excess of 10,000 IU, or 3,000 retinol equivalents.</t>
        </is>
      </c>
    </row>
    <row r="699">
      <c r="F699" t="inlineStr">
        <is>
          <t>Ribavirin</t>
        </is>
      </c>
    </row>
    <row r="700">
      <c r="F700" t="inlineStr">
        <is>
          <t>Riddelliine</t>
        </is>
      </c>
    </row>
    <row r="701">
      <c r="F701" t="inlineStr">
        <is>
          <t>Rifampin</t>
        </is>
      </c>
    </row>
    <row r="702">
      <c r="F702" t="inlineStr">
        <is>
          <t>Safrole</t>
        </is>
      </c>
    </row>
    <row r="703">
      <c r="F703" t="inlineStr">
        <is>
          <t>Salted fish, Chinese-style</t>
        </is>
      </c>
    </row>
    <row r="704">
      <c r="F704" t="inlineStr">
        <is>
          <t>Secobarbital sodium</t>
        </is>
      </c>
    </row>
    <row r="705">
      <c r="F705" t="inlineStr">
        <is>
          <t>Sedaxane</t>
        </is>
      </c>
    </row>
    <row r="706">
      <c r="F706" t="inlineStr">
        <is>
          <t>Selenium sulfide</t>
        </is>
      </c>
    </row>
    <row r="707">
      <c r="F707" t="inlineStr">
        <is>
          <t>Sermorelin acetate</t>
        </is>
      </c>
    </row>
    <row r="708">
      <c r="F708" t="inlineStr">
        <is>
          <t>Shale-oils</t>
        </is>
      </c>
    </row>
    <row r="709">
      <c r="F709" t="inlineStr">
        <is>
          <t>Silica, crystalline (airborne particles of respirable size)</t>
        </is>
      </c>
    </row>
    <row r="710">
      <c r="F710" t="inlineStr">
        <is>
          <t>Simazine</t>
        </is>
      </c>
    </row>
    <row r="711">
      <c r="F711" t="inlineStr">
        <is>
          <t>Sodium dimethyldithiocarbamate</t>
        </is>
      </c>
    </row>
    <row r="712">
      <c r="F712" t="inlineStr">
        <is>
          <t>Soots, tars, and mineral oils (untreated and mildly treated oils and used engine oils)</t>
        </is>
      </c>
    </row>
    <row r="713">
      <c r="F713" t="inlineStr">
        <is>
          <t>Spirodiclofen</t>
        </is>
      </c>
    </row>
    <row r="714">
      <c r="F714" t="inlineStr">
        <is>
          <t>Spironolactone</t>
        </is>
      </c>
    </row>
    <row r="715">
      <c r="F715" t="inlineStr">
        <is>
          <t>Stanozolol</t>
        </is>
      </c>
    </row>
    <row r="716">
      <c r="F716" t="inlineStr">
        <is>
          <t>Sterigmatocystin</t>
        </is>
      </c>
    </row>
    <row r="717">
      <c r="F717" t="inlineStr">
        <is>
          <t>Streptomycin sulfate</t>
        </is>
      </c>
    </row>
    <row r="718">
      <c r="F718" t="inlineStr">
        <is>
          <t>Streptozocin (streptozotocin)</t>
        </is>
      </c>
    </row>
    <row r="719">
      <c r="F719" t="inlineStr">
        <is>
          <t>Streptozotocin (streptozocin)</t>
        </is>
      </c>
    </row>
    <row r="720">
      <c r="F720" t="inlineStr">
        <is>
          <t>Strong inorganic acid mists containing sulfuric acid</t>
        </is>
      </c>
    </row>
    <row r="721">
      <c r="F721" t="inlineStr">
        <is>
          <t>Styrene</t>
        </is>
      </c>
    </row>
    <row r="722">
      <c r="F722" t="inlineStr">
        <is>
          <t>Styrene oxide</t>
        </is>
      </c>
    </row>
    <row r="723">
      <c r="F723" t="inlineStr">
        <is>
          <t>Sulfallate</t>
        </is>
      </c>
    </row>
    <row r="724">
      <c r="F724" t="inlineStr">
        <is>
          <t>Sulfasalazine (Salicylazosulfapyridine)</t>
        </is>
      </c>
    </row>
    <row r="725">
      <c r="F725" t="inlineStr">
        <is>
          <t>Sulfur dioxidee</t>
        </is>
      </c>
    </row>
    <row r="726">
      <c r="F726" t="inlineStr">
        <is>
          <t>Sulindac</t>
        </is>
      </c>
    </row>
    <row r="727">
      <c r="F727" t="inlineStr">
        <is>
          <t>Talc containing asbestiform fibers</t>
        </is>
      </c>
    </row>
    <row r="728">
      <c r="F728" t="inlineStr">
        <is>
          <t>Tamoxifen and its salts</t>
        </is>
      </c>
    </row>
    <row r="729">
      <c r="F729" t="inlineStr">
        <is>
          <t>Tamoxifen citrate</t>
        </is>
      </c>
    </row>
    <row r="730">
      <c r="F730" t="inlineStr">
        <is>
          <t>Temazepam</t>
        </is>
      </c>
    </row>
    <row r="731">
      <c r="F731" t="inlineStr">
        <is>
          <t>Teniposide</t>
        </is>
      </c>
    </row>
    <row r="732">
      <c r="F732" t="inlineStr">
        <is>
          <t>Terbacil</t>
        </is>
      </c>
    </row>
    <row r="733">
      <c r="F733" t="inlineStr">
        <is>
          <t>Teriparatide</t>
        </is>
      </c>
    </row>
    <row r="734">
      <c r="F734" t="inlineStr">
        <is>
          <t>Terrazole</t>
        </is>
      </c>
    </row>
    <row r="735">
      <c r="F735" t="inlineStr">
        <is>
          <t>Testosterone and its esters</t>
        </is>
      </c>
    </row>
    <row r="736">
      <c r="F736" t="inlineStr">
        <is>
          <t>Testosterone cypionate</t>
        </is>
      </c>
    </row>
    <row r="737">
      <c r="F737" t="inlineStr">
        <is>
          <t>Testosterone enanthate</t>
        </is>
      </c>
    </row>
    <row r="738">
      <c r="F738" t="inlineStr">
        <is>
          <t>Tetrabromobisphenol A</t>
        </is>
      </c>
    </row>
    <row r="739">
      <c r="F739" t="inlineStr">
        <is>
          <t>3,3',4,4'-Tetrachloroazobenzene</t>
        </is>
      </c>
    </row>
    <row r="740">
      <c r="F740" t="inlineStr">
        <is>
          <t>2,3,7,8-Tetrachlorodibenzo-p-dioxin (TCDD)</t>
        </is>
      </c>
    </row>
    <row r="741">
      <c r="F741" t="inlineStr">
        <is>
          <t>1,1,1,2-Tetrachloroethane</t>
        </is>
      </c>
    </row>
    <row r="742">
      <c r="F742" t="inlineStr">
        <is>
          <t>1,1,2,2-Tetrachloroethane</t>
        </is>
      </c>
    </row>
    <row r="743">
      <c r="F743" t="inlineStr">
        <is>
          <t>Tetrachloroethylene (Perchloroethylene)</t>
        </is>
      </c>
    </row>
    <row r="744">
      <c r="F744" t="inlineStr">
        <is>
          <t>p-a,a,a-Tetrachlorotoluene</t>
        </is>
      </c>
    </row>
    <row r="745">
      <c r="F745" t="inlineStr">
        <is>
          <t>Tetrachlorvinphos</t>
        </is>
      </c>
    </row>
    <row r="746">
      <c r="F746" t="inlineStr">
        <is>
          <t>Tetracycline (internal use)</t>
        </is>
      </c>
    </row>
    <row r="747">
      <c r="F747" t="inlineStr">
        <is>
          <t>Tetracyclines (internal use)</t>
        </is>
      </c>
    </row>
    <row r="748">
      <c r="F748" t="inlineStr">
        <is>
          <t>Tetracycline hydrochloride (internal use)</t>
        </is>
      </c>
    </row>
    <row r="749">
      <c r="F749" t="inlineStr">
        <is>
          <t>Tetrafluoroethylene</t>
        </is>
      </c>
    </row>
    <row r="750">
      <c r="F750" t="inlineStr">
        <is>
          <t>Tetranitromethane</t>
        </is>
      </c>
    </row>
    <row r="751">
      <c r="F751" t="inlineStr">
        <is>
          <t>Thalidomide</t>
        </is>
      </c>
    </row>
    <row r="752">
      <c r="F752" t="inlineStr">
        <is>
          <t>Thioacetamide</t>
        </is>
      </c>
    </row>
    <row r="753">
      <c r="F753" t="inlineStr">
        <is>
          <t>4,4'-Thiodianiline</t>
        </is>
      </c>
    </row>
    <row r="754">
      <c r="F754" t="inlineStr">
        <is>
          <t>Thiodicarb</t>
        </is>
      </c>
    </row>
    <row r="755">
      <c r="F755" t="inlineStr">
        <is>
          <t>Thioguanine</t>
        </is>
      </c>
    </row>
    <row r="756">
      <c r="F756" t="inlineStr">
        <is>
          <t>Thiouracil</t>
        </is>
      </c>
    </row>
    <row r="757">
      <c r="F757" t="inlineStr">
        <is>
          <t>Thiourea</t>
        </is>
      </c>
    </row>
    <row r="758">
      <c r="F758" t="inlineStr">
        <is>
          <t>Thorium dioxide</t>
        </is>
      </c>
    </row>
    <row r="759">
      <c r="F759" t="inlineStr">
        <is>
          <t>Titanium dioxide (airborne, unbound particles of respirable size)</t>
        </is>
      </c>
    </row>
    <row r="760">
      <c r="F760" t="inlineStr">
        <is>
          <t>Tobacco, oral use of smokeless products</t>
        </is>
      </c>
    </row>
    <row r="761">
      <c r="F761" t="inlineStr">
        <is>
          <t>Tobacco smoke</t>
        </is>
      </c>
    </row>
    <row r="762">
      <c r="F762" t="inlineStr">
        <is>
          <t>Tobacco smoke (primary)</t>
        </is>
      </c>
    </row>
    <row r="763">
      <c r="F763" t="inlineStr">
        <is>
          <t>Tobramycin sulfate</t>
        </is>
      </c>
    </row>
    <row r="764">
      <c r="F764" t="inlineStr">
        <is>
          <t>Toluene</t>
        </is>
      </c>
    </row>
    <row r="765">
      <c r="F765" t="inlineStr">
        <is>
          <t>Toluene diisocyanate</t>
        </is>
      </c>
    </row>
    <row r="766">
      <c r="F766" t="inlineStr">
        <is>
          <t>o-Toluidine</t>
        </is>
      </c>
    </row>
    <row r="767">
      <c r="F767" t="inlineStr">
        <is>
          <t>o-Toluidine hydrochloride</t>
        </is>
      </c>
    </row>
    <row r="768">
      <c r="F768" t="inlineStr">
        <is>
          <t>Topiramate</t>
        </is>
      </c>
    </row>
    <row r="769">
      <c r="F769" t="inlineStr">
        <is>
          <t>Toxaphene (Polychlorinated camphenes)</t>
        </is>
      </c>
    </row>
    <row r="770">
      <c r="F770" t="inlineStr">
        <is>
          <t>Toxins derived from Fusarium moniliforme (Fusarium verticillioides)</t>
        </is>
      </c>
    </row>
    <row r="771">
      <c r="F771" t="inlineStr">
        <is>
          <t>Treosulfan</t>
        </is>
      </c>
    </row>
    <row r="772">
      <c r="F772" t="inlineStr">
        <is>
          <t>Triadimefon</t>
        </is>
      </c>
    </row>
    <row r="773">
      <c r="F773" t="inlineStr">
        <is>
          <t>Triamterene</t>
        </is>
      </c>
    </row>
    <row r="774">
      <c r="F774" t="inlineStr">
        <is>
          <t>Triazolam</t>
        </is>
      </c>
    </row>
    <row r="775">
      <c r="F775" t="inlineStr">
        <is>
          <t>S,S,S-Tributyl phosphorotrithioate (Tribufos, DEF)</t>
        </is>
      </c>
    </row>
    <row r="776">
      <c r="F776" t="inlineStr">
        <is>
          <t>Tributyltin methacrylate</t>
        </is>
      </c>
    </row>
    <row r="777">
      <c r="F777" t="inlineStr">
        <is>
          <t>Trichlormethine (Trimustine hydrochloride)</t>
        </is>
      </c>
    </row>
    <row r="778">
      <c r="F778" t="inlineStr">
        <is>
          <t>Trichloroacetic acid</t>
        </is>
      </c>
    </row>
    <row r="779">
      <c r="F779" t="inlineStr">
        <is>
          <t>Trichloroethylene</t>
        </is>
      </c>
    </row>
    <row r="780">
      <c r="F780" t="inlineStr">
        <is>
          <t>2,4,6-Trichlorophenol</t>
        </is>
      </c>
    </row>
    <row r="781">
      <c r="F781" t="inlineStr">
        <is>
          <t>1,2,3-Trichloropropane</t>
        </is>
      </c>
    </row>
    <row r="782">
      <c r="F782" t="inlineStr">
        <is>
          <t>Trientine hydrochloride</t>
        </is>
      </c>
    </row>
    <row r="783">
      <c r="F783" t="inlineStr">
        <is>
          <t>Triforine</t>
        </is>
      </c>
    </row>
    <row r="784">
      <c r="F784" t="inlineStr">
        <is>
          <t>Trilostane</t>
        </is>
      </c>
    </row>
    <row r="785">
      <c r="F785" t="inlineStr">
        <is>
          <t>Trimethadione</t>
        </is>
      </c>
    </row>
    <row r="786">
      <c r="F786" t="inlineStr">
        <is>
          <t>2,4,5-Trimethylaniline and its strong acid salts</t>
        </is>
      </c>
    </row>
    <row r="787">
      <c r="F787" t="inlineStr">
        <is>
          <t>Trimethyl phosphate</t>
        </is>
      </c>
    </row>
    <row r="788">
      <c r="F788" t="inlineStr">
        <is>
          <t>Trimetrexate glucuronate</t>
        </is>
      </c>
    </row>
    <row r="789">
      <c r="F789" t="inlineStr">
        <is>
          <t>2,4,6-Trinitrotoluene (TNT)</t>
        </is>
      </c>
    </row>
    <row r="790">
      <c r="F790" t="inlineStr">
        <is>
          <t>Triphenyltin hydroxide</t>
        </is>
      </c>
    </row>
    <row r="791">
      <c r="F791" t="inlineStr">
        <is>
          <t>Tris(1-aziridinyl)phosphine sulfide (Thiotepa)</t>
        </is>
      </c>
    </row>
    <row r="792">
      <c r="F792" t="inlineStr">
        <is>
          <t>Tris(2-chloroethyl) phosphate</t>
        </is>
      </c>
    </row>
    <row r="793">
      <c r="F793" t="inlineStr">
        <is>
          <t>Tris(2,3-dibromopropyl)phosphate</t>
        </is>
      </c>
    </row>
    <row r="794">
      <c r="F794" t="inlineStr">
        <is>
          <t>Tris(1,3-dichloro-2-propyl) phosphate (TDCPP)</t>
        </is>
      </c>
    </row>
    <row r="795">
      <c r="F795" t="inlineStr">
        <is>
          <t>Trp-P-1 (Tryptophan-P-1)</t>
        </is>
      </c>
    </row>
    <row r="796">
      <c r="F796" t="inlineStr">
        <is>
          <t>Trp-P-2 (Tryptophan-P-2)</t>
        </is>
      </c>
    </row>
    <row r="797">
      <c r="F797" t="inlineStr">
        <is>
          <t>Trypan blue (commercial grade)</t>
        </is>
      </c>
    </row>
    <row r="798">
      <c r="F798" t="inlineStr">
        <is>
          <t>Unleaded gasoline (wholly vaporized)</t>
        </is>
      </c>
    </row>
    <row r="799">
      <c r="F799" t="inlineStr">
        <is>
          <t>Uracil mustard</t>
        </is>
      </c>
    </row>
    <row r="800">
      <c r="F800" t="inlineStr">
        <is>
          <t>Urethane (Ethyl carbamate)</t>
        </is>
      </c>
    </row>
    <row r="801">
      <c r="F801" t="inlineStr">
        <is>
          <t>Urofollitropin</t>
        </is>
      </c>
    </row>
    <row r="802">
      <c r="F802" t="inlineStr">
        <is>
          <t>Valproate (Valproic acid)</t>
        </is>
      </c>
    </row>
    <row r="803">
      <c r="F803" t="inlineStr">
        <is>
          <t>Vanadium pentoxide (orthorhombic crystalline form)</t>
        </is>
      </c>
    </row>
    <row r="804">
      <c r="F804" t="inlineStr">
        <is>
          <t>Vinblastine sulfate</t>
        </is>
      </c>
    </row>
    <row r="805">
      <c r="F805" t="inlineStr">
        <is>
          <t>Vinclozolin</t>
        </is>
      </c>
    </row>
    <row r="806">
      <c r="F806" t="inlineStr">
        <is>
          <t>Vincristine sulfate</t>
        </is>
      </c>
    </row>
    <row r="807">
      <c r="F807" t="inlineStr">
        <is>
          <t>Vinyl bromide</t>
        </is>
      </c>
    </row>
    <row r="808">
      <c r="F808" t="inlineStr">
        <is>
          <t>Vinyl chloride</t>
        </is>
      </c>
    </row>
    <row r="809">
      <c r="F809" t="inlineStr">
        <is>
          <t>4-Vinylcyclohexene</t>
        </is>
      </c>
    </row>
    <row r="810">
      <c r="F810" t="inlineStr">
        <is>
          <t>4-Vinyl-1-cyclohexene diepoxide (Vinyl cyclohexenedioxide)</t>
        </is>
      </c>
    </row>
    <row r="811">
      <c r="F811" t="inlineStr">
        <is>
          <t>Vinyl fluoride</t>
        </is>
      </c>
    </row>
    <row r="812">
      <c r="F812" t="inlineStr">
        <is>
          <t>Vinylidene chloride (1,1-Dichloroethylene)</t>
        </is>
      </c>
    </row>
    <row r="813">
      <c r="F813" t="inlineStr">
        <is>
          <t>Vinyl trichloride (1,1,2-Trichloroethane)</t>
        </is>
      </c>
    </row>
    <row r="814">
      <c r="F814" t="inlineStr">
        <is>
          <t>Warfarin</t>
        </is>
      </c>
    </row>
    <row r="815">
      <c r="F815" t="inlineStr">
        <is>
          <t>Wood dust</t>
        </is>
      </c>
    </row>
    <row r="816">
      <c r="F816" t="inlineStr">
        <is>
          <t>2,6-Xylidine (2,6-Dimethylaniline)</t>
        </is>
      </c>
    </row>
    <row r="817">
      <c r="F817" t="inlineStr">
        <is>
          <t>Zalcitabine</t>
        </is>
      </c>
    </row>
    <row r="818">
      <c r="F818" t="inlineStr">
        <is>
          <t>Zidovudine (AZT)</t>
        </is>
      </c>
    </row>
    <row r="819">
      <c r="F819" t="inlineStr">
        <is>
          <t>Zileuton</t>
        </is>
      </c>
    </row>
    <row r="820">
      <c r="F820" t="inlineStr">
        <is>
          <t>2-Bromopropane (2-BP)</t>
        </is>
      </c>
    </row>
    <row r="821">
      <c r="F821" t="inlineStr">
        <is>
          <t>2-Chloropropionic acid</t>
        </is>
      </c>
    </row>
    <row r="822">
      <c r="F822" t="inlineStr">
        <is>
          <t>Di-n-hexyl phthalate (DnHP)</t>
        </is>
      </c>
    </row>
    <row r="823">
      <c r="F823" t="inlineStr">
        <is>
          <t>m-Dinitrobenzene</t>
        </is>
      </c>
    </row>
    <row r="824">
      <c r="F824" t="inlineStr">
        <is>
          <t>o-Dinitrobenzene</t>
        </is>
      </c>
    </row>
    <row r="825">
      <c r="F825" t="inlineStr">
        <is>
          <t>p-Dinitrobenzene</t>
        </is>
      </c>
    </row>
    <row r="826">
      <c r="F826" t="inlineStr">
        <is>
          <t>Dinitrotoluene (technical grade)</t>
        </is>
      </c>
    </row>
    <row r="827">
      <c r="F827" t="inlineStr">
        <is>
          <t>n-Hexane</t>
        </is>
      </c>
    </row>
    <row r="828">
      <c r="F828" t="inlineStr">
        <is>
          <t>2,5-Hexanedione</t>
        </is>
      </c>
    </row>
    <row r="829">
      <c r="F829" t="inlineStr">
        <is>
          <t>Hydrogen cyanide (HCN) and cyanide salts (CN salts)</t>
        </is>
      </c>
    </row>
    <row r="830">
      <c r="F830" t="inlineStr">
        <is>
          <t>Levonorgestrel implants</t>
        </is>
      </c>
    </row>
    <row r="831">
      <c r="F831" t="inlineStr">
        <is>
          <t>Nitrofurantoin</t>
        </is>
      </c>
    </row>
    <row r="832">
      <c r="F832" t="inlineStr">
        <is>
          <t>Oxydemeton methyl</t>
        </is>
      </c>
    </row>
    <row r="833">
      <c r="F833" t="inlineStr">
        <is>
          <t>Quizalofop-ethyl</t>
        </is>
      </c>
    </row>
    <row r="834">
      <c r="F834" t="inlineStr">
        <is>
          <t>Sodium fluoroacetate</t>
        </is>
      </c>
    </row>
    <row r="835">
      <c r="F835" t="inlineStr">
        <is>
          <t>Thiophanate methyl</t>
        </is>
      </c>
    </row>
    <row r="836">
      <c r="F836" t="inlineStr">
        <is>
          <t>Vinyl cyclohexene dioxide (4-Vinyl-1-cyclohexene diepoxide)</t>
        </is>
      </c>
    </row>
    <row r="837">
      <c r="F837" t="inlineStr">
        <is>
          <t>Chloroform</t>
        </is>
      </c>
    </row>
    <row r="838">
      <c r="F838" t="inlineStr">
        <is>
          <t>1,2-Dibromo-3-chloropropane (DBCP)</t>
        </is>
      </c>
    </row>
    <row r="839">
      <c r="F839" t="inlineStr">
        <is>
          <t>Diclofop-methyl</t>
        </is>
      </c>
    </row>
    <row r="840">
      <c r="F840" t="inlineStr">
        <is>
          <t>Phenyl glycidyl ether</t>
        </is>
      </c>
    </row>
    <row r="841">
      <c r="F841" t="inlineStr">
        <is>
          <t>Di-isodecyl phthalate (DIDP)</t>
        </is>
      </c>
    </row>
    <row r="842">
      <c r="F842" t="inlineStr">
        <is>
          <t>Erionite</t>
        </is>
      </c>
    </row>
    <row r="843">
      <c r="F843" t="inlineStr">
        <is>
          <t>Iprovalicarb</t>
        </is>
      </c>
    </row>
    <row r="844">
      <c r="F844" t="inlineStr">
        <is>
          <t>Nickel hydroxide</t>
        </is>
      </c>
    </row>
    <row r="845">
      <c r="F845" t="inlineStr">
        <is>
          <t>Norethisterone (Norethindrone) /Mestranol</t>
        </is>
      </c>
    </row>
    <row r="846">
      <c r="F846" t="inlineStr">
        <is>
          <t>Anabolic steroids</t>
        </is>
      </c>
    </row>
    <row r="847">
      <c r="F847" t="inlineStr">
        <is>
          <t>Altretamine</t>
        </is>
      </c>
    </row>
    <row r="848">
      <c r="F848" t="inlineStr">
        <is>
          <t>Beryllium</t>
        </is>
      </c>
    </row>
    <row r="849">
      <c r="F849" t="inlineStr">
        <is>
          <t>Beryllium Oxide</t>
        </is>
      </c>
    </row>
    <row r="850">
      <c r="F850" t="inlineStr">
        <is>
          <t>Beryllium Sulfate</t>
        </is>
      </c>
    </row>
    <row r="851">
      <c r="F851" t="inlineStr">
        <is>
          <t>Hexachlorocyclohexane (alpha isomer)</t>
        </is>
      </c>
    </row>
    <row r="852">
      <c r="F852" t="inlineStr">
        <is>
          <t>Hexachlorocyclohexane (beta isomer)</t>
        </is>
      </c>
    </row>
    <row r="853">
      <c r="F853" t="inlineStr">
        <is>
          <t>Hexachlorocyclohexane (gamma isomer)</t>
        </is>
      </c>
    </row>
    <row r="854">
      <c r="F854" t="inlineStr">
        <is>
          <t>Cyanide salts that readily dissociate in solution (expressed as cyanide)</t>
        </is>
      </c>
    </row>
    <row r="855">
      <c r="F855" t="inlineStr">
        <is>
          <t>Hydrogen cyanide</t>
        </is>
      </c>
    </row>
    <row r="856">
      <c r="F856" t="inlineStr">
        <is>
          <t>Potassium cyanide</t>
        </is>
      </c>
    </row>
    <row r="857">
      <c r="F857" t="inlineStr">
        <is>
          <t>Methylhydrazine</t>
        </is>
      </c>
    </row>
    <row r="858">
      <c r="F858" t="inlineStr">
        <is>
          <t>Methylhydrazine sulfate</t>
        </is>
      </c>
    </row>
    <row r="859">
      <c r="F859" t="inlineStr">
        <is>
          <t>o-Phenylenediamine</t>
        </is>
      </c>
    </row>
    <row r="860">
      <c r="F860" t="inlineStr">
        <is>
          <t>o-Phenylenediamine dihydochloride</t>
        </is>
      </c>
    </row>
    <row r="861">
      <c r="F861" t="inlineStr">
        <is>
          <t>Phenylhydrazine</t>
        </is>
      </c>
    </row>
    <row r="862">
      <c r="F862" t="inlineStr">
        <is>
          <t>Phenylhydrazine hydrochloride</t>
        </is>
      </c>
    </row>
    <row r="863">
      <c r="F863" t="inlineStr">
        <is>
          <t>Sodium cyanide</t>
        </is>
      </c>
    </row>
    <row r="864">
      <c r="F864" t="inlineStr">
        <is>
          <t>Short form warning</t>
        </is>
      </c>
    </row>
    <row r="865">
      <c r="F865" t="inlineStr">
        <is>
          <t>Nickel (soluble compounds)</t>
        </is>
      </c>
    </row>
    <row r="866">
      <c r="F866" t="inlineStr">
        <is>
          <t>TRIM VX</t>
        </is>
      </c>
    </row>
    <row r="867">
      <c r="F867" t="inlineStr">
        <is>
          <t>N-Nitrosohexamethyleneimine</t>
        </is>
      </c>
    </row>
    <row r="868">
      <c r="F868" t="inlineStr">
        <is>
          <t>Gentian violet (Crystal violet)</t>
        </is>
      </c>
    </row>
    <row r="869">
      <c r="F869" t="inlineStr">
        <is>
          <t>Custom warning</t>
        </is>
      </c>
    </row>
    <row r="870">
      <c r="F870" t="inlineStr">
        <is>
          <t>2-Amino-4-chlorophenol</t>
        </is>
      </c>
    </row>
    <row r="871">
      <c r="F871" t="inlineStr">
        <is>
          <t>2-Chloronitrobenzene</t>
        </is>
      </c>
    </row>
    <row r="872">
      <c r="F872" t="inlineStr">
        <is>
          <t>1,4-Dichloro-2-nitrobenzene</t>
        </is>
      </c>
    </row>
    <row r="873">
      <c r="F873" t="inlineStr">
        <is>
          <t>2,4-Dichloro-1-nitrobenzene</t>
        </is>
      </c>
    </row>
    <row r="874">
      <c r="F874" t="inlineStr">
        <is>
          <t>Bevacizumab</t>
        </is>
      </c>
    </row>
    <row r="875">
      <c r="F875" t="inlineStr">
        <is>
          <t>p-chloro-?,?,?-trifluorotoluene (para-Chlorobenzotrifluoride, PCBTF)</t>
        </is>
      </c>
    </row>
    <row r="876">
      <c r="F876" t="inlineStr">
        <is>
          <t>para-Nitroanisole</t>
        </is>
      </c>
    </row>
    <row r="877">
      <c r="F877" t="inlineStr">
        <is>
          <t>Cannabis (marijuana) smoke</t>
        </is>
      </c>
    </row>
    <row r="878">
      <c r="F878" t="inlineStr">
        <is>
          <t>?9 -Tetrahydrocannabinol (?9 -THC)</t>
        </is>
      </c>
    </row>
    <row r="879">
      <c r="F879" t="inlineStr">
        <is>
          <t>1,1,1-Trichloroethane</t>
        </is>
      </c>
    </row>
    <row r="880">
      <c r="F880" t="inlineStr">
        <is>
          <t>1-Bromo-3-chloropropane</t>
        </is>
      </c>
    </row>
    <row r="881">
      <c r="F881" t="inlineStr">
        <is>
          <t>1-Butyl glycidyl ether</t>
        </is>
      </c>
    </row>
    <row r="882">
      <c r="F882" t="inlineStr">
        <is>
          <t>2-Ethylhexyl acrylate</t>
        </is>
      </c>
    </row>
    <row r="883">
      <c r="F883" t="inlineStr">
        <is>
          <t>Alcoholic beverages</t>
        </is>
      </c>
    </row>
    <row r="884">
      <c r="F884" t="inlineStr">
        <is>
          <t>Anthracene</t>
        </is>
      </c>
    </row>
    <row r="885">
      <c r="F885" t="inlineStr">
        <is>
          <t>Bisphenol S (BPS)</t>
        </is>
      </c>
    </row>
    <row r="886">
      <c r="F886" t="inlineStr">
        <is>
          <t>Coal-tar pitch</t>
        </is>
      </c>
    </row>
    <row r="887">
      <c r="F887" t="inlineStr">
        <is>
          <t>Dimethyl hydrogen phosphite</t>
        </is>
      </c>
    </row>
    <row r="888">
      <c r="F888" t="inlineStr">
        <is>
          <t>Fluoro-edenite fibrous amphibole</t>
        </is>
      </c>
    </row>
    <row r="889">
      <c r="F889" t="inlineStr">
        <is>
          <t>Glycidyl methacrylate</t>
        </is>
      </c>
    </row>
    <row r="890">
      <c r="F890" t="inlineStr">
        <is>
          <t>Hexachlorocyclohexane (technical grade)</t>
        </is>
      </c>
    </row>
    <row r="891">
      <c r="F891" t="inlineStr">
        <is>
          <t>Indium tin oxide</t>
        </is>
      </c>
    </row>
    <row r="892">
      <c r="F892" t="inlineStr">
        <is>
          <t>Leucomalachite green</t>
        </is>
      </c>
    </row>
    <row r="893">
      <c r="F893" t="inlineStr">
        <is>
          <t>Methyl acrylate</t>
        </is>
      </c>
    </row>
    <row r="894">
      <c r="F894" t="inlineStr">
        <is>
          <t>Molybdenum trioxide</t>
        </is>
      </c>
    </row>
    <row r="895">
      <c r="F895" t="inlineStr">
        <is>
          <t>p-Chloro-o-toluidine, hydrochloride</t>
        </is>
      </c>
    </row>
    <row r="896">
      <c r="F896" t="inlineStr">
        <is>
          <t>Perfluorononanoic acid (PFNA) and its salts</t>
        </is>
      </c>
    </row>
    <row r="897">
      <c r="F897" t="inlineStr">
        <is>
          <t>Perfluorooctane sulfonic acid (PFOS) and its salts and transformation and degradation precursors</t>
        </is>
      </c>
    </row>
    <row r="898">
      <c r="F898" t="inlineStr">
        <is>
          <t>Retinol/retinyl esters, when in daily dosages in excess of 10,000 IU, or 3,000 retinol equivalents. (NOTE: Retinol/retinyl esters are required and essential for maintenance of normal reproductive function. The recommended daily level during pregnancy is 8,000 IU.)</t>
        </is>
      </c>
    </row>
    <row r="899">
      <c r="F899" t="inlineStr">
        <is>
          <t>Silicon carbide whiskers</t>
        </is>
      </c>
    </row>
    <row r="900">
      <c r="F900" t="inlineStr">
        <is>
          <t>Tetrahydrofuran</t>
        </is>
      </c>
    </row>
    <row r="901">
      <c r="F901" t="inlineStr">
        <is>
          <t>Trimethylolpropane triacrylate, technical grade</t>
        </is>
      </c>
    </row>
    <row r="902">
      <c r="F902" t="inlineStr">
        <is>
          <t>Vismodegib</t>
        </is>
      </c>
    </row>
  </sheetData>
  <hyperlinks>
    <hyperlink ref="A1" location="#'6 - TV Stands &amp; Enterta'!D6" display="Brand"/>
    <hyperlink ref="B1" location="#'6 - TV Stands &amp; Enterta'!W6" display="Ship Type"/>
    <hyperlink ref="C1" location="#'6 - TV Stands &amp; Enterta'!X6" display="Freight Class"/>
    <hyperlink ref="D1" location="#'6 - TV Stands &amp; Enterta'!Y6" display="Lead Time"/>
    <hyperlink ref="E1" location="#'6 - TV Stands &amp; Enterta'!Z6" display="Replacement Lead Time"/>
    <hyperlink ref="F1" location="#'Additional Chemicals'!C6" display="Chemical"/>
    <hyperlink ref="G1" location="#'Additional Chemicals'!D6" display="Toxicity"/>
    <hyperlink ref="H1" location="#'6 - TV Stands &amp; Enterta'!AK6" display="Country Of Manufacturer"/>
    <hyperlink ref="I1" location="#'Additional Documents'!D6" display="Document Type"/>
    <hyperlink ref="J1" location="#'Additional Documents'!E6" display="Legal Document Type"/>
    <hyperlink ref="K1" location="#'Additional Documents'!F6" display="Document Region"/>
    <hyperlink ref="L1" location="#'Additional Documents'!G6" display="Document Language"/>
    <hyperlink ref="M1" location="#'6 - TV Stands &amp; Enterta'!BG6" display="Product Type"/>
    <hyperlink ref="N1" location="#'6 - TV Stands &amp; Enterta'!BP6" display="Furniture Design"/>
    <hyperlink ref="O1" location="#'6 - TV Stands &amp; Enterta'!BQ6" display="Material"/>
    <hyperlink ref="P1" location="#'6 - TV Stands &amp; Enterta'!BR6" display="Purposeful Distressing Type"/>
    <hyperlink ref="Q1" location="#'6 - TV Stands &amp; Enterta'!BS6" display="Natural Variation Type"/>
    <hyperlink ref="R1" location="#'6 - TV Stands &amp; Enterta'!CC6" display="Tipover Restraint Device Included"/>
    <hyperlink ref="S1" location="#'6 - TV Stands &amp; Enterta'!CF6" display="Supplier Intended and Approved Use"/>
    <hyperlink ref="T1" location="#'6 - TV Stands &amp; Enterta'!CG6" display="Country of Origin - Additional Details"/>
    <hyperlink ref="U1" location="#'6 - TV Stands &amp; Enterta'!CH6" display="Main Wood Joinery Method"/>
    <hyperlink ref="V1" location="#'6 - TV Stands &amp; Enterta'!CJ6" display="Wood Species"/>
    <hyperlink ref="W1" location="#'6 - TV Stands &amp; Enterta'!CL6" display="Battery Composition"/>
    <hyperlink ref="X1" location="#'6 - TV Stands &amp; Enterta'!CM6" display="Battery Type"/>
    <hyperlink ref="Y1" location="#'6 - TV Stands &amp; Enterta'!CN6" display="Number of Batteries"/>
    <hyperlink ref="Z1" location="#'6 - TV Stands &amp; Enterta'!CO6" display="Battery Shipment"/>
    <hyperlink ref="AA1" location="#'6 - TV Stands &amp; Enterta'!CP6" display="Lithium Content"/>
    <hyperlink ref="AB1" location="#'6 - TV Stands &amp; Enterta'!CQ6" display="Watt Rating of Cells / Battery"/>
    <hyperlink ref="AC1" location="#'6 - TV Stands &amp; Enterta'!CR6" display="Weight of Cells / Battery"/>
    <hyperlink ref="AD1" location="#'6 - TV Stands &amp; Enterta'!CV6" display="Product Care"/>
    <hyperlink ref="AE1" location="#'6 - TV Stands &amp; Enterta'!CX6" display="Shelf Material"/>
    <hyperlink ref="AF1" location="#'6 - TV Stands &amp; Enterta'!CY6" display="Color / Finish"/>
    <hyperlink ref="AG1" location="#'6 - TV Stands &amp; Enterta'!CZ6" display="Drawer Glide Type &amp; Extension"/>
    <hyperlink ref="AH1" location="#'6 - TV Stands &amp; Enterta'!DA6" display="Vent Type"/>
    <hyperlink ref="AI1" location="#'6 - TV Stands &amp; Enterta'!DB6" display="Fuel Type"/>
    <hyperlink ref="AJ1" location="#'6 - TV Stands &amp; Enterta'!DC6" display="Door Design"/>
    <hyperlink ref="AK1" location="#'6 - TV Stands &amp; Enterta'!DF6" display="Pieces Included"/>
    <hyperlink ref="AL1" location="#'6 - TV Stands &amp; Enterta'!DI6" display="Fireplace Type"/>
    <hyperlink ref="AM1" location="#'6 - TV Stands &amp; Enterta'!DJ6" display="General Certificate of Conformity (GCC)"/>
    <hyperlink ref="AN1" location="#'6 - TV Stands &amp; Enterta'!DL6" display="CARB Phase II Compliant (formaldehyde emissions)"/>
    <hyperlink ref="AO1" location="#'6 - TV Stands &amp; Enterta'!DM6" display="TSCA Title VI Compliant (formaldehyde emissions)"/>
    <hyperlink ref="AP1" location="#'6 - TV Stands &amp; Enterta'!DN6" display="CANFER Compliant"/>
    <hyperlink ref="AQ1" location="#'6 - TV Stands &amp; Enterta'!DO6" display="Uniform Packaging and Labeling Regulations (UPLR) Compliant"/>
    <hyperlink ref="AR1" location="#'6 - TV Stands &amp; Enterta'!DQ6" display="Reason for Restriction"/>
    <hyperlink ref="AS1" location="#'6 - TV Stands &amp; Enterta'!DR6" display="UL 1678 Listed"/>
    <hyperlink ref="AT1" location="#'6 - TV Stands &amp; Enterta'!DT6" display="UN or ID number"/>
    <hyperlink ref="AU1" location="#'6 - TV Stands &amp; Enterta'!DU6" display="Hazard Class(es)"/>
    <hyperlink ref="AV1" location="#'6 - TV Stands &amp; Enterta'!DV6" display="Packing Group"/>
    <hyperlink ref="AW1" location="#'6 - TV Stands &amp; Enterta'!DW6" display="Hazardous Material Weight"/>
    <hyperlink ref="AX1" location="#'6 - TV Stands &amp; Enterta'!DX6" display="Energy Efficiency Regulations Compliant"/>
    <hyperlink ref="AY1" location="#'6 - TV Stands &amp; Enterta'!DY6" display="Safety Listing(s)"/>
    <hyperlink ref="AZ1" location="#'6 - TV Stands &amp; Enterta'!EA6" display="CPSC - 16 CFR 1263 Compliant (Reese's Law)"/>
    <hyperlink ref="BA1" location="#'6 - TV Stands &amp; Enterta'!EB6" display="ISTA Certified"/>
    <hyperlink ref="BB1" location="#'6 - TV Stands &amp; Enterta'!ED6" display="Commercial Certifications"/>
    <hyperlink ref="BC1" location="#'6 - TV Stands &amp; Enterta'!EK6" display="Maximum TV Screen Size Accommodated"/>
    <hyperlink ref="BD1" location="#'6 - TV Stands &amp; Enterta'!EN6" display="Level of Assembly"/>
    <hyperlink ref="BE1" location="#'6 - TV Stands &amp; Enterta'!EO6" display="Additional Tools Required (Not Included)"/>
    <hyperlink ref="BF1" location="#'6 - TV Stands &amp; Enterta'!EQ6" display="Commercial Warranty Length"/>
    <hyperlink ref="BG1" location="#'6 - TV Stands &amp; Enterta'!ES6" display="Full or Limited Warranty"/>
    <hyperlink ref="BH1" location="#'6 - TV Stands &amp; Enterta'!ET6" display="Warranty Length"/>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terms="http://purl.org/dc/terms/" xmlns:xsi="http://www.w3.org/2001/XMLSchema-instance">
  <dcterms:created xsi:type="dcterms:W3CDTF">2026-02-24T20:14:25Z</dcterms:created>
  <dcterms:modified xsi:type="dcterms:W3CDTF">2026-02-24T20:16:56Z</dcterms:modified>
</cp:coreProperties>
</file>